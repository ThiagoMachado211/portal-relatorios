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ECHOS_LONGOS" sheetId="1" r:id="rId5"/>
    <sheet state="visible" name="VIAGENS_PROXIMAS" sheetId="2" r:id="rId6"/>
    <sheet state="visible" name="HOSPEDAGEM" sheetId="3" r:id="rId7"/>
    <sheet state="visible" name="TRANSLADO" sheetId="4" r:id="rId8"/>
    <sheet state="visible" name="DADOS_POR_VIAGEM" sheetId="5" r:id="rId9"/>
    <sheet state="visible" name="KPI" sheetId="6" r:id="rId10"/>
    <sheet state="hidden" name="EVOLUÇÃO_MENSAL" sheetId="7" r:id="rId11"/>
    <sheet state="hidden" name="EVOLUÇÃO_TRIMESTRAL" sheetId="8" r:id="rId12"/>
    <sheet state="visible" name="AUX" sheetId="9" r:id="rId13"/>
    <sheet state="visible" name="BI_TEMPORARIO" sheetId="10" r:id="rId14"/>
  </sheets>
  <definedNames>
    <definedName hidden="1" localSheetId="0" name="_xlnm._FilterDatabase">TRECHOS_LONGOS!$A$1:$Z$101</definedName>
  </definedNames>
  <calcPr/>
</workbook>
</file>

<file path=xl/sharedStrings.xml><?xml version="1.0" encoding="utf-8"?>
<sst xmlns="http://schemas.openxmlformats.org/spreadsheetml/2006/main" count="5831" uniqueCount="241">
  <si>
    <t>ID da viagem (interno)</t>
  </si>
  <si>
    <t>Nome do viajante</t>
  </si>
  <si>
    <t>Setor do viajante</t>
  </si>
  <si>
    <t>Motivo da viagem</t>
  </si>
  <si>
    <t>Data da compra</t>
  </si>
  <si>
    <t>Data da viagem</t>
  </si>
  <si>
    <t>Diferença entre compra e ida (Dias)</t>
  </si>
  <si>
    <t>Meio de transporte</t>
  </si>
  <si>
    <t>Cidade origem</t>
  </si>
  <si>
    <t>Estado origem</t>
  </si>
  <si>
    <t>Nome do aeroporto ou rodoviária</t>
  </si>
  <si>
    <t>Cidade destino</t>
  </si>
  <si>
    <t>Estado destino</t>
  </si>
  <si>
    <t>Nome da empresa de transporte</t>
  </si>
  <si>
    <t>Quilometragem</t>
  </si>
  <si>
    <t>Cumpriu política?</t>
  </si>
  <si>
    <t>Motivo do não-cumprimento</t>
  </si>
  <si>
    <t>Passagem foi cancelada?</t>
  </si>
  <si>
    <t>Valor da compra (R$)</t>
  </si>
  <si>
    <t>Valor da compra (Pontos)</t>
  </si>
  <si>
    <t>Taxas extras (R$)</t>
  </si>
  <si>
    <t>Valor Reembolso (R$)</t>
  </si>
  <si>
    <t>Valor Reembolso (Pontos)</t>
  </si>
  <si>
    <t>Valor Final (R$)</t>
  </si>
  <si>
    <t>Valor Final (Pontos)</t>
  </si>
  <si>
    <t>Vania Beneveli</t>
  </si>
  <si>
    <t>PEDAGÓGICO</t>
  </si>
  <si>
    <t>FORMAÇÃO</t>
  </si>
  <si>
    <t>AÉREO</t>
  </si>
  <si>
    <t>Brasília</t>
  </si>
  <si>
    <t>DF</t>
  </si>
  <si>
    <t>BSB</t>
  </si>
  <si>
    <t>João Pessoa</t>
  </si>
  <si>
    <t>PB</t>
  </si>
  <si>
    <t>JPA</t>
  </si>
  <si>
    <t>LATAM</t>
  </si>
  <si>
    <t>NÃO</t>
  </si>
  <si>
    <t>SIM</t>
  </si>
  <si>
    <t>Simone Cortes</t>
  </si>
  <si>
    <t>GOL</t>
  </si>
  <si>
    <t>Alexandre Carvalho</t>
  </si>
  <si>
    <t>Heraclio Felipe</t>
  </si>
  <si>
    <t>DIREÇÃO GERAL</t>
  </si>
  <si>
    <t>RELACIONAMENTO INSTITUCIONAL</t>
  </si>
  <si>
    <t>Belo Horizonte</t>
  </si>
  <si>
    <t>MG</t>
  </si>
  <si>
    <t>CNF</t>
  </si>
  <si>
    <t>AZUL</t>
  </si>
  <si>
    <t>Compra de urgência</t>
  </si>
  <si>
    <t>Diego Regal</t>
  </si>
  <si>
    <t>OPERAÇÕES</t>
  </si>
  <si>
    <t>Helber Vieira</t>
  </si>
  <si>
    <t>INSTITUCIONAL</t>
  </si>
  <si>
    <t>Cuiabá</t>
  </si>
  <si>
    <t>MT</t>
  </si>
  <si>
    <t>CGB</t>
  </si>
  <si>
    <t>Florianópolis</t>
  </si>
  <si>
    <t>SC</t>
  </si>
  <si>
    <t>FLN</t>
  </si>
  <si>
    <t>Erik Anderson</t>
  </si>
  <si>
    <t>PROSPECÇÃO</t>
  </si>
  <si>
    <t>Recife</t>
  </si>
  <si>
    <t>PE</t>
  </si>
  <si>
    <t>REC</t>
  </si>
  <si>
    <t>São Paulo</t>
  </si>
  <si>
    <t>SP</t>
  </si>
  <si>
    <t>CGN</t>
  </si>
  <si>
    <t>Rio de Janeiro</t>
  </si>
  <si>
    <t>RJ</t>
  </si>
  <si>
    <t>GIG</t>
  </si>
  <si>
    <t>Tempo moderado</t>
  </si>
  <si>
    <t>Leandro Felix</t>
  </si>
  <si>
    <t>VISITA TÉCNICA</t>
  </si>
  <si>
    <t>TERRESTRE</t>
  </si>
  <si>
    <t>NOVO RIO</t>
  </si>
  <si>
    <t>Juiz de Fora</t>
  </si>
  <si>
    <t>Miguel Mansur</t>
  </si>
  <si>
    <t>GUANABARA</t>
  </si>
  <si>
    <t>Mikaella Pedrosa</t>
  </si>
  <si>
    <t>Campo Grande</t>
  </si>
  <si>
    <t>MS</t>
  </si>
  <si>
    <t>CGR</t>
  </si>
  <si>
    <t>COMERCIAL</t>
  </si>
  <si>
    <t>SDU</t>
  </si>
  <si>
    <t>CGH</t>
  </si>
  <si>
    <t>Francisco Wericson</t>
  </si>
  <si>
    <t>compra de urgência</t>
  </si>
  <si>
    <t>Roberta de Ávila</t>
  </si>
  <si>
    <t>Quantos dias faltam?</t>
  </si>
  <si>
    <t>ID da viagem (Interno)</t>
  </si>
  <si>
    <t>Hotel</t>
  </si>
  <si>
    <t>Data do Check-In</t>
  </si>
  <si>
    <t>Data do Check-Out</t>
  </si>
  <si>
    <t>Duração da Estadia (Dias)</t>
  </si>
  <si>
    <t>Valores das Diárias (R$)</t>
  </si>
  <si>
    <t>Valor Médio da Diária (R$)</t>
  </si>
  <si>
    <t>Valor Total da Estadia (R$)</t>
  </si>
  <si>
    <t>Rede Andrade Solmar</t>
  </si>
  <si>
    <t>440,01; 
504,77; 
459,44</t>
  </si>
  <si>
    <t>Hotel Annamar Premium</t>
  </si>
  <si>
    <t>565,88;
565,88</t>
  </si>
  <si>
    <t>551,5; 
551,5; 
565,98</t>
  </si>
  <si>
    <t>Heraclio Pianco</t>
  </si>
  <si>
    <t>Hilton Garden Inn</t>
  </si>
  <si>
    <t>445,79;
445,79</t>
  </si>
  <si>
    <t>477,00;
477,00</t>
  </si>
  <si>
    <t xml:space="preserve">Hotel </t>
  </si>
  <si>
    <t>Hotel Meliá Brasil 21</t>
  </si>
  <si>
    <t>607,25;
607,25</t>
  </si>
  <si>
    <t>Nord Class Rio 83</t>
  </si>
  <si>
    <t>337,83;
337,83;
337,83</t>
  </si>
  <si>
    <t>Victory Business Hotel</t>
  </si>
  <si>
    <t>251,84;
251,84</t>
  </si>
  <si>
    <t>Littoral Hotel</t>
  </si>
  <si>
    <t>288,01;
288,01</t>
  </si>
  <si>
    <t>Novo Hotel RJ Santos Dumont</t>
  </si>
  <si>
    <t>Wydham São Paulo Ibirapuera</t>
  </si>
  <si>
    <t>288,1;
288,1</t>
  </si>
  <si>
    <t>Hilton Garden Inn Belo Horizonte Lourdes</t>
  </si>
  <si>
    <t>646,38;
646,38</t>
  </si>
  <si>
    <t>Roberta De Avila</t>
  </si>
  <si>
    <t>Empresa</t>
  </si>
  <si>
    <t>Origem</t>
  </si>
  <si>
    <t>Destino</t>
  </si>
  <si>
    <t>Quilometragem Estimada</t>
  </si>
  <si>
    <t>Valor (R$)</t>
  </si>
  <si>
    <t xml:space="preserve">Roberto </t>
  </si>
  <si>
    <t>Aeroporto</t>
  </si>
  <si>
    <t>Estudo´play</t>
  </si>
  <si>
    <t>Defina o setor...</t>
  </si>
  <si>
    <t>Defina o motivo...</t>
  </si>
  <si>
    <t>Data da ida</t>
  </si>
  <si>
    <t>Data do retorno</t>
  </si>
  <si>
    <t>Duração</t>
  </si>
  <si>
    <t>Valor Total  - Trechos Longos (R$)</t>
  </si>
  <si>
    <t>Valor Total - Trechos Curtos (R$)</t>
  </si>
  <si>
    <t>Valor Total Hospedagem (R$)</t>
  </si>
  <si>
    <t>Valor Total da Viagem (R$)</t>
  </si>
  <si>
    <t>Valor Total da Viagem (Pontos)</t>
  </si>
  <si>
    <t>Custo Médio Passagem Aérea (R$)</t>
  </si>
  <si>
    <t>Custo Médio Passagem Aérea por km (R$)</t>
  </si>
  <si>
    <t>Custo Médio Passagem Aérea (Pontos)</t>
  </si>
  <si>
    <t>Custo Médio Passagem Aérea por km (Pontos)</t>
  </si>
  <si>
    <t>Custo médio de passagem por tempo prévio</t>
  </si>
  <si>
    <t>Custo Médio Transporte Terrestre (R$)</t>
  </si>
  <si>
    <t>Custo Médio Transporte Terrestre por km (R$)</t>
  </si>
  <si>
    <t>Taxa de Cancelamento / Remarcação</t>
  </si>
  <si>
    <t>Custo Médio por Diária de Hotel</t>
  </si>
  <si>
    <t>Custo Médio por Viagem (R$)</t>
  </si>
  <si>
    <t>Mês</t>
  </si>
  <si>
    <t>Passagens Aéreas: Custos Totais</t>
  </si>
  <si>
    <t>Passagens Aéreas: Custos Totais (Pontos AZUL)</t>
  </si>
  <si>
    <t>Passagens Aéreas: Custos Totais (Pontos GOL)</t>
  </si>
  <si>
    <t>Passagens Aéreas: Custos Totais (Pontos LATAM)</t>
  </si>
  <si>
    <t>Passagens Aéreas: Quantidade</t>
  </si>
  <si>
    <t>Passagens Aéreas: Quantidade (Pontos)</t>
  </si>
  <si>
    <t>Passagens Aéreas: Quilometragem Total</t>
  </si>
  <si>
    <t>Passagens Aéreas: Quilometragem Total (Pontos)</t>
  </si>
  <si>
    <t>Custo Médio Passagem Aérea</t>
  </si>
  <si>
    <t>Custo Médio Passagem Aérea por km</t>
  </si>
  <si>
    <t>Custo Total das Passagens (0-5 dias)</t>
  </si>
  <si>
    <t>Quantidade de Passagens (0-5 dias)</t>
  </si>
  <si>
    <t>Percentual (0-5 dias)</t>
  </si>
  <si>
    <t>Custo médio de passagem por tempo prévio (0-5 dias)</t>
  </si>
  <si>
    <t>Custo Total das Passagens (6-15 dias)</t>
  </si>
  <si>
    <t>Quantidade de Passagens (6-15 dias)</t>
  </si>
  <si>
    <t>Percentual (6-15 dias)</t>
  </si>
  <si>
    <t>Custo médio de passagem por tempo prévio (6-15 dias)</t>
  </si>
  <si>
    <t>Custo Total das Passagens (16+ dias)</t>
  </si>
  <si>
    <t>Quantidade de Passagens (16+ dias)</t>
  </si>
  <si>
    <t>Percentual (16+ dias)</t>
  </si>
  <si>
    <t>Custo médio de passagem por tempo prévio (16+ dias)</t>
  </si>
  <si>
    <t>Transporte Terrestre: Custos Totais</t>
  </si>
  <si>
    <t>Transporte Terrestre: Quantidade</t>
  </si>
  <si>
    <t>Transporte Terrestre: Quilometragem</t>
  </si>
  <si>
    <t>Custo Médio Transporte Terrestre</t>
  </si>
  <si>
    <t>Custo Médio Transporte Terrestre por km</t>
  </si>
  <si>
    <t>Hospedagem: Custos Totais</t>
  </si>
  <si>
    <t>Hospedagem: Quantidade de Diárias</t>
  </si>
  <si>
    <t>Viagens: Custos Totais(R$)</t>
  </si>
  <si>
    <t>Quantidade de Viagens</t>
  </si>
  <si>
    <t>Janeiro</t>
  </si>
  <si>
    <t>Fevereiro</t>
  </si>
  <si>
    <t>Março</t>
  </si>
  <si>
    <t xml:space="preserve"> </t>
  </si>
  <si>
    <t>Período</t>
  </si>
  <si>
    <t>Passagens Aéreas: Custos Totais (R$)</t>
  </si>
  <si>
    <t>Passagens Aéreas: Custos Totais (Pontos Azul)</t>
  </si>
  <si>
    <t>1º Trimestre - 2026</t>
  </si>
  <si>
    <t>2º Trimestre - 2026</t>
  </si>
  <si>
    <t>3º Trimestre - 2026</t>
  </si>
  <si>
    <t>4º Trimestre - 2026</t>
  </si>
  <si>
    <t>Total de Passagens Aéreas</t>
  </si>
  <si>
    <t>Total de Passagens Terrestres</t>
  </si>
  <si>
    <t>Média Dias de Antecedência (Passagens Aéreas)</t>
  </si>
  <si>
    <t>Quilometragem Total (Passagens Aéreas)</t>
  </si>
  <si>
    <t>Quilometragem Total (Passagens Terrestres)</t>
  </si>
  <si>
    <t>Destino mais frequente</t>
  </si>
  <si>
    <t>Total de Cancelamentos (Passagens Aéreas)</t>
  </si>
  <si>
    <t>Total de Cancelamentos (Passagens Terrestres)</t>
  </si>
  <si>
    <t>Taxa de Cancelamento (Passagens Aéreas)</t>
  </si>
  <si>
    <t>Taxa de Cancelamento (Passagens Terrestres)</t>
  </si>
  <si>
    <t>Cidade de Origem</t>
  </si>
  <si>
    <t>Cidade de Destino</t>
  </si>
  <si>
    <t>Setor</t>
  </si>
  <si>
    <t>TRECHOS LONGOS</t>
  </si>
  <si>
    <t>HOSPEDAGEM</t>
  </si>
  <si>
    <t>TRANSLADO</t>
  </si>
  <si>
    <t>PRODUÇÃO</t>
  </si>
  <si>
    <t>DISTRIBUIÇÃO</t>
  </si>
  <si>
    <t>ESTOQUE</t>
  </si>
  <si>
    <t>ID do Produto</t>
  </si>
  <si>
    <t>Regional</t>
  </si>
  <si>
    <t>Produto</t>
  </si>
  <si>
    <t>Quantidade</t>
  </si>
  <si>
    <t>Estado</t>
  </si>
  <si>
    <t>Previsão de Entrega</t>
  </si>
  <si>
    <t>Qtde. Defeituosos</t>
  </si>
  <si>
    <t>Data de Entrega</t>
  </si>
  <si>
    <t>Qtde. Não Conforme</t>
  </si>
  <si>
    <t>Cumpriu o Prazo?</t>
  </si>
  <si>
    <t>Taxa de Defeituosos (%)</t>
  </si>
  <si>
    <t>Total a ser Entregue</t>
  </si>
  <si>
    <t>Taxa de Não Conformes (%)</t>
  </si>
  <si>
    <t>Número de Produtos Entregues: 1ª Remessa</t>
  </si>
  <si>
    <t>Distribuição por Setor</t>
  </si>
  <si>
    <t>Início da Produção</t>
  </si>
  <si>
    <t>Percentual de Produtos Entregues: 1ª Remessa</t>
  </si>
  <si>
    <t>Frequência de Cidades de Destino</t>
  </si>
  <si>
    <t>Fim da Produção</t>
  </si>
  <si>
    <t>Número de Produtos Entregues: 2ª Remessa</t>
  </si>
  <si>
    <t>Tempo de Produção (Dias)</t>
  </si>
  <si>
    <t>Percentual de Produtos Entregues: 2ª Remessa</t>
  </si>
  <si>
    <t>Número Total de Produtos Entregues</t>
  </si>
  <si>
    <t>Percentual Total de Produtos Entregues</t>
  </si>
  <si>
    <t>OTIF</t>
  </si>
  <si>
    <t>Status</t>
  </si>
  <si>
    <t>Pedagógico</t>
  </si>
  <si>
    <t>Direção Geral</t>
  </si>
  <si>
    <t>Operações</t>
  </si>
  <si>
    <t>Institucional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</si>
</sst>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/mm/yyyy"/>
    <numFmt numFmtId="165" formatCode="_([$R$ -416]* #,##0.00_);_([$R$ -416]* \(#,##0.00\);_([$R$ -416]* &quot;-&quot;??_);_(@_)"/>
    <numFmt numFmtId="166" formatCode="d/m/yyyy"/>
    <numFmt numFmtId="167" formatCode="[$R$ -416]#,##0.00"/>
    <numFmt numFmtId="168" formatCode="#,##0.0"/>
    <numFmt numFmtId="169" formatCode="0.0"/>
    <numFmt numFmtId="170" formatCode="mmm&quot;-&quot;yyyy"/>
  </numFmts>
  <fonts count="18">
    <font>
      <sz val="10.0"/>
      <color rgb="FF000000"/>
      <name val="Arial"/>
      <scheme val="minor"/>
    </font>
    <font>
      <color rgb="FF000000"/>
      <name val="Arial"/>
      <scheme val="minor"/>
    </font>
    <font>
      <b/>
      <color rgb="FF000000"/>
      <name val="Arial"/>
    </font>
    <font>
      <color theme="1"/>
      <name val="Arial"/>
    </font>
    <font>
      <b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0.0"/>
      <color rgb="FF000000"/>
      <name val="Arial"/>
      <scheme val="minor"/>
    </font>
    <font>
      <b/>
      <color rgb="FF0000FF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color rgb="FF0000FF"/>
      <name val="Arial"/>
    </font>
    <font>
      <b/>
      <color theme="1"/>
      <name val="Arial"/>
    </font>
    <font>
      <b/>
      <color rgb="FFFFFFFF"/>
      <name val="Arial"/>
      <scheme val="minor"/>
    </font>
    <font>
      <sz val="9.0"/>
      <color rgb="FF000000"/>
      <name val="Arial"/>
      <scheme val="minor"/>
    </font>
    <font>
      <sz val="9.0"/>
      <color theme="1"/>
      <name val="Arial"/>
      <scheme val="minor"/>
    </font>
    <font>
      <sz val="9.0"/>
      <color theme="1"/>
      <name val="Arial"/>
    </font>
    <font>
      <sz val="9.0"/>
      <color rgb="FF00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E6B8AF"/>
        <bgColor rgb="FFE6B8AF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20124D"/>
        <bgColor rgb="FF20124D"/>
      </patternFill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shrinkToFit="0" vertical="center" wrapText="1"/>
    </xf>
    <xf borderId="0" fillId="4" fontId="1" numFmtId="0" xfId="0" applyAlignment="1" applyFill="1" applyFont="1">
      <alignment horizontal="center" readingOrder="0" vertical="center"/>
    </xf>
    <xf borderId="0" fillId="4" fontId="1" numFmtId="0" xfId="0" applyAlignment="1" applyFont="1">
      <alignment readingOrder="0" vertical="center"/>
    </xf>
    <xf borderId="0" fillId="4" fontId="1" numFmtId="164" xfId="0" applyAlignment="1" applyFont="1" applyNumberFormat="1">
      <alignment horizontal="center" readingOrder="0" vertical="center"/>
    </xf>
    <xf borderId="0" fillId="4" fontId="1" numFmtId="0" xfId="0" applyAlignment="1" applyFont="1">
      <alignment horizontal="center" vertical="center"/>
    </xf>
    <xf borderId="0" fillId="4" fontId="1" numFmtId="4" xfId="0" applyAlignment="1" applyFont="1" applyNumberFormat="1">
      <alignment readingOrder="0" vertical="center"/>
    </xf>
    <xf borderId="0" fillId="4" fontId="1" numFmtId="3" xfId="0" applyAlignment="1" applyFont="1" applyNumberFormat="1">
      <alignment readingOrder="0" vertical="center"/>
    </xf>
    <xf borderId="0" fillId="4" fontId="1" numFmtId="4" xfId="0" applyAlignment="1" applyFont="1" applyNumberFormat="1">
      <alignment horizontal="right" readingOrder="0" vertical="center"/>
    </xf>
    <xf borderId="0" fillId="4" fontId="1" numFmtId="4" xfId="0" applyAlignment="1" applyFont="1" applyNumberFormat="1">
      <alignment horizontal="right" vertical="center"/>
    </xf>
    <xf borderId="0" fillId="4" fontId="1" numFmtId="3" xfId="0" applyAlignment="1" applyFont="1" applyNumberFormat="1">
      <alignment horizontal="right" vertical="center"/>
    </xf>
    <xf borderId="0" fillId="4" fontId="1" numFmtId="4" xfId="0" applyAlignment="1" applyFont="1" applyNumberFormat="1">
      <alignment vertical="center"/>
    </xf>
    <xf borderId="0" fillId="4" fontId="1" numFmtId="3" xfId="0" applyAlignment="1" applyFont="1" applyNumberFormat="1">
      <alignment vertical="center"/>
    </xf>
    <xf borderId="0" fillId="4" fontId="1" numFmtId="0" xfId="0" applyAlignment="1" applyFont="1">
      <alignment vertical="center"/>
    </xf>
    <xf borderId="0" fillId="4" fontId="1" numFmtId="3" xfId="0" applyAlignment="1" applyFont="1" applyNumberFormat="1">
      <alignment horizontal="right" readingOrder="0" vertical="center"/>
    </xf>
    <xf borderId="0" fillId="5" fontId="1" numFmtId="0" xfId="0" applyAlignment="1" applyFill="1" applyFont="1">
      <alignment horizontal="center" readingOrder="0" vertical="center"/>
    </xf>
    <xf borderId="0" fillId="5" fontId="1" numFmtId="0" xfId="0" applyAlignment="1" applyFont="1">
      <alignment readingOrder="0" vertical="center"/>
    </xf>
    <xf borderId="0" fillId="5" fontId="1" numFmtId="164" xfId="0" applyAlignment="1" applyFont="1" applyNumberFormat="1">
      <alignment horizontal="center" readingOrder="0" vertical="center"/>
    </xf>
    <xf borderId="0" fillId="5" fontId="1" numFmtId="0" xfId="0" applyAlignment="1" applyFont="1">
      <alignment horizontal="center" vertical="center"/>
    </xf>
    <xf borderId="0" fillId="5" fontId="1" numFmtId="4" xfId="0" applyAlignment="1" applyFont="1" applyNumberFormat="1">
      <alignment readingOrder="0" vertical="center"/>
    </xf>
    <xf borderId="0" fillId="5" fontId="1" numFmtId="4" xfId="0" applyAlignment="1" applyFont="1" applyNumberFormat="1">
      <alignment horizontal="right" vertical="center"/>
    </xf>
    <xf borderId="0" fillId="5" fontId="1" numFmtId="3" xfId="0" applyAlignment="1" applyFont="1" applyNumberFormat="1">
      <alignment horizontal="right" vertical="center"/>
    </xf>
    <xf borderId="0" fillId="5" fontId="1" numFmtId="4" xfId="0" applyAlignment="1" applyFont="1" applyNumberFormat="1">
      <alignment vertical="center"/>
    </xf>
    <xf borderId="0" fillId="5" fontId="1" numFmtId="3" xfId="0" applyAlignment="1" applyFont="1" applyNumberFormat="1">
      <alignment vertical="center"/>
    </xf>
    <xf borderId="0" fillId="5" fontId="1" numFmtId="0" xfId="0" applyAlignment="1" applyFont="1">
      <alignment vertical="center"/>
    </xf>
    <xf borderId="0" fillId="5" fontId="1" numFmtId="165" xfId="0" applyAlignment="1" applyFont="1" applyNumberFormat="1">
      <alignment readingOrder="0" vertical="center"/>
    </xf>
    <xf borderId="0" fillId="5" fontId="1" numFmtId="165" xfId="0" applyAlignment="1" applyFont="1" applyNumberFormat="1">
      <alignment vertical="center"/>
    </xf>
    <xf borderId="0" fillId="6" fontId="1" numFmtId="0" xfId="0" applyAlignment="1" applyFill="1" applyFont="1">
      <alignment horizontal="center" readingOrder="0" vertical="center"/>
    </xf>
    <xf borderId="0" fillId="6" fontId="1" numFmtId="0" xfId="0" applyAlignment="1" applyFont="1">
      <alignment readingOrder="0" vertical="center"/>
    </xf>
    <xf borderId="0" fillId="6" fontId="1" numFmtId="164" xfId="0" applyAlignment="1" applyFont="1" applyNumberFormat="1">
      <alignment horizontal="center" readingOrder="0" vertical="center"/>
    </xf>
    <xf borderId="0" fillId="6" fontId="1" numFmtId="0" xfId="0" applyAlignment="1" applyFont="1">
      <alignment horizontal="center" vertical="center"/>
    </xf>
    <xf borderId="0" fillId="6" fontId="1" numFmtId="165" xfId="0" applyAlignment="1" applyFont="1" applyNumberFormat="1">
      <alignment readingOrder="0" vertical="center"/>
    </xf>
    <xf borderId="0" fillId="6" fontId="1" numFmtId="0" xfId="0" applyAlignment="1" applyFont="1">
      <alignment vertical="center"/>
    </xf>
    <xf borderId="0" fillId="6" fontId="1" numFmtId="4" xfId="0" applyAlignment="1" applyFont="1" applyNumberFormat="1">
      <alignment horizontal="right" vertical="center"/>
    </xf>
    <xf borderId="0" fillId="6" fontId="1" numFmtId="3" xfId="0" applyAlignment="1" applyFont="1" applyNumberFormat="1">
      <alignment horizontal="right" vertical="center"/>
    </xf>
    <xf borderId="0" fillId="6" fontId="1" numFmtId="4" xfId="0" applyAlignment="1" applyFont="1" applyNumberFormat="1">
      <alignment vertical="center"/>
    </xf>
    <xf borderId="0" fillId="6" fontId="1" numFmtId="3" xfId="0" applyAlignment="1" applyFont="1" applyNumberFormat="1">
      <alignment vertical="center"/>
    </xf>
    <xf borderId="0" fillId="6" fontId="1" numFmtId="4" xfId="0" applyAlignment="1" applyFont="1" applyNumberFormat="1">
      <alignment horizontal="right" readingOrder="0" vertical="center"/>
    </xf>
    <xf borderId="0" fillId="6" fontId="3" numFmtId="0" xfId="0" applyAlignment="1" applyFont="1">
      <alignment horizontal="center" readingOrder="0"/>
    </xf>
    <xf borderId="0" fillId="6" fontId="3" numFmtId="0" xfId="0" applyFont="1"/>
    <xf borderId="0" fillId="6" fontId="3" numFmtId="0" xfId="0" applyAlignment="1" applyFont="1">
      <alignment readingOrder="0"/>
    </xf>
    <xf borderId="0" fillId="6" fontId="3" numFmtId="164" xfId="0" applyAlignment="1" applyFont="1" applyNumberFormat="1">
      <alignment horizontal="center"/>
    </xf>
    <xf borderId="0" fillId="6" fontId="3" numFmtId="0" xfId="0" applyAlignment="1" applyFont="1">
      <alignment horizontal="center"/>
    </xf>
    <xf borderId="0" fillId="6" fontId="3" numFmtId="0" xfId="0" applyAlignment="1" applyFont="1">
      <alignment horizontal="center"/>
    </xf>
    <xf borderId="0" fillId="6" fontId="3" numFmtId="165" xfId="0" applyAlignment="1" applyFont="1" applyNumberFormat="1">
      <alignment horizontal="right"/>
    </xf>
    <xf borderId="0" fillId="6" fontId="3" numFmtId="0" xfId="0" applyAlignment="1" applyFont="1">
      <alignment horizontal="right"/>
    </xf>
    <xf borderId="0" fillId="6" fontId="3" numFmtId="4" xfId="0" applyAlignment="1" applyFont="1" applyNumberFormat="1">
      <alignment horizontal="right"/>
    </xf>
    <xf borderId="0" fillId="6" fontId="3" numFmtId="3" xfId="0" applyAlignment="1" applyFont="1" applyNumberFormat="1">
      <alignment horizontal="right"/>
    </xf>
    <xf borderId="0" fillId="6" fontId="3" numFmtId="0" xfId="0" applyFont="1"/>
    <xf borderId="0" fillId="6" fontId="1" numFmtId="3" xfId="0" applyAlignment="1" applyFont="1" applyNumberFormat="1">
      <alignment horizontal="right" readingOrder="0" vertical="center"/>
    </xf>
    <xf borderId="0" fillId="6" fontId="1" numFmtId="165" xfId="0" applyAlignment="1" applyFont="1" applyNumberFormat="1">
      <alignment vertical="center"/>
    </xf>
    <xf borderId="0" fillId="3" fontId="1" numFmtId="0" xfId="0" applyAlignment="1" applyFont="1">
      <alignment vertical="center"/>
    </xf>
    <xf borderId="0" fillId="2" fontId="4" numFmtId="0" xfId="0" applyAlignment="1" applyFont="1">
      <alignment horizontal="center" readingOrder="0" shrinkToFit="0" vertical="center" wrapText="1"/>
    </xf>
    <xf borderId="0" fillId="0" fontId="5" numFmtId="0" xfId="0" applyFont="1"/>
    <xf borderId="0" fillId="0" fontId="6" numFmtId="0" xfId="0" applyAlignment="1" applyFont="1">
      <alignment horizontal="center" readingOrder="0" shrinkToFit="0" vertical="center" wrapText="1"/>
    </xf>
    <xf borderId="0" fillId="7" fontId="6" numFmtId="0" xfId="0" applyAlignment="1" applyFill="1" applyFont="1">
      <alignment horizontal="center" readingOrder="0" shrinkToFit="0" vertical="center" wrapText="1"/>
    </xf>
    <xf borderId="0" fillId="7" fontId="6" numFmtId="0" xfId="0" applyAlignment="1" applyFont="1">
      <alignment horizontal="center" readingOrder="0" vertical="center"/>
    </xf>
    <xf borderId="0" fillId="8" fontId="6" numFmtId="0" xfId="0" applyAlignment="1" applyFill="1" applyFont="1">
      <alignment horizontal="center" readingOrder="0" shrinkToFit="0" vertical="center" wrapText="1"/>
    </xf>
    <xf borderId="0" fillId="0" fontId="6" numFmtId="0" xfId="0" applyFont="1"/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0" fillId="7" fontId="5" numFmtId="166" xfId="0" applyAlignment="1" applyFont="1" applyNumberFormat="1">
      <alignment readingOrder="0" vertical="center"/>
    </xf>
    <xf borderId="0" fillId="7" fontId="5" numFmtId="164" xfId="0" applyAlignment="1" applyFont="1" applyNumberFormat="1">
      <alignment horizontal="center" readingOrder="0" vertical="center"/>
    </xf>
    <xf borderId="0" fillId="7" fontId="5" numFmtId="0" xfId="0" applyAlignment="1" applyFont="1">
      <alignment horizontal="center" vertical="center"/>
    </xf>
    <xf borderId="0" fillId="8" fontId="5" numFmtId="4" xfId="0" applyAlignment="1" applyFont="1" applyNumberFormat="1">
      <alignment horizontal="center" readingOrder="0" vertical="center"/>
    </xf>
    <xf borderId="0" fillId="8" fontId="5" numFmtId="2" xfId="0" applyAlignment="1" applyFont="1" applyNumberFormat="1">
      <alignment horizontal="center" readingOrder="0" vertical="center"/>
    </xf>
    <xf borderId="0" fillId="0" fontId="5" numFmtId="0" xfId="0" applyAlignment="1" applyFont="1">
      <alignment vertical="center"/>
    </xf>
    <xf borderId="0" fillId="7" fontId="5" numFmtId="164" xfId="0" applyAlignment="1" applyFont="1" applyNumberFormat="1">
      <alignment readingOrder="0" vertical="center"/>
    </xf>
    <xf borderId="0" fillId="8" fontId="5" numFmtId="0" xfId="0" applyAlignment="1" applyFont="1">
      <alignment horizontal="center" readingOrder="0" vertical="center"/>
    </xf>
    <xf borderId="0" fillId="7" fontId="5" numFmtId="0" xfId="0" applyAlignment="1" applyFont="1">
      <alignment vertical="center"/>
    </xf>
    <xf borderId="0" fillId="8" fontId="5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8" fontId="5" numFmtId="0" xfId="0" applyAlignment="1" applyFont="1">
      <alignment vertical="center"/>
    </xf>
    <xf borderId="0" fillId="0" fontId="6" numFmtId="0" xfId="0" applyAlignment="1" applyFont="1">
      <alignment horizontal="center" shrinkToFit="0" vertical="center" wrapText="1"/>
    </xf>
    <xf borderId="0" fillId="0" fontId="5" numFmtId="164" xfId="0" applyAlignment="1" applyFont="1" applyNumberFormat="1">
      <alignment horizontal="center" readingOrder="0" vertical="center"/>
    </xf>
    <xf borderId="0" fillId="0" fontId="5" numFmtId="165" xfId="0" applyAlignment="1" applyFont="1" applyNumberFormat="1">
      <alignment readingOrder="0" vertical="center"/>
    </xf>
    <xf borderId="0" fillId="0" fontId="5" numFmtId="165" xfId="0" applyAlignment="1" applyFont="1" applyNumberFormat="1">
      <alignment vertical="center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/>
    </xf>
    <xf borderId="0" fillId="0" fontId="5" numFmtId="164" xfId="0" applyAlignment="1" applyFont="1" applyNumberFormat="1">
      <alignment horizontal="center"/>
    </xf>
    <xf borderId="0" fillId="0" fontId="5" numFmtId="4" xfId="0" applyFont="1" applyNumberFormat="1"/>
    <xf borderId="0" fillId="0" fontId="5" numFmtId="3" xfId="0" applyFont="1" applyNumberFormat="1"/>
    <xf borderId="0" fillId="0" fontId="4" numFmtId="0" xfId="0" applyAlignment="1" applyFont="1">
      <alignment horizontal="center" readingOrder="0" shrinkToFit="0" vertical="center" wrapText="1"/>
    </xf>
    <xf borderId="0" fillId="2" fontId="1" numFmtId="2" xfId="0" applyAlignment="1" applyFont="1" applyNumberFormat="1">
      <alignment horizontal="center" vertical="center"/>
    </xf>
    <xf borderId="0" fillId="2" fontId="1" numFmtId="1" xfId="0" applyAlignment="1" applyFont="1" applyNumberFormat="1">
      <alignment horizontal="center" vertical="center"/>
    </xf>
    <xf borderId="0" fillId="2" fontId="1" numFmtId="10" xfId="0" applyAlignment="1" applyFont="1" applyNumberFormat="1">
      <alignment horizontal="center" vertical="center"/>
    </xf>
    <xf borderId="1" fillId="2" fontId="7" numFmtId="0" xfId="0" applyAlignment="1" applyBorder="1" applyFont="1">
      <alignment horizontal="center" readingOrder="0" shrinkToFit="0" vertical="center" wrapText="1"/>
    </xf>
    <xf borderId="1" fillId="9" fontId="8" numFmtId="0" xfId="0" applyAlignment="1" applyBorder="1" applyFill="1" applyFont="1">
      <alignment horizontal="center" readingOrder="0" shrinkToFit="0" vertical="center" wrapText="1"/>
    </xf>
    <xf borderId="1" fillId="9" fontId="4" numFmtId="0" xfId="0" applyAlignment="1" applyBorder="1" applyFont="1">
      <alignment horizontal="center" readingOrder="0" shrinkToFit="0" vertical="center" wrapText="1"/>
    </xf>
    <xf borderId="1" fillId="2" fontId="8" numFmtId="0" xfId="0" applyAlignment="1" applyBorder="1" applyFont="1">
      <alignment horizontal="center" readingOrder="0" shrinkToFit="0" vertical="center" wrapText="1"/>
    </xf>
    <xf borderId="1" fillId="2" fontId="4" numFmtId="0" xfId="0" applyAlignment="1" applyBorder="1" applyFont="1">
      <alignment horizontal="center" readingOrder="0" shrinkToFit="0" vertical="center" wrapText="1"/>
    </xf>
    <xf borderId="1" fillId="2" fontId="9" numFmtId="0" xfId="0" applyAlignment="1" applyBorder="1" applyFont="1">
      <alignment horizontal="center" readingOrder="0" shrinkToFit="0" vertical="center" wrapText="1"/>
    </xf>
    <xf borderId="1" fillId="9" fontId="10" numFmtId="167" xfId="0" applyAlignment="1" applyBorder="1" applyFont="1" applyNumberFormat="1">
      <alignment horizontal="right" readingOrder="0" shrinkToFit="0" vertical="center" wrapText="1"/>
    </xf>
    <xf borderId="1" fillId="9" fontId="10" numFmtId="3" xfId="0" applyAlignment="1" applyBorder="1" applyFont="1" applyNumberFormat="1">
      <alignment horizontal="right" readingOrder="0" shrinkToFit="0" vertical="center" wrapText="1"/>
    </xf>
    <xf borderId="1" fillId="9" fontId="10" numFmtId="167" xfId="0" applyAlignment="1" applyBorder="1" applyFont="1" applyNumberFormat="1">
      <alignment horizontal="right" shrinkToFit="0" vertical="center" wrapText="1"/>
    </xf>
    <xf borderId="1" fillId="9" fontId="10" numFmtId="168" xfId="0" applyAlignment="1" applyBorder="1" applyFont="1" applyNumberFormat="1">
      <alignment horizontal="right" shrinkToFit="0" vertical="center" wrapText="1"/>
    </xf>
    <xf borderId="1" fillId="9" fontId="10" numFmtId="169" xfId="0" applyAlignment="1" applyBorder="1" applyFont="1" applyNumberFormat="1">
      <alignment horizontal="right" readingOrder="0" shrinkToFit="0" vertical="center" wrapText="1"/>
    </xf>
    <xf borderId="1" fillId="9" fontId="10" numFmtId="10" xfId="0" applyAlignment="1" applyBorder="1" applyFont="1" applyNumberFormat="1">
      <alignment horizontal="right" readingOrder="0" shrinkToFit="0" vertical="center" wrapText="1"/>
    </xf>
    <xf borderId="1" fillId="2" fontId="10" numFmtId="167" xfId="0" applyAlignment="1" applyBorder="1" applyFont="1" applyNumberFormat="1">
      <alignment horizontal="right" readingOrder="0" shrinkToFit="0" vertical="center" wrapText="1"/>
    </xf>
    <xf borderId="1" fillId="2" fontId="10" numFmtId="0" xfId="0" applyAlignment="1" applyBorder="1" applyFont="1">
      <alignment horizontal="right" readingOrder="0" shrinkToFit="0" vertical="center" wrapText="1"/>
    </xf>
    <xf borderId="1" fillId="2" fontId="10" numFmtId="10" xfId="0" applyAlignment="1" applyBorder="1" applyFont="1" applyNumberFormat="1">
      <alignment horizontal="right" readingOrder="0" shrinkToFit="0" vertical="center" wrapText="1"/>
    </xf>
    <xf borderId="1" fillId="9" fontId="10" numFmtId="0" xfId="0" applyAlignment="1" applyBorder="1" applyFont="1">
      <alignment horizontal="right" readingOrder="0" shrinkToFit="0" vertical="center" wrapText="1"/>
    </xf>
    <xf borderId="1" fillId="9" fontId="10" numFmtId="3" xfId="0" applyAlignment="1" applyBorder="1" applyFont="1" applyNumberFormat="1">
      <alignment horizontal="right" shrinkToFit="0" vertical="center" wrapText="1"/>
    </xf>
    <xf borderId="1" fillId="9" fontId="10" numFmtId="0" xfId="0" applyAlignment="1" applyBorder="1" applyFont="1">
      <alignment horizontal="right" shrinkToFit="0" vertical="center" wrapText="1"/>
    </xf>
    <xf borderId="1" fillId="0" fontId="5" numFmtId="167" xfId="0" applyAlignment="1" applyBorder="1" applyFont="1" applyNumberFormat="1">
      <alignment horizontal="right" vertical="center"/>
    </xf>
    <xf borderId="1" fillId="0" fontId="5" numFmtId="0" xfId="0" applyAlignment="1" applyBorder="1" applyFont="1">
      <alignment horizontal="right" vertical="center"/>
    </xf>
    <xf borderId="1" fillId="9" fontId="5" numFmtId="167" xfId="0" applyAlignment="1" applyBorder="1" applyFont="1" applyNumberFormat="1">
      <alignment horizontal="right" vertical="center"/>
    </xf>
    <xf borderId="1" fillId="9" fontId="5" numFmtId="0" xfId="0" applyAlignment="1" applyBorder="1" applyFont="1">
      <alignment horizontal="right" vertical="center"/>
    </xf>
    <xf borderId="1" fillId="2" fontId="9" numFmtId="170" xfId="0" applyAlignment="1" applyBorder="1" applyFont="1" applyNumberFormat="1">
      <alignment horizontal="center" readingOrder="0" shrinkToFit="0" vertical="center" wrapText="1"/>
    </xf>
    <xf borderId="0" fillId="0" fontId="5" numFmtId="0" xfId="0" applyAlignment="1" applyFont="1">
      <alignment horizontal="right" vertical="center"/>
    </xf>
    <xf borderId="0" fillId="0" fontId="6" numFmtId="0" xfId="0" applyAlignment="1" applyFont="1">
      <alignment readingOrder="0"/>
    </xf>
    <xf borderId="1" fillId="9" fontId="11" numFmtId="0" xfId="0" applyAlignment="1" applyBorder="1" applyFont="1">
      <alignment horizontal="center" shrinkToFit="0" vertical="center" wrapText="1"/>
    </xf>
    <xf borderId="1" fillId="9" fontId="11" numFmtId="0" xfId="0" applyAlignment="1" applyBorder="1" applyFont="1">
      <alignment horizontal="center" readingOrder="0" shrinkToFit="0" vertical="center" wrapText="1"/>
    </xf>
    <xf borderId="1" fillId="9" fontId="12" numFmtId="0" xfId="0" applyAlignment="1" applyBorder="1" applyFont="1">
      <alignment horizontal="center" shrinkToFit="0" vertical="center" wrapText="1"/>
    </xf>
    <xf borderId="1" fillId="2" fontId="11" numFmtId="0" xfId="0" applyAlignment="1" applyBorder="1" applyFont="1">
      <alignment horizontal="center" shrinkToFit="0" vertical="center" wrapText="1"/>
    </xf>
    <xf borderId="1" fillId="2" fontId="12" numFmtId="0" xfId="0" applyAlignment="1" applyBorder="1" applyFont="1">
      <alignment horizontal="center" shrinkToFit="0" vertical="center" wrapText="1"/>
    </xf>
    <xf borderId="1" fillId="9" fontId="11" numFmtId="0" xfId="0" applyAlignment="1" applyBorder="1" applyFont="1">
      <alignment horizontal="center" shrinkToFit="0" vertical="center" wrapText="1"/>
    </xf>
    <xf borderId="1" fillId="2" fontId="11" numFmtId="0" xfId="0" applyAlignment="1" applyBorder="1" applyFont="1">
      <alignment horizontal="center" shrinkToFit="0" vertical="center" wrapText="1"/>
    </xf>
    <xf borderId="1" fillId="2" fontId="12" numFmtId="0" xfId="0" applyAlignment="1" applyBorder="1" applyFont="1">
      <alignment horizontal="center" shrinkToFit="0" vertical="center" wrapText="1"/>
    </xf>
    <xf borderId="1" fillId="9" fontId="10" numFmtId="169" xfId="0" applyAlignment="1" applyBorder="1" applyFont="1" applyNumberFormat="1">
      <alignment horizontal="right" shrinkToFit="0" vertical="center" wrapText="1"/>
    </xf>
    <xf borderId="1" fillId="9" fontId="5" numFmtId="10" xfId="0" applyAlignment="1" applyBorder="1" applyFont="1" applyNumberFormat="1">
      <alignment horizontal="center" vertical="center"/>
    </xf>
    <xf borderId="1" fillId="2" fontId="10" numFmtId="167" xfId="0" applyAlignment="1" applyBorder="1" applyFont="1" applyNumberFormat="1">
      <alignment horizontal="right" shrinkToFit="0" vertical="center" wrapText="1"/>
    </xf>
    <xf borderId="1" fillId="2" fontId="10" numFmtId="0" xfId="0" applyAlignment="1" applyBorder="1" applyFont="1">
      <alignment horizontal="right" shrinkToFit="0" vertical="center" wrapText="1"/>
    </xf>
    <xf borderId="1" fillId="9" fontId="10" numFmtId="0" xfId="0" applyAlignment="1" applyBorder="1" applyFont="1">
      <alignment horizontal="right" shrinkToFit="0" vertical="center" wrapText="1"/>
    </xf>
    <xf borderId="1" fillId="2" fontId="5" numFmtId="167" xfId="0" applyAlignment="1" applyBorder="1" applyFont="1" applyNumberFormat="1">
      <alignment horizontal="right" vertical="center"/>
    </xf>
    <xf borderId="0" fillId="2" fontId="9" numFmtId="170" xfId="0" applyAlignment="1" applyFont="1" applyNumberFormat="1">
      <alignment horizontal="center" readingOrder="0" shrinkToFit="0" vertical="center" wrapText="1"/>
    </xf>
    <xf borderId="0" fillId="2" fontId="9" numFmtId="0" xfId="0" applyAlignment="1" applyFont="1">
      <alignment horizontal="center" shrinkToFit="0" vertical="center" wrapText="1"/>
    </xf>
    <xf borderId="1" fillId="10" fontId="13" numFmtId="0" xfId="0" applyAlignment="1" applyBorder="1" applyFill="1" applyFont="1">
      <alignment horizontal="center" readingOrder="0" shrinkToFit="0" vertical="center" wrapText="1"/>
    </xf>
    <xf borderId="1" fillId="2" fontId="5" numFmtId="0" xfId="0" applyAlignment="1" applyBorder="1" applyFont="1">
      <alignment horizontal="center" readingOrder="0" vertical="center"/>
    </xf>
    <xf borderId="1" fillId="2" fontId="5" numFmtId="0" xfId="0" applyAlignment="1" applyBorder="1" applyFont="1">
      <alignment horizontal="center" vertical="center"/>
    </xf>
    <xf borderId="1" fillId="2" fontId="10" numFmtId="3" xfId="0" applyAlignment="1" applyBorder="1" applyFont="1" applyNumberFormat="1">
      <alignment horizontal="center" readingOrder="0" shrinkToFit="0" vertical="center" wrapText="1"/>
    </xf>
    <xf borderId="1" fillId="0" fontId="5" numFmtId="10" xfId="0" applyAlignment="1" applyBorder="1" applyFont="1" applyNumberFormat="1">
      <alignment horizontal="center" vertical="center"/>
    </xf>
    <xf borderId="1" fillId="0" fontId="5" numFmtId="0" xfId="0" applyAlignment="1" applyBorder="1" applyFont="1">
      <alignment horizontal="center" vertical="center"/>
    </xf>
    <xf borderId="0" fillId="11" fontId="5" numFmtId="0" xfId="0" applyFill="1" applyFont="1"/>
    <xf borderId="1" fillId="0" fontId="5" numFmtId="0" xfId="0" applyBorder="1" applyFont="1"/>
    <xf borderId="1" fillId="0" fontId="5" numFmtId="0" xfId="0" applyAlignment="1" applyBorder="1" applyFont="1">
      <alignment horizontal="center"/>
    </xf>
    <xf borderId="1" fillId="0" fontId="6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0" fontId="14" numFmtId="0" xfId="0" applyAlignment="1" applyBorder="1" applyFont="1">
      <alignment horizontal="center" readingOrder="0" shrinkToFit="0" vertical="center" wrapText="1"/>
    </xf>
    <xf borderId="1" fillId="0" fontId="15" numFmtId="0" xfId="0" applyAlignment="1" applyBorder="1" applyFont="1">
      <alignment horizontal="center" readingOrder="0" shrinkToFit="0" vertical="center" wrapText="1"/>
    </xf>
    <xf borderId="1" fillId="2" fontId="16" numFmtId="0" xfId="0" applyAlignment="1" applyBorder="1" applyFont="1">
      <alignment horizontal="center" shrinkToFit="0" vertical="center" wrapText="1"/>
    </xf>
    <xf borderId="1" fillId="0" fontId="16" numFmtId="0" xfId="0" applyAlignment="1" applyBorder="1" applyFont="1">
      <alignment horizontal="center" shrinkToFit="0" wrapText="1"/>
    </xf>
    <xf borderId="0" fillId="0" fontId="15" numFmtId="0" xfId="0" applyFont="1"/>
    <xf borderId="1" fillId="0" fontId="16" numFmtId="0" xfId="0" applyAlignment="1" applyBorder="1" applyFont="1">
      <alignment horizontal="center"/>
    </xf>
    <xf borderId="0" fillId="0" fontId="15" numFmtId="0" xfId="0" applyAlignment="1" applyFont="1">
      <alignment horizontal="center"/>
    </xf>
    <xf borderId="1" fillId="0" fontId="15" numFmtId="0" xfId="0" applyAlignment="1" applyBorder="1" applyFont="1">
      <alignment horizontal="center" readingOrder="0"/>
    </xf>
    <xf borderId="1" fillId="0" fontId="17" numFmtId="0" xfId="0" applyAlignment="1" applyBorder="1" applyFont="1">
      <alignment horizontal="center" readingOrder="0" shrinkToFit="0" vertical="center" wrapText="1"/>
    </xf>
    <xf borderId="1" fillId="0" fontId="15" numFmtId="0" xfId="0" applyAlignment="1" applyBorder="1" applyFont="1">
      <alignment horizontal="center" readingOrder="0" shrinkToFit="0" wrapText="1"/>
    </xf>
    <xf borderId="1" fillId="0" fontId="5" numFmtId="0" xfId="0" applyAlignment="1" applyBorder="1" applyFont="1">
      <alignment horizontal="center" readingOrder="0" vertical="center"/>
    </xf>
    <xf borderId="1" fillId="0" fontId="5" numFmtId="3" xfId="0" applyAlignment="1" applyBorder="1" applyFont="1" applyNumberFormat="1">
      <alignment horizontal="center" readingOrder="0" vertical="center"/>
    </xf>
    <xf borderId="1" fillId="0" fontId="5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88"/>
    <col customWidth="1" min="2" max="2" width="28.25"/>
    <col customWidth="1" min="3" max="3" width="19.25"/>
    <col customWidth="1" min="4" max="4" width="18.88"/>
    <col customWidth="1" min="5" max="5" width="14.75"/>
    <col customWidth="1" min="7" max="7" width="16.75"/>
    <col customWidth="1" min="8" max="8" width="18.13"/>
    <col customWidth="1" min="9" max="10" width="20.13"/>
    <col customWidth="1" min="11" max="11" width="19.88"/>
    <col customWidth="1" min="14" max="14" width="19.0"/>
    <col customWidth="1" min="15" max="15" width="19.5"/>
    <col customWidth="1" min="16" max="16" width="16.13"/>
    <col customWidth="1" min="17" max="19" width="16.75"/>
    <col customWidth="1" min="20" max="20" width="19.0"/>
    <col customWidth="1" min="21" max="21" width="17.13"/>
    <col customWidth="1" min="22" max="22" width="16.75"/>
    <col customWidth="1" min="23" max="26" width="19.38"/>
  </cols>
  <sheetData>
    <row r="1" ht="4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10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22</v>
      </c>
      <c r="Y1" s="1" t="s">
        <v>23</v>
      </c>
      <c r="Z1" s="2" t="s">
        <v>24</v>
      </c>
      <c r="AA1" s="3"/>
      <c r="AB1" s="3"/>
      <c r="AC1" s="3"/>
      <c r="AD1" s="3"/>
      <c r="AE1" s="3"/>
      <c r="AF1" s="3"/>
      <c r="AG1" s="3"/>
      <c r="AH1" s="3"/>
    </row>
    <row r="2" ht="26.25" customHeight="1">
      <c r="A2" s="4">
        <v>1.0</v>
      </c>
      <c r="B2" s="5" t="s">
        <v>25</v>
      </c>
      <c r="C2" s="5" t="s">
        <v>26</v>
      </c>
      <c r="D2" s="5" t="s">
        <v>27</v>
      </c>
      <c r="E2" s="6">
        <v>46013.0</v>
      </c>
      <c r="F2" s="6">
        <v>46026.0</v>
      </c>
      <c r="G2" s="7">
        <f t="shared" ref="G2:G73" si="1">if(OR(E2 = "", F2 = ""), "", datedif(E2,F2,"D"))</f>
        <v>13</v>
      </c>
      <c r="H2" s="5" t="s">
        <v>28</v>
      </c>
      <c r="I2" s="4" t="s">
        <v>29</v>
      </c>
      <c r="J2" s="4" t="s">
        <v>30</v>
      </c>
      <c r="K2" s="4" t="s">
        <v>31</v>
      </c>
      <c r="L2" s="4" t="s">
        <v>32</v>
      </c>
      <c r="M2" s="4" t="s">
        <v>33</v>
      </c>
      <c r="N2" s="4" t="s">
        <v>34</v>
      </c>
      <c r="O2" s="4" t="s">
        <v>35</v>
      </c>
      <c r="P2" s="4">
        <v>1720.0</v>
      </c>
      <c r="Q2" s="5" t="s">
        <v>36</v>
      </c>
      <c r="R2" s="5"/>
      <c r="S2" s="5" t="s">
        <v>36</v>
      </c>
      <c r="T2" s="8">
        <v>2314.34</v>
      </c>
      <c r="U2" s="9">
        <v>0.0</v>
      </c>
      <c r="V2" s="10">
        <v>0.0</v>
      </c>
      <c r="W2" s="11">
        <f t="shared" ref="W2:W39" si="2">if($S2 = "NÃO", 0, if(and(UPPER($O2) = "GOL", $S2 = "SIM"), $T2+$V2, if(and(UPPER($O2) = "LATAM", $S2 = "SIM"), $T2 + $V2, "----")))</f>
        <v>0</v>
      </c>
      <c r="X2" s="12">
        <f t="shared" ref="X2:X11" si="3">if($S2 = "NÃO", 0, if(and(UPPER($O2) = "GOL", $S2 = "SIM"), 0.95*($U2), if(and(UPPER($O2) = "LATAM", $S2 = "SIM"), $U2, "----")))</f>
        <v>0</v>
      </c>
      <c r="Y2" s="13">
        <f t="shared" ref="Y2:Y73" si="4">if($W2 = "----", "Valor do reembolso?", $T2-$W2+$V2)</f>
        <v>2314.34</v>
      </c>
      <c r="Z2" s="14">
        <f t="shared" ref="Z2:Z12" si="5">if($X2 = "----", "Valor do reembolso?", $U2-$X2)</f>
        <v>0</v>
      </c>
      <c r="AA2" s="15"/>
      <c r="AB2" s="15"/>
      <c r="AC2" s="15"/>
      <c r="AD2" s="15"/>
      <c r="AE2" s="15"/>
      <c r="AF2" s="15"/>
      <c r="AG2" s="15"/>
      <c r="AH2" s="15"/>
    </row>
    <row r="3" ht="26.25" customHeight="1">
      <c r="A3" s="4">
        <v>1.0</v>
      </c>
      <c r="B3" s="5" t="s">
        <v>25</v>
      </c>
      <c r="C3" s="5" t="s">
        <v>26</v>
      </c>
      <c r="D3" s="5" t="s">
        <v>27</v>
      </c>
      <c r="E3" s="6">
        <v>46013.0</v>
      </c>
      <c r="F3" s="6">
        <v>46029.0</v>
      </c>
      <c r="G3" s="7">
        <f t="shared" si="1"/>
        <v>16</v>
      </c>
      <c r="H3" s="5" t="s">
        <v>28</v>
      </c>
      <c r="I3" s="4" t="s">
        <v>32</v>
      </c>
      <c r="J3" s="4" t="s">
        <v>33</v>
      </c>
      <c r="K3" s="4" t="s">
        <v>34</v>
      </c>
      <c r="L3" s="4" t="s">
        <v>29</v>
      </c>
      <c r="M3" s="4" t="s">
        <v>30</v>
      </c>
      <c r="N3" s="4" t="s">
        <v>31</v>
      </c>
      <c r="O3" s="4" t="s">
        <v>35</v>
      </c>
      <c r="P3" s="4">
        <v>1720.0</v>
      </c>
      <c r="Q3" s="5" t="s">
        <v>37</v>
      </c>
      <c r="R3" s="5"/>
      <c r="S3" s="5" t="s">
        <v>36</v>
      </c>
      <c r="T3" s="8">
        <v>1675.38</v>
      </c>
      <c r="U3" s="9">
        <v>0.0</v>
      </c>
      <c r="V3" s="10">
        <v>0.0</v>
      </c>
      <c r="W3" s="11">
        <f t="shared" si="2"/>
        <v>0</v>
      </c>
      <c r="X3" s="12">
        <f t="shared" si="3"/>
        <v>0</v>
      </c>
      <c r="Y3" s="13">
        <f t="shared" si="4"/>
        <v>1675.38</v>
      </c>
      <c r="Z3" s="14">
        <f t="shared" si="5"/>
        <v>0</v>
      </c>
      <c r="AA3" s="15"/>
      <c r="AB3" s="15"/>
      <c r="AC3" s="15"/>
      <c r="AD3" s="15"/>
      <c r="AE3" s="15"/>
      <c r="AF3" s="15"/>
      <c r="AG3" s="15"/>
      <c r="AH3" s="15"/>
    </row>
    <row r="4" ht="26.25" customHeight="1">
      <c r="A4" s="4">
        <v>2.0</v>
      </c>
      <c r="B4" s="5" t="s">
        <v>38</v>
      </c>
      <c r="C4" s="5" t="s">
        <v>26</v>
      </c>
      <c r="D4" s="5" t="s">
        <v>27</v>
      </c>
      <c r="E4" s="6">
        <v>46013.0</v>
      </c>
      <c r="F4" s="6">
        <v>46029.0</v>
      </c>
      <c r="G4" s="7">
        <f t="shared" si="1"/>
        <v>16</v>
      </c>
      <c r="H4" s="5" t="s">
        <v>28</v>
      </c>
      <c r="I4" s="4" t="s">
        <v>29</v>
      </c>
      <c r="J4" s="4" t="s">
        <v>30</v>
      </c>
      <c r="K4" s="4" t="s">
        <v>31</v>
      </c>
      <c r="L4" s="4" t="s">
        <v>32</v>
      </c>
      <c r="M4" s="4" t="s">
        <v>33</v>
      </c>
      <c r="N4" s="4" t="s">
        <v>34</v>
      </c>
      <c r="O4" s="4" t="s">
        <v>35</v>
      </c>
      <c r="P4" s="4">
        <v>1720.0</v>
      </c>
      <c r="Q4" s="5" t="s">
        <v>37</v>
      </c>
      <c r="R4" s="5"/>
      <c r="S4" s="5" t="s">
        <v>36</v>
      </c>
      <c r="T4" s="8">
        <v>1752.77</v>
      </c>
      <c r="U4" s="9">
        <v>0.0</v>
      </c>
      <c r="V4" s="10">
        <v>0.0</v>
      </c>
      <c r="W4" s="11">
        <f t="shared" si="2"/>
        <v>0</v>
      </c>
      <c r="X4" s="12">
        <f t="shared" si="3"/>
        <v>0</v>
      </c>
      <c r="Y4" s="13">
        <f t="shared" si="4"/>
        <v>1752.77</v>
      </c>
      <c r="Z4" s="14">
        <f t="shared" si="5"/>
        <v>0</v>
      </c>
      <c r="AA4" s="15"/>
      <c r="AB4" s="15"/>
      <c r="AC4" s="15"/>
      <c r="AD4" s="15"/>
      <c r="AE4" s="15"/>
      <c r="AF4" s="15"/>
      <c r="AG4" s="15"/>
      <c r="AH4" s="15"/>
    </row>
    <row r="5" ht="26.25" customHeight="1">
      <c r="A5" s="4">
        <v>2.0</v>
      </c>
      <c r="B5" s="5" t="s">
        <v>38</v>
      </c>
      <c r="C5" s="5" t="s">
        <v>26</v>
      </c>
      <c r="D5" s="5" t="s">
        <v>27</v>
      </c>
      <c r="E5" s="6">
        <v>46014.0</v>
      </c>
      <c r="F5" s="6">
        <v>46036.0</v>
      </c>
      <c r="G5" s="7">
        <f t="shared" si="1"/>
        <v>22</v>
      </c>
      <c r="H5" s="5" t="s">
        <v>28</v>
      </c>
      <c r="I5" s="4" t="s">
        <v>32</v>
      </c>
      <c r="J5" s="4" t="s">
        <v>33</v>
      </c>
      <c r="K5" s="4" t="s">
        <v>34</v>
      </c>
      <c r="L5" s="4" t="s">
        <v>29</v>
      </c>
      <c r="M5" s="4" t="s">
        <v>30</v>
      </c>
      <c r="N5" s="4" t="s">
        <v>31</v>
      </c>
      <c r="O5" s="4" t="s">
        <v>39</v>
      </c>
      <c r="P5" s="4">
        <v>1720.0</v>
      </c>
      <c r="Q5" s="5" t="s">
        <v>37</v>
      </c>
      <c r="R5" s="5"/>
      <c r="S5" s="5" t="s">
        <v>36</v>
      </c>
      <c r="T5" s="8">
        <v>1403.99</v>
      </c>
      <c r="U5" s="9">
        <v>0.0</v>
      </c>
      <c r="V5" s="10">
        <v>0.0</v>
      </c>
      <c r="W5" s="11">
        <f t="shared" si="2"/>
        <v>0</v>
      </c>
      <c r="X5" s="12">
        <f t="shared" si="3"/>
        <v>0</v>
      </c>
      <c r="Y5" s="13">
        <f t="shared" si="4"/>
        <v>1403.99</v>
      </c>
      <c r="Z5" s="14">
        <f t="shared" si="5"/>
        <v>0</v>
      </c>
      <c r="AA5" s="15"/>
      <c r="AB5" s="15"/>
      <c r="AC5" s="15"/>
      <c r="AD5" s="15"/>
      <c r="AE5" s="15"/>
      <c r="AF5" s="15"/>
      <c r="AG5" s="15"/>
      <c r="AH5" s="15"/>
    </row>
    <row r="6" ht="26.25" customHeight="1">
      <c r="A6" s="4">
        <v>3.0</v>
      </c>
      <c r="B6" s="5" t="s">
        <v>40</v>
      </c>
      <c r="C6" s="5" t="s">
        <v>26</v>
      </c>
      <c r="D6" s="5" t="s">
        <v>27</v>
      </c>
      <c r="E6" s="6">
        <v>46013.0</v>
      </c>
      <c r="F6" s="6">
        <v>46031.0</v>
      </c>
      <c r="G6" s="7">
        <f t="shared" si="1"/>
        <v>18</v>
      </c>
      <c r="H6" s="5" t="s">
        <v>28</v>
      </c>
      <c r="I6" s="4" t="s">
        <v>29</v>
      </c>
      <c r="J6" s="4" t="s">
        <v>30</v>
      </c>
      <c r="K6" s="4" t="s">
        <v>31</v>
      </c>
      <c r="L6" s="4" t="s">
        <v>32</v>
      </c>
      <c r="M6" s="4" t="s">
        <v>33</v>
      </c>
      <c r="N6" s="4" t="s">
        <v>34</v>
      </c>
      <c r="O6" s="4" t="s">
        <v>35</v>
      </c>
      <c r="P6" s="4">
        <v>1720.0</v>
      </c>
      <c r="Q6" s="5" t="s">
        <v>37</v>
      </c>
      <c r="R6" s="5"/>
      <c r="S6" s="5" t="s">
        <v>36</v>
      </c>
      <c r="T6" s="8">
        <v>1752.77</v>
      </c>
      <c r="U6" s="9">
        <v>0.0</v>
      </c>
      <c r="V6" s="10">
        <v>0.0</v>
      </c>
      <c r="W6" s="11">
        <f t="shared" si="2"/>
        <v>0</v>
      </c>
      <c r="X6" s="12">
        <f t="shared" si="3"/>
        <v>0</v>
      </c>
      <c r="Y6" s="13">
        <f t="shared" si="4"/>
        <v>1752.77</v>
      </c>
      <c r="Z6" s="14">
        <f t="shared" si="5"/>
        <v>0</v>
      </c>
      <c r="AA6" s="15"/>
      <c r="AB6" s="15"/>
      <c r="AC6" s="15"/>
      <c r="AD6" s="15"/>
      <c r="AE6" s="15"/>
      <c r="AF6" s="15"/>
      <c r="AG6" s="15"/>
      <c r="AH6" s="15"/>
    </row>
    <row r="7" ht="26.25" customHeight="1">
      <c r="A7" s="4">
        <v>3.0</v>
      </c>
      <c r="B7" s="5" t="s">
        <v>40</v>
      </c>
      <c r="C7" s="5" t="s">
        <v>26</v>
      </c>
      <c r="D7" s="5" t="s">
        <v>27</v>
      </c>
      <c r="E7" s="6">
        <v>46014.0</v>
      </c>
      <c r="F7" s="6">
        <v>46036.0</v>
      </c>
      <c r="G7" s="7">
        <f t="shared" si="1"/>
        <v>22</v>
      </c>
      <c r="H7" s="5" t="s">
        <v>28</v>
      </c>
      <c r="I7" s="4" t="s">
        <v>32</v>
      </c>
      <c r="J7" s="4" t="s">
        <v>33</v>
      </c>
      <c r="K7" s="4" t="s">
        <v>34</v>
      </c>
      <c r="L7" s="4" t="s">
        <v>29</v>
      </c>
      <c r="M7" s="4" t="s">
        <v>33</v>
      </c>
      <c r="N7" s="4" t="s">
        <v>34</v>
      </c>
      <c r="O7" s="4" t="s">
        <v>39</v>
      </c>
      <c r="P7" s="4">
        <v>1720.0</v>
      </c>
      <c r="Q7" s="5" t="s">
        <v>37</v>
      </c>
      <c r="R7" s="5"/>
      <c r="S7" s="5" t="s">
        <v>36</v>
      </c>
      <c r="T7" s="8">
        <v>1403.99</v>
      </c>
      <c r="U7" s="9">
        <v>0.0</v>
      </c>
      <c r="V7" s="10">
        <v>0.0</v>
      </c>
      <c r="W7" s="11">
        <f t="shared" si="2"/>
        <v>0</v>
      </c>
      <c r="X7" s="12">
        <f t="shared" si="3"/>
        <v>0</v>
      </c>
      <c r="Y7" s="13">
        <f t="shared" si="4"/>
        <v>1403.99</v>
      </c>
      <c r="Z7" s="14">
        <f t="shared" si="5"/>
        <v>0</v>
      </c>
      <c r="AA7" s="15"/>
      <c r="AB7" s="15"/>
      <c r="AC7" s="15"/>
      <c r="AD7" s="15"/>
      <c r="AE7" s="15"/>
      <c r="AF7" s="15"/>
      <c r="AG7" s="15"/>
      <c r="AH7" s="15"/>
    </row>
    <row r="8" ht="26.25" customHeight="1">
      <c r="A8" s="4">
        <v>4.0</v>
      </c>
      <c r="B8" s="5" t="s">
        <v>41</v>
      </c>
      <c r="C8" s="5" t="s">
        <v>42</v>
      </c>
      <c r="D8" s="5" t="s">
        <v>43</v>
      </c>
      <c r="E8" s="6">
        <v>46031.0</v>
      </c>
      <c r="F8" s="6">
        <v>46033.0</v>
      </c>
      <c r="G8" s="7">
        <f t="shared" si="1"/>
        <v>2</v>
      </c>
      <c r="H8" s="5" t="s">
        <v>28</v>
      </c>
      <c r="I8" s="4" t="s">
        <v>32</v>
      </c>
      <c r="J8" s="4" t="s">
        <v>33</v>
      </c>
      <c r="K8" s="4" t="s">
        <v>34</v>
      </c>
      <c r="L8" s="4" t="s">
        <v>44</v>
      </c>
      <c r="M8" s="4" t="s">
        <v>45</v>
      </c>
      <c r="N8" s="4" t="s">
        <v>46</v>
      </c>
      <c r="O8" s="4" t="s">
        <v>47</v>
      </c>
      <c r="P8" s="4">
        <v>1755.0</v>
      </c>
      <c r="Q8" s="5" t="s">
        <v>36</v>
      </c>
      <c r="R8" s="5" t="s">
        <v>48</v>
      </c>
      <c r="S8" s="5" t="s">
        <v>36</v>
      </c>
      <c r="T8" s="8">
        <v>4143.97</v>
      </c>
      <c r="U8" s="9">
        <v>0.0</v>
      </c>
      <c r="V8" s="10">
        <v>0.0</v>
      </c>
      <c r="W8" s="11">
        <f t="shared" si="2"/>
        <v>0</v>
      </c>
      <c r="X8" s="12">
        <f t="shared" si="3"/>
        <v>0</v>
      </c>
      <c r="Y8" s="13">
        <f t="shared" si="4"/>
        <v>4143.97</v>
      </c>
      <c r="Z8" s="14">
        <f t="shared" si="5"/>
        <v>0</v>
      </c>
      <c r="AA8" s="15"/>
      <c r="AB8" s="15"/>
      <c r="AC8" s="15"/>
      <c r="AD8" s="15"/>
      <c r="AE8" s="15"/>
      <c r="AF8" s="15"/>
      <c r="AG8" s="15"/>
      <c r="AH8" s="15"/>
    </row>
    <row r="9" ht="26.25" customHeight="1">
      <c r="A9" s="4">
        <v>4.0</v>
      </c>
      <c r="B9" s="5" t="s">
        <v>49</v>
      </c>
      <c r="C9" s="5" t="s">
        <v>50</v>
      </c>
      <c r="D9" s="5" t="s">
        <v>43</v>
      </c>
      <c r="E9" s="6">
        <v>46032.0</v>
      </c>
      <c r="F9" s="6">
        <v>46033.0</v>
      </c>
      <c r="G9" s="7">
        <f t="shared" si="1"/>
        <v>1</v>
      </c>
      <c r="H9" s="5" t="s">
        <v>28</v>
      </c>
      <c r="I9" s="4" t="s">
        <v>32</v>
      </c>
      <c r="J9" s="4" t="s">
        <v>33</v>
      </c>
      <c r="K9" s="4" t="s">
        <v>34</v>
      </c>
      <c r="L9" s="4" t="s">
        <v>44</v>
      </c>
      <c r="M9" s="4" t="s">
        <v>45</v>
      </c>
      <c r="N9" s="4" t="s">
        <v>46</v>
      </c>
      <c r="O9" s="4" t="s">
        <v>35</v>
      </c>
      <c r="P9" s="4">
        <v>1755.0</v>
      </c>
      <c r="Q9" s="5" t="s">
        <v>36</v>
      </c>
      <c r="R9" s="5" t="s">
        <v>48</v>
      </c>
      <c r="S9" s="5" t="s">
        <v>36</v>
      </c>
      <c r="T9" s="8">
        <v>3337.99</v>
      </c>
      <c r="U9" s="9">
        <v>0.0</v>
      </c>
      <c r="V9" s="10">
        <v>0.0</v>
      </c>
      <c r="W9" s="11">
        <f t="shared" si="2"/>
        <v>0</v>
      </c>
      <c r="X9" s="12">
        <f t="shared" si="3"/>
        <v>0</v>
      </c>
      <c r="Y9" s="13">
        <f t="shared" si="4"/>
        <v>3337.99</v>
      </c>
      <c r="Z9" s="14">
        <f t="shared" si="5"/>
        <v>0</v>
      </c>
      <c r="AA9" s="15"/>
      <c r="AB9" s="15"/>
      <c r="AC9" s="15"/>
      <c r="AD9" s="15"/>
      <c r="AE9" s="15"/>
      <c r="AF9" s="15"/>
      <c r="AG9" s="15"/>
      <c r="AH9" s="15"/>
    </row>
    <row r="10" ht="26.25" customHeight="1">
      <c r="A10" s="4">
        <v>4.0</v>
      </c>
      <c r="B10" s="5" t="s">
        <v>41</v>
      </c>
      <c r="C10" s="5" t="s">
        <v>42</v>
      </c>
      <c r="D10" s="5" t="s">
        <v>43</v>
      </c>
      <c r="E10" s="6">
        <v>46035.0</v>
      </c>
      <c r="F10" s="6">
        <v>46035.0</v>
      </c>
      <c r="G10" s="7">
        <f t="shared" si="1"/>
        <v>0</v>
      </c>
      <c r="H10" s="5" t="s">
        <v>28</v>
      </c>
      <c r="I10" s="4" t="s">
        <v>44</v>
      </c>
      <c r="J10" s="4" t="s">
        <v>45</v>
      </c>
      <c r="K10" s="4" t="s">
        <v>46</v>
      </c>
      <c r="L10" s="4" t="s">
        <v>32</v>
      </c>
      <c r="M10" s="4" t="s">
        <v>33</v>
      </c>
      <c r="N10" s="4" t="s">
        <v>34</v>
      </c>
      <c r="O10" s="4" t="s">
        <v>35</v>
      </c>
      <c r="P10" s="4">
        <v>1755.0</v>
      </c>
      <c r="Q10" s="5" t="s">
        <v>36</v>
      </c>
      <c r="R10" s="5" t="s">
        <v>48</v>
      </c>
      <c r="S10" s="5" t="s">
        <v>36</v>
      </c>
      <c r="T10" s="8">
        <v>3437.43</v>
      </c>
      <c r="U10" s="9">
        <v>0.0</v>
      </c>
      <c r="V10" s="10">
        <v>0.0</v>
      </c>
      <c r="W10" s="11">
        <f t="shared" si="2"/>
        <v>0</v>
      </c>
      <c r="X10" s="12">
        <f t="shared" si="3"/>
        <v>0</v>
      </c>
      <c r="Y10" s="13">
        <f t="shared" si="4"/>
        <v>3437.43</v>
      </c>
      <c r="Z10" s="14">
        <f t="shared" si="5"/>
        <v>0</v>
      </c>
      <c r="AA10" s="15"/>
      <c r="AB10" s="15"/>
      <c r="AC10" s="15"/>
      <c r="AD10" s="15"/>
      <c r="AE10" s="15"/>
      <c r="AF10" s="15"/>
      <c r="AG10" s="15"/>
      <c r="AH10" s="15"/>
    </row>
    <row r="11" ht="26.25" customHeight="1">
      <c r="A11" s="4">
        <v>4.0</v>
      </c>
      <c r="B11" s="5" t="s">
        <v>49</v>
      </c>
      <c r="C11" s="5" t="s">
        <v>50</v>
      </c>
      <c r="D11" s="5" t="s">
        <v>43</v>
      </c>
      <c r="E11" s="6">
        <v>46035.0</v>
      </c>
      <c r="F11" s="6">
        <v>46035.0</v>
      </c>
      <c r="G11" s="7">
        <f t="shared" si="1"/>
        <v>0</v>
      </c>
      <c r="H11" s="5" t="s">
        <v>28</v>
      </c>
      <c r="I11" s="4" t="s">
        <v>44</v>
      </c>
      <c r="J11" s="4" t="s">
        <v>45</v>
      </c>
      <c r="K11" s="4" t="s">
        <v>46</v>
      </c>
      <c r="L11" s="4" t="s">
        <v>32</v>
      </c>
      <c r="M11" s="4" t="s">
        <v>33</v>
      </c>
      <c r="N11" s="4" t="s">
        <v>34</v>
      </c>
      <c r="O11" s="4" t="s">
        <v>35</v>
      </c>
      <c r="P11" s="4">
        <v>1755.0</v>
      </c>
      <c r="Q11" s="5" t="s">
        <v>36</v>
      </c>
      <c r="R11" s="5" t="s">
        <v>48</v>
      </c>
      <c r="S11" s="5" t="s">
        <v>36</v>
      </c>
      <c r="T11" s="8">
        <v>3437.43</v>
      </c>
      <c r="U11" s="9">
        <v>0.0</v>
      </c>
      <c r="V11" s="10">
        <v>0.0</v>
      </c>
      <c r="W11" s="11">
        <f t="shared" si="2"/>
        <v>0</v>
      </c>
      <c r="X11" s="12">
        <f t="shared" si="3"/>
        <v>0</v>
      </c>
      <c r="Y11" s="13">
        <f t="shared" si="4"/>
        <v>3437.43</v>
      </c>
      <c r="Z11" s="14">
        <f t="shared" si="5"/>
        <v>0</v>
      </c>
      <c r="AA11" s="15"/>
      <c r="AB11" s="15"/>
      <c r="AC11" s="15"/>
      <c r="AD11" s="15"/>
      <c r="AE11" s="15"/>
      <c r="AF11" s="15"/>
      <c r="AG11" s="15"/>
      <c r="AH11" s="15"/>
    </row>
    <row r="12" ht="26.25" customHeight="1">
      <c r="A12" s="4">
        <v>5.0</v>
      </c>
      <c r="B12" s="5" t="s">
        <v>51</v>
      </c>
      <c r="C12" s="5" t="s">
        <v>52</v>
      </c>
      <c r="D12" s="5" t="s">
        <v>43</v>
      </c>
      <c r="E12" s="6">
        <v>46033.0</v>
      </c>
      <c r="F12" s="6">
        <v>46036.0</v>
      </c>
      <c r="G12" s="7">
        <f t="shared" si="1"/>
        <v>3</v>
      </c>
      <c r="H12" s="5" t="s">
        <v>28</v>
      </c>
      <c r="I12" s="4" t="s">
        <v>29</v>
      </c>
      <c r="J12" s="4" t="s">
        <v>30</v>
      </c>
      <c r="K12" s="4" t="s">
        <v>31</v>
      </c>
      <c r="L12" s="4" t="s">
        <v>53</v>
      </c>
      <c r="M12" s="4" t="s">
        <v>54</v>
      </c>
      <c r="N12" s="4" t="s">
        <v>55</v>
      </c>
      <c r="O12" s="4" t="s">
        <v>35</v>
      </c>
      <c r="P12" s="4">
        <v>880.0</v>
      </c>
      <c r="Q12" s="5" t="s">
        <v>36</v>
      </c>
      <c r="R12" s="5" t="s">
        <v>48</v>
      </c>
      <c r="S12" s="5" t="s">
        <v>36</v>
      </c>
      <c r="T12" s="8">
        <v>2610.77</v>
      </c>
      <c r="U12" s="9">
        <v>0.0</v>
      </c>
      <c r="V12" s="10">
        <v>0.0</v>
      </c>
      <c r="W12" s="11">
        <f t="shared" si="2"/>
        <v>0</v>
      </c>
      <c r="X12" s="16">
        <v>0.0</v>
      </c>
      <c r="Y12" s="13">
        <f t="shared" si="4"/>
        <v>2610.77</v>
      </c>
      <c r="Z12" s="14">
        <f t="shared" si="5"/>
        <v>0</v>
      </c>
      <c r="AA12" s="15"/>
      <c r="AB12" s="15"/>
      <c r="AC12" s="15"/>
      <c r="AD12" s="15"/>
      <c r="AE12" s="15"/>
      <c r="AF12" s="15"/>
      <c r="AG12" s="15"/>
      <c r="AH12" s="15"/>
    </row>
    <row r="13" ht="26.25" customHeight="1">
      <c r="A13" s="4">
        <v>6.0</v>
      </c>
      <c r="B13" s="5" t="s">
        <v>51</v>
      </c>
      <c r="C13" s="5" t="s">
        <v>52</v>
      </c>
      <c r="D13" s="5" t="s">
        <v>43</v>
      </c>
      <c r="E13" s="6">
        <v>46033.0</v>
      </c>
      <c r="F13" s="6">
        <v>46037.0</v>
      </c>
      <c r="G13" s="7">
        <f t="shared" si="1"/>
        <v>4</v>
      </c>
      <c r="H13" s="5" t="s">
        <v>28</v>
      </c>
      <c r="I13" s="4" t="s">
        <v>53</v>
      </c>
      <c r="J13" s="4" t="s">
        <v>54</v>
      </c>
      <c r="K13" s="4" t="s">
        <v>55</v>
      </c>
      <c r="L13" s="4" t="s">
        <v>56</v>
      </c>
      <c r="M13" s="4" t="s">
        <v>57</v>
      </c>
      <c r="N13" s="4" t="s">
        <v>58</v>
      </c>
      <c r="O13" s="4" t="s">
        <v>35</v>
      </c>
      <c r="P13" s="4">
        <v>1540.0</v>
      </c>
      <c r="Q13" s="5" t="s">
        <v>36</v>
      </c>
      <c r="R13" s="5" t="s">
        <v>48</v>
      </c>
      <c r="S13" s="5" t="s">
        <v>36</v>
      </c>
      <c r="T13" s="8">
        <v>1672.65</v>
      </c>
      <c r="U13" s="9">
        <v>0.0</v>
      </c>
      <c r="V13" s="10">
        <v>0.0</v>
      </c>
      <c r="W13" s="11">
        <f t="shared" si="2"/>
        <v>0</v>
      </c>
      <c r="X13" s="16">
        <v>0.0</v>
      </c>
      <c r="Y13" s="13">
        <f t="shared" si="4"/>
        <v>1672.65</v>
      </c>
      <c r="Z13" s="9">
        <v>0.0</v>
      </c>
      <c r="AA13" s="15"/>
      <c r="AB13" s="15"/>
      <c r="AC13" s="15"/>
      <c r="AD13" s="15"/>
      <c r="AE13" s="15"/>
      <c r="AF13" s="15"/>
      <c r="AG13" s="15"/>
      <c r="AH13" s="15"/>
    </row>
    <row r="14" ht="26.25" customHeight="1">
      <c r="A14" s="4">
        <v>6.0</v>
      </c>
      <c r="B14" s="5" t="s">
        <v>59</v>
      </c>
      <c r="C14" s="5" t="s">
        <v>26</v>
      </c>
      <c r="D14" s="5" t="s">
        <v>43</v>
      </c>
      <c r="E14" s="6">
        <v>46033.0</v>
      </c>
      <c r="F14" s="6">
        <v>46037.0</v>
      </c>
      <c r="G14" s="7">
        <f t="shared" si="1"/>
        <v>4</v>
      </c>
      <c r="H14" s="5" t="s">
        <v>28</v>
      </c>
      <c r="I14" s="4" t="s">
        <v>32</v>
      </c>
      <c r="J14" s="4" t="s">
        <v>33</v>
      </c>
      <c r="K14" s="4" t="s">
        <v>34</v>
      </c>
      <c r="L14" s="4" t="s">
        <v>56</v>
      </c>
      <c r="M14" s="4" t="s">
        <v>57</v>
      </c>
      <c r="N14" s="4" t="s">
        <v>58</v>
      </c>
      <c r="O14" s="4" t="s">
        <v>35</v>
      </c>
      <c r="P14" s="4">
        <v>2695.0</v>
      </c>
      <c r="Q14" s="5" t="s">
        <v>36</v>
      </c>
      <c r="R14" s="5" t="s">
        <v>48</v>
      </c>
      <c r="S14" s="5" t="s">
        <v>36</v>
      </c>
      <c r="T14" s="8">
        <v>2522.92</v>
      </c>
      <c r="U14" s="9">
        <v>0.0</v>
      </c>
      <c r="V14" s="10">
        <v>0.0</v>
      </c>
      <c r="W14" s="11">
        <f t="shared" si="2"/>
        <v>0</v>
      </c>
      <c r="X14" s="12">
        <f t="shared" ref="X14:X20" si="6">if($S14 = "NÃO", 0, if(and(UPPER($O14) = "GOL", $S14 = "SIM"), 0.95*($U14), if(and(UPPER($O14) = "LATAM", $S14 = "SIM"), $U14, "----")))</f>
        <v>0</v>
      </c>
      <c r="Y14" s="13">
        <f t="shared" si="4"/>
        <v>2522.92</v>
      </c>
      <c r="Z14" s="14">
        <f t="shared" ref="Z14:Z73" si="7">if($X14 = "----", "Valor do reembolso?", $U14-$X14)</f>
        <v>0</v>
      </c>
      <c r="AA14" s="15"/>
      <c r="AB14" s="15"/>
      <c r="AC14" s="15"/>
      <c r="AD14" s="15"/>
      <c r="AE14" s="15"/>
      <c r="AF14" s="15"/>
      <c r="AG14" s="15"/>
      <c r="AH14" s="15"/>
    </row>
    <row r="15" ht="26.25" customHeight="1">
      <c r="A15" s="4">
        <v>6.0</v>
      </c>
      <c r="B15" s="5" t="s">
        <v>59</v>
      </c>
      <c r="C15" s="5" t="s">
        <v>26</v>
      </c>
      <c r="D15" s="5" t="s">
        <v>43</v>
      </c>
      <c r="E15" s="6">
        <v>46033.0</v>
      </c>
      <c r="F15" s="6">
        <v>46037.0</v>
      </c>
      <c r="G15" s="7">
        <f t="shared" si="1"/>
        <v>4</v>
      </c>
      <c r="H15" s="5" t="s">
        <v>28</v>
      </c>
      <c r="I15" s="4" t="s">
        <v>56</v>
      </c>
      <c r="J15" s="4" t="s">
        <v>57</v>
      </c>
      <c r="K15" s="4" t="s">
        <v>58</v>
      </c>
      <c r="L15" s="4" t="s">
        <v>32</v>
      </c>
      <c r="M15" s="4" t="s">
        <v>33</v>
      </c>
      <c r="N15" s="4" t="s">
        <v>34</v>
      </c>
      <c r="O15" s="4" t="s">
        <v>35</v>
      </c>
      <c r="P15" s="4">
        <v>2695.0</v>
      </c>
      <c r="Q15" s="5" t="s">
        <v>36</v>
      </c>
      <c r="R15" s="5" t="s">
        <v>48</v>
      </c>
      <c r="S15" s="5" t="s">
        <v>36</v>
      </c>
      <c r="T15" s="8">
        <v>2522.92</v>
      </c>
      <c r="U15" s="9">
        <v>0.0</v>
      </c>
      <c r="V15" s="10">
        <v>0.0</v>
      </c>
      <c r="W15" s="11">
        <f t="shared" si="2"/>
        <v>0</v>
      </c>
      <c r="X15" s="12">
        <f t="shared" si="6"/>
        <v>0</v>
      </c>
      <c r="Y15" s="13">
        <f t="shared" si="4"/>
        <v>2522.92</v>
      </c>
      <c r="Z15" s="14">
        <f t="shared" si="7"/>
        <v>0</v>
      </c>
      <c r="AA15" s="15"/>
      <c r="AB15" s="15"/>
      <c r="AC15" s="15"/>
      <c r="AD15" s="15"/>
      <c r="AE15" s="15"/>
      <c r="AF15" s="15"/>
      <c r="AG15" s="15"/>
      <c r="AH15" s="15"/>
    </row>
    <row r="16" ht="26.25" customHeight="1">
      <c r="A16" s="4">
        <v>6.0</v>
      </c>
      <c r="B16" s="5" t="s">
        <v>49</v>
      </c>
      <c r="C16" s="5" t="s">
        <v>50</v>
      </c>
      <c r="D16" s="5" t="s">
        <v>43</v>
      </c>
      <c r="E16" s="6">
        <v>46033.0</v>
      </c>
      <c r="F16" s="6">
        <v>46037.0</v>
      </c>
      <c r="G16" s="7">
        <f t="shared" si="1"/>
        <v>4</v>
      </c>
      <c r="H16" s="5" t="s">
        <v>28</v>
      </c>
      <c r="I16" s="4" t="s">
        <v>32</v>
      </c>
      <c r="J16" s="4" t="s">
        <v>33</v>
      </c>
      <c r="K16" s="4" t="s">
        <v>34</v>
      </c>
      <c r="L16" s="4" t="s">
        <v>56</v>
      </c>
      <c r="M16" s="4" t="s">
        <v>57</v>
      </c>
      <c r="N16" s="4" t="s">
        <v>58</v>
      </c>
      <c r="O16" s="4" t="s">
        <v>35</v>
      </c>
      <c r="P16" s="4">
        <v>2695.0</v>
      </c>
      <c r="Q16" s="5" t="s">
        <v>36</v>
      </c>
      <c r="R16" s="5" t="s">
        <v>48</v>
      </c>
      <c r="S16" s="5" t="s">
        <v>36</v>
      </c>
      <c r="T16" s="8">
        <v>2522.92</v>
      </c>
      <c r="U16" s="9">
        <v>0.0</v>
      </c>
      <c r="V16" s="10">
        <v>0.0</v>
      </c>
      <c r="W16" s="11">
        <f t="shared" si="2"/>
        <v>0</v>
      </c>
      <c r="X16" s="12">
        <f t="shared" si="6"/>
        <v>0</v>
      </c>
      <c r="Y16" s="13">
        <f t="shared" si="4"/>
        <v>2522.92</v>
      </c>
      <c r="Z16" s="14">
        <f t="shared" si="7"/>
        <v>0</v>
      </c>
      <c r="AA16" s="15"/>
      <c r="AB16" s="15"/>
      <c r="AC16" s="15"/>
      <c r="AD16" s="15"/>
      <c r="AE16" s="15"/>
      <c r="AF16" s="15"/>
      <c r="AG16" s="15"/>
      <c r="AH16" s="15"/>
    </row>
    <row r="17" ht="26.25" customHeight="1">
      <c r="A17" s="4">
        <v>6.0</v>
      </c>
      <c r="B17" s="5" t="s">
        <v>49</v>
      </c>
      <c r="C17" s="5" t="s">
        <v>50</v>
      </c>
      <c r="D17" s="5" t="s">
        <v>43</v>
      </c>
      <c r="E17" s="6">
        <v>46033.0</v>
      </c>
      <c r="F17" s="6">
        <v>46037.0</v>
      </c>
      <c r="G17" s="7">
        <f t="shared" si="1"/>
        <v>4</v>
      </c>
      <c r="H17" s="5" t="s">
        <v>28</v>
      </c>
      <c r="I17" s="4" t="s">
        <v>56</v>
      </c>
      <c r="J17" s="4" t="s">
        <v>57</v>
      </c>
      <c r="K17" s="4" t="s">
        <v>58</v>
      </c>
      <c r="L17" s="4" t="s">
        <v>32</v>
      </c>
      <c r="M17" s="4" t="s">
        <v>33</v>
      </c>
      <c r="N17" s="4" t="s">
        <v>34</v>
      </c>
      <c r="O17" s="4" t="s">
        <v>35</v>
      </c>
      <c r="P17" s="4">
        <v>2695.0</v>
      </c>
      <c r="Q17" s="5" t="s">
        <v>36</v>
      </c>
      <c r="R17" s="5" t="s">
        <v>48</v>
      </c>
      <c r="S17" s="5" t="s">
        <v>36</v>
      </c>
      <c r="T17" s="8">
        <v>2522.92</v>
      </c>
      <c r="U17" s="5">
        <v>0.0</v>
      </c>
      <c r="V17" s="5">
        <v>0.0</v>
      </c>
      <c r="W17" s="11">
        <f t="shared" si="2"/>
        <v>0</v>
      </c>
      <c r="X17" s="12">
        <f t="shared" si="6"/>
        <v>0</v>
      </c>
      <c r="Y17" s="13">
        <f t="shared" si="4"/>
        <v>2522.92</v>
      </c>
      <c r="Z17" s="14">
        <f t="shared" si="7"/>
        <v>0</v>
      </c>
      <c r="AA17" s="15"/>
      <c r="AB17" s="15"/>
      <c r="AC17" s="15"/>
      <c r="AD17" s="15"/>
      <c r="AE17" s="15"/>
      <c r="AF17" s="15"/>
      <c r="AG17" s="15"/>
      <c r="AH17" s="15"/>
    </row>
    <row r="18" ht="26.25" customHeight="1">
      <c r="A18" s="4">
        <v>6.0</v>
      </c>
      <c r="B18" s="5" t="s">
        <v>51</v>
      </c>
      <c r="C18" s="5" t="s">
        <v>52</v>
      </c>
      <c r="D18" s="5" t="s">
        <v>43</v>
      </c>
      <c r="E18" s="6">
        <v>46033.0</v>
      </c>
      <c r="F18" s="6">
        <v>46038.0</v>
      </c>
      <c r="G18" s="7">
        <f t="shared" si="1"/>
        <v>5</v>
      </c>
      <c r="H18" s="5" t="s">
        <v>28</v>
      </c>
      <c r="I18" s="4" t="s">
        <v>56</v>
      </c>
      <c r="J18" s="4" t="s">
        <v>57</v>
      </c>
      <c r="K18" s="4" t="s">
        <v>58</v>
      </c>
      <c r="L18" s="4" t="s">
        <v>29</v>
      </c>
      <c r="M18" s="4" t="s">
        <v>30</v>
      </c>
      <c r="N18" s="4" t="s">
        <v>31</v>
      </c>
      <c r="O18" s="4" t="s">
        <v>39</v>
      </c>
      <c r="P18" s="4">
        <v>1320.0</v>
      </c>
      <c r="Q18" s="5" t="s">
        <v>36</v>
      </c>
      <c r="R18" s="5" t="s">
        <v>48</v>
      </c>
      <c r="S18" s="5" t="s">
        <v>36</v>
      </c>
      <c r="T18" s="8">
        <v>1043.46</v>
      </c>
      <c r="U18" s="5">
        <v>0.0</v>
      </c>
      <c r="V18" s="5">
        <v>0.0</v>
      </c>
      <c r="W18" s="11">
        <f t="shared" si="2"/>
        <v>0</v>
      </c>
      <c r="X18" s="12">
        <f t="shared" si="6"/>
        <v>0</v>
      </c>
      <c r="Y18" s="13">
        <f t="shared" si="4"/>
        <v>1043.46</v>
      </c>
      <c r="Z18" s="14">
        <f t="shared" si="7"/>
        <v>0</v>
      </c>
      <c r="AA18" s="15"/>
      <c r="AB18" s="15"/>
      <c r="AC18" s="15"/>
      <c r="AD18" s="15"/>
      <c r="AE18" s="15"/>
      <c r="AF18" s="15"/>
      <c r="AG18" s="15"/>
      <c r="AH18" s="15"/>
    </row>
    <row r="19" ht="26.25" customHeight="1">
      <c r="A19" s="4">
        <v>7.0</v>
      </c>
      <c r="B19" s="5" t="s">
        <v>41</v>
      </c>
      <c r="C19" s="5" t="s">
        <v>42</v>
      </c>
      <c r="D19" s="5" t="s">
        <v>43</v>
      </c>
      <c r="E19" s="6">
        <v>46041.0</v>
      </c>
      <c r="F19" s="6">
        <v>46041.0</v>
      </c>
      <c r="G19" s="7">
        <f t="shared" si="1"/>
        <v>0</v>
      </c>
      <c r="H19" s="5" t="s">
        <v>28</v>
      </c>
      <c r="I19" s="4" t="s">
        <v>32</v>
      </c>
      <c r="J19" s="4" t="s">
        <v>33</v>
      </c>
      <c r="K19" s="4" t="s">
        <v>34</v>
      </c>
      <c r="L19" s="4" t="s">
        <v>44</v>
      </c>
      <c r="M19" s="4" t="s">
        <v>45</v>
      </c>
      <c r="N19" s="4" t="s">
        <v>46</v>
      </c>
      <c r="O19" s="4" t="s">
        <v>47</v>
      </c>
      <c r="P19" s="4">
        <v>1620.0</v>
      </c>
      <c r="Q19" s="5" t="s">
        <v>36</v>
      </c>
      <c r="R19" s="5" t="s">
        <v>48</v>
      </c>
      <c r="S19" s="5" t="s">
        <v>36</v>
      </c>
      <c r="T19" s="8">
        <v>3165.68</v>
      </c>
      <c r="U19" s="5">
        <v>0.0</v>
      </c>
      <c r="V19" s="5">
        <v>0.0</v>
      </c>
      <c r="W19" s="11">
        <f t="shared" si="2"/>
        <v>0</v>
      </c>
      <c r="X19" s="12">
        <f t="shared" si="6"/>
        <v>0</v>
      </c>
      <c r="Y19" s="13">
        <f t="shared" si="4"/>
        <v>3165.68</v>
      </c>
      <c r="Z19" s="14">
        <f t="shared" si="7"/>
        <v>0</v>
      </c>
      <c r="AA19" s="15"/>
      <c r="AB19" s="15"/>
      <c r="AC19" s="15"/>
      <c r="AD19" s="15"/>
      <c r="AE19" s="15"/>
      <c r="AF19" s="15"/>
      <c r="AG19" s="15"/>
      <c r="AH19" s="15"/>
    </row>
    <row r="20" ht="26.25" customHeight="1">
      <c r="A20" s="4">
        <v>7.0</v>
      </c>
      <c r="B20" s="5" t="s">
        <v>41</v>
      </c>
      <c r="C20" s="5" t="s">
        <v>42</v>
      </c>
      <c r="D20" s="5" t="s">
        <v>43</v>
      </c>
      <c r="E20" s="6">
        <v>46041.0</v>
      </c>
      <c r="F20" s="6">
        <v>46041.0</v>
      </c>
      <c r="G20" s="7">
        <f t="shared" si="1"/>
        <v>0</v>
      </c>
      <c r="H20" s="5" t="s">
        <v>28</v>
      </c>
      <c r="I20" s="4" t="s">
        <v>44</v>
      </c>
      <c r="J20" s="4" t="s">
        <v>45</v>
      </c>
      <c r="K20" s="4" t="s">
        <v>46</v>
      </c>
      <c r="L20" s="4" t="s">
        <v>32</v>
      </c>
      <c r="M20" s="4" t="s">
        <v>33</v>
      </c>
      <c r="N20" s="4" t="s">
        <v>34</v>
      </c>
      <c r="O20" s="4" t="s">
        <v>47</v>
      </c>
      <c r="P20" s="4">
        <v>1620.0</v>
      </c>
      <c r="Q20" s="5" t="s">
        <v>36</v>
      </c>
      <c r="R20" s="5" t="s">
        <v>48</v>
      </c>
      <c r="S20" s="5" t="s">
        <v>36</v>
      </c>
      <c r="T20" s="8">
        <v>3111.68</v>
      </c>
      <c r="U20" s="5">
        <v>0.0</v>
      </c>
      <c r="V20" s="5">
        <v>0.0</v>
      </c>
      <c r="W20" s="11">
        <f t="shared" si="2"/>
        <v>0</v>
      </c>
      <c r="X20" s="12">
        <f t="shared" si="6"/>
        <v>0</v>
      </c>
      <c r="Y20" s="13">
        <f t="shared" si="4"/>
        <v>3111.68</v>
      </c>
      <c r="Z20" s="14">
        <f t="shared" si="7"/>
        <v>0</v>
      </c>
      <c r="AA20" s="15"/>
      <c r="AB20" s="15"/>
      <c r="AC20" s="15"/>
      <c r="AD20" s="15"/>
      <c r="AE20" s="15"/>
      <c r="AF20" s="15"/>
      <c r="AG20" s="15"/>
      <c r="AH20" s="15"/>
    </row>
    <row r="21" ht="26.25" customHeight="1">
      <c r="A21" s="4">
        <v>8.0</v>
      </c>
      <c r="B21" s="5" t="s">
        <v>51</v>
      </c>
      <c r="C21" s="5" t="s">
        <v>52</v>
      </c>
      <c r="D21" s="5" t="s">
        <v>43</v>
      </c>
      <c r="E21" s="6">
        <v>46041.0</v>
      </c>
      <c r="F21" s="6">
        <v>46046.0</v>
      </c>
      <c r="G21" s="7">
        <f t="shared" si="1"/>
        <v>5</v>
      </c>
      <c r="H21" s="5" t="s">
        <v>28</v>
      </c>
      <c r="I21" s="4" t="s">
        <v>32</v>
      </c>
      <c r="J21" s="4" t="s">
        <v>30</v>
      </c>
      <c r="K21" s="4" t="s">
        <v>31</v>
      </c>
      <c r="L21" s="4" t="s">
        <v>32</v>
      </c>
      <c r="M21" s="4" t="s">
        <v>33</v>
      </c>
      <c r="N21" s="4" t="s">
        <v>34</v>
      </c>
      <c r="O21" s="4" t="s">
        <v>39</v>
      </c>
      <c r="P21" s="4">
        <v>1720.0</v>
      </c>
      <c r="Q21" s="5" t="s">
        <v>36</v>
      </c>
      <c r="R21" s="5" t="s">
        <v>48</v>
      </c>
      <c r="S21" s="5" t="s">
        <v>36</v>
      </c>
      <c r="T21" s="8">
        <v>1467.99</v>
      </c>
      <c r="U21" s="5">
        <v>0.0</v>
      </c>
      <c r="V21" s="5">
        <v>0.0</v>
      </c>
      <c r="W21" s="11">
        <f t="shared" si="2"/>
        <v>0</v>
      </c>
      <c r="X21" s="16">
        <v>0.0</v>
      </c>
      <c r="Y21" s="13">
        <f t="shared" si="4"/>
        <v>1467.99</v>
      </c>
      <c r="Z21" s="14">
        <f t="shared" si="7"/>
        <v>0</v>
      </c>
      <c r="AA21" s="15"/>
      <c r="AB21" s="15"/>
      <c r="AC21" s="15"/>
      <c r="AD21" s="15"/>
      <c r="AE21" s="15"/>
      <c r="AF21" s="15"/>
      <c r="AG21" s="15"/>
      <c r="AH21" s="15"/>
    </row>
    <row r="22" ht="26.25" customHeight="1">
      <c r="A22" s="4">
        <v>9.0</v>
      </c>
      <c r="B22" s="5" t="s">
        <v>41</v>
      </c>
      <c r="C22" s="5" t="s">
        <v>42</v>
      </c>
      <c r="D22" s="5" t="s">
        <v>60</v>
      </c>
      <c r="E22" s="6">
        <v>46050.0</v>
      </c>
      <c r="F22" s="6">
        <v>46051.0</v>
      </c>
      <c r="G22" s="7">
        <f t="shared" si="1"/>
        <v>1</v>
      </c>
      <c r="H22" s="5" t="s">
        <v>28</v>
      </c>
      <c r="I22" s="4" t="s">
        <v>61</v>
      </c>
      <c r="J22" s="4" t="s">
        <v>62</v>
      </c>
      <c r="K22" s="4" t="s">
        <v>63</v>
      </c>
      <c r="L22" s="4" t="s">
        <v>64</v>
      </c>
      <c r="M22" s="4" t="s">
        <v>65</v>
      </c>
      <c r="N22" s="4" t="s">
        <v>66</v>
      </c>
      <c r="O22" s="4" t="s">
        <v>35</v>
      </c>
      <c r="P22" s="4">
        <v>2120.0</v>
      </c>
      <c r="Q22" s="5" t="s">
        <v>36</v>
      </c>
      <c r="R22" s="5" t="s">
        <v>48</v>
      </c>
      <c r="S22" s="5" t="s">
        <v>36</v>
      </c>
      <c r="T22" s="8">
        <v>3659.64</v>
      </c>
      <c r="U22" s="5">
        <v>0.0</v>
      </c>
      <c r="V22" s="5">
        <v>0.0</v>
      </c>
      <c r="W22" s="11">
        <f t="shared" si="2"/>
        <v>0</v>
      </c>
      <c r="X22" s="12">
        <f t="shared" ref="X22:X73" si="8">if($S22 = "NÃO", 0, if(and(UPPER($O22) = "GOL", $S22 = "SIM"), 0.95*($U22), if(and(UPPER($O22) = "LATAM", $S22 = "SIM"), $U22, "----")))</f>
        <v>0</v>
      </c>
      <c r="Y22" s="13">
        <f t="shared" si="4"/>
        <v>3659.64</v>
      </c>
      <c r="Z22" s="14">
        <f t="shared" si="7"/>
        <v>0</v>
      </c>
      <c r="AA22" s="15"/>
      <c r="AB22" s="15"/>
      <c r="AC22" s="15"/>
      <c r="AD22" s="15"/>
      <c r="AE22" s="15"/>
      <c r="AF22" s="15"/>
      <c r="AG22" s="15"/>
      <c r="AH22" s="15"/>
    </row>
    <row r="23" ht="26.25" customHeight="1">
      <c r="A23" s="4">
        <v>9.0</v>
      </c>
      <c r="B23" s="5" t="s">
        <v>49</v>
      </c>
      <c r="C23" s="5" t="s">
        <v>50</v>
      </c>
      <c r="D23" s="5" t="s">
        <v>60</v>
      </c>
      <c r="E23" s="6">
        <v>46050.0</v>
      </c>
      <c r="F23" s="6">
        <v>46051.0</v>
      </c>
      <c r="G23" s="7">
        <f t="shared" si="1"/>
        <v>1</v>
      </c>
      <c r="H23" s="5" t="s">
        <v>28</v>
      </c>
      <c r="I23" s="4" t="s">
        <v>61</v>
      </c>
      <c r="J23" s="4" t="s">
        <v>62</v>
      </c>
      <c r="K23" s="4" t="s">
        <v>63</v>
      </c>
      <c r="L23" s="4" t="s">
        <v>64</v>
      </c>
      <c r="M23" s="4" t="s">
        <v>65</v>
      </c>
      <c r="N23" s="4" t="s">
        <v>66</v>
      </c>
      <c r="O23" s="4" t="s">
        <v>35</v>
      </c>
      <c r="P23" s="4">
        <v>2120.0</v>
      </c>
      <c r="Q23" s="5" t="s">
        <v>36</v>
      </c>
      <c r="R23" s="5" t="s">
        <v>48</v>
      </c>
      <c r="S23" s="5" t="s">
        <v>36</v>
      </c>
      <c r="T23" s="8">
        <v>3659.64</v>
      </c>
      <c r="U23" s="5">
        <v>0.0</v>
      </c>
      <c r="V23" s="5">
        <v>0.0</v>
      </c>
      <c r="W23" s="11">
        <f t="shared" si="2"/>
        <v>0</v>
      </c>
      <c r="X23" s="12">
        <f t="shared" si="8"/>
        <v>0</v>
      </c>
      <c r="Y23" s="13">
        <f t="shared" si="4"/>
        <v>3659.64</v>
      </c>
      <c r="Z23" s="14">
        <f t="shared" si="7"/>
        <v>0</v>
      </c>
      <c r="AA23" s="15"/>
      <c r="AB23" s="15"/>
      <c r="AC23" s="15"/>
      <c r="AD23" s="15"/>
      <c r="AE23" s="15"/>
      <c r="AF23" s="15"/>
      <c r="AG23" s="15"/>
      <c r="AH23" s="15"/>
    </row>
    <row r="24" ht="26.25" customHeight="1">
      <c r="A24" s="17">
        <v>10.0</v>
      </c>
      <c r="B24" s="18" t="s">
        <v>51</v>
      </c>
      <c r="C24" s="18" t="s">
        <v>52</v>
      </c>
      <c r="D24" s="18" t="s">
        <v>43</v>
      </c>
      <c r="E24" s="19">
        <v>46071.0</v>
      </c>
      <c r="F24" s="19">
        <v>46072.0</v>
      </c>
      <c r="G24" s="20">
        <f t="shared" si="1"/>
        <v>1</v>
      </c>
      <c r="H24" s="18" t="s">
        <v>28</v>
      </c>
      <c r="I24" s="17" t="s">
        <v>29</v>
      </c>
      <c r="J24" s="17" t="s">
        <v>30</v>
      </c>
      <c r="K24" s="17" t="s">
        <v>31</v>
      </c>
      <c r="L24" s="17" t="s">
        <v>56</v>
      </c>
      <c r="M24" s="17" t="s">
        <v>57</v>
      </c>
      <c r="N24" s="17" t="s">
        <v>58</v>
      </c>
      <c r="O24" s="17" t="s">
        <v>39</v>
      </c>
      <c r="P24" s="17">
        <v>1320.0</v>
      </c>
      <c r="Q24" s="18" t="s">
        <v>36</v>
      </c>
      <c r="R24" s="18" t="s">
        <v>48</v>
      </c>
      <c r="S24" s="18" t="s">
        <v>36</v>
      </c>
      <c r="T24" s="21">
        <v>2569.14</v>
      </c>
      <c r="U24" s="18">
        <v>0.0</v>
      </c>
      <c r="V24" s="18">
        <v>0.0</v>
      </c>
      <c r="W24" s="22">
        <f t="shared" si="2"/>
        <v>0</v>
      </c>
      <c r="X24" s="23">
        <f t="shared" si="8"/>
        <v>0</v>
      </c>
      <c r="Y24" s="24">
        <f t="shared" si="4"/>
        <v>2569.14</v>
      </c>
      <c r="Z24" s="25">
        <f t="shared" si="7"/>
        <v>0</v>
      </c>
      <c r="AA24" s="26"/>
      <c r="AB24" s="26"/>
      <c r="AC24" s="26"/>
      <c r="AD24" s="26"/>
      <c r="AE24" s="26"/>
      <c r="AF24" s="26"/>
      <c r="AG24" s="26"/>
      <c r="AH24" s="26"/>
    </row>
    <row r="25" ht="26.25" customHeight="1">
      <c r="A25" s="17">
        <v>10.0</v>
      </c>
      <c r="B25" s="18" t="s">
        <v>51</v>
      </c>
      <c r="C25" s="18" t="s">
        <v>52</v>
      </c>
      <c r="D25" s="18" t="s">
        <v>43</v>
      </c>
      <c r="E25" s="19">
        <v>46071.0</v>
      </c>
      <c r="F25" s="19">
        <v>46073.0</v>
      </c>
      <c r="G25" s="20">
        <f t="shared" si="1"/>
        <v>2</v>
      </c>
      <c r="H25" s="18" t="s">
        <v>28</v>
      </c>
      <c r="I25" s="17" t="s">
        <v>56</v>
      </c>
      <c r="J25" s="17" t="s">
        <v>57</v>
      </c>
      <c r="K25" s="17" t="s">
        <v>58</v>
      </c>
      <c r="L25" s="17" t="s">
        <v>29</v>
      </c>
      <c r="M25" s="17" t="s">
        <v>30</v>
      </c>
      <c r="N25" s="17" t="s">
        <v>31</v>
      </c>
      <c r="O25" s="17" t="s">
        <v>35</v>
      </c>
      <c r="P25" s="17">
        <v>1320.0</v>
      </c>
      <c r="Q25" s="18" t="s">
        <v>36</v>
      </c>
      <c r="R25" s="18" t="s">
        <v>48</v>
      </c>
      <c r="S25" s="18" t="s">
        <v>36</v>
      </c>
      <c r="T25" s="21">
        <v>1765.86</v>
      </c>
      <c r="U25" s="18">
        <v>0.0</v>
      </c>
      <c r="V25" s="18">
        <v>0.0</v>
      </c>
      <c r="W25" s="22">
        <f t="shared" si="2"/>
        <v>0</v>
      </c>
      <c r="X25" s="23">
        <f t="shared" si="8"/>
        <v>0</v>
      </c>
      <c r="Y25" s="24">
        <f t="shared" si="4"/>
        <v>1765.86</v>
      </c>
      <c r="Z25" s="25">
        <f t="shared" si="7"/>
        <v>0</v>
      </c>
      <c r="AA25" s="26"/>
      <c r="AB25" s="26"/>
      <c r="AC25" s="26"/>
      <c r="AD25" s="26"/>
      <c r="AE25" s="26"/>
      <c r="AF25" s="26"/>
      <c r="AG25" s="26"/>
      <c r="AH25" s="26"/>
    </row>
    <row r="26" ht="26.25" customHeight="1">
      <c r="A26" s="17">
        <v>10.0</v>
      </c>
      <c r="B26" s="18" t="s">
        <v>41</v>
      </c>
      <c r="C26" s="18" t="s">
        <v>42</v>
      </c>
      <c r="D26" s="18" t="s">
        <v>43</v>
      </c>
      <c r="E26" s="19">
        <v>46072.0</v>
      </c>
      <c r="F26" s="19">
        <v>46072.0</v>
      </c>
      <c r="G26" s="20">
        <f t="shared" si="1"/>
        <v>0</v>
      </c>
      <c r="H26" s="18" t="s">
        <v>28</v>
      </c>
      <c r="I26" s="17" t="s">
        <v>32</v>
      </c>
      <c r="J26" s="17" t="s">
        <v>33</v>
      </c>
      <c r="K26" s="17" t="s">
        <v>34</v>
      </c>
      <c r="L26" s="17" t="s">
        <v>56</v>
      </c>
      <c r="M26" s="17" t="s">
        <v>57</v>
      </c>
      <c r="N26" s="17" t="s">
        <v>58</v>
      </c>
      <c r="O26" s="17" t="s">
        <v>35</v>
      </c>
      <c r="P26" s="17">
        <v>2695.0</v>
      </c>
      <c r="Q26" s="18" t="s">
        <v>36</v>
      </c>
      <c r="R26" s="18" t="s">
        <v>48</v>
      </c>
      <c r="S26" s="18" t="s">
        <v>36</v>
      </c>
      <c r="T26" s="21">
        <v>3653.09</v>
      </c>
      <c r="U26" s="18">
        <v>0.0</v>
      </c>
      <c r="V26" s="18">
        <v>0.0</v>
      </c>
      <c r="W26" s="22">
        <f t="shared" si="2"/>
        <v>0</v>
      </c>
      <c r="X26" s="23">
        <f t="shared" si="8"/>
        <v>0</v>
      </c>
      <c r="Y26" s="24">
        <f t="shared" si="4"/>
        <v>3653.09</v>
      </c>
      <c r="Z26" s="25">
        <f t="shared" si="7"/>
        <v>0</v>
      </c>
      <c r="AA26" s="26"/>
      <c r="AB26" s="26"/>
      <c r="AC26" s="26"/>
      <c r="AD26" s="26"/>
      <c r="AE26" s="26"/>
      <c r="AF26" s="26"/>
      <c r="AG26" s="26"/>
      <c r="AH26" s="26"/>
    </row>
    <row r="27" ht="26.25" customHeight="1">
      <c r="A27" s="17">
        <v>10.0</v>
      </c>
      <c r="B27" s="18" t="s">
        <v>41</v>
      </c>
      <c r="C27" s="18" t="s">
        <v>42</v>
      </c>
      <c r="D27" s="18" t="s">
        <v>43</v>
      </c>
      <c r="E27" s="19">
        <v>46072.0</v>
      </c>
      <c r="F27" s="19">
        <v>46073.0</v>
      </c>
      <c r="G27" s="20">
        <f t="shared" si="1"/>
        <v>1</v>
      </c>
      <c r="H27" s="18" t="s">
        <v>28</v>
      </c>
      <c r="I27" s="17" t="s">
        <v>56</v>
      </c>
      <c r="J27" s="17" t="s">
        <v>57</v>
      </c>
      <c r="K27" s="17" t="s">
        <v>58</v>
      </c>
      <c r="L27" s="17" t="s">
        <v>32</v>
      </c>
      <c r="M27" s="17" t="s">
        <v>33</v>
      </c>
      <c r="N27" s="17" t="s">
        <v>34</v>
      </c>
      <c r="O27" s="17" t="s">
        <v>35</v>
      </c>
      <c r="P27" s="17">
        <v>2695.0</v>
      </c>
      <c r="Q27" s="18" t="s">
        <v>36</v>
      </c>
      <c r="R27" s="18" t="s">
        <v>48</v>
      </c>
      <c r="S27" s="18" t="s">
        <v>36</v>
      </c>
      <c r="T27" s="21">
        <v>2000.86</v>
      </c>
      <c r="U27" s="18">
        <v>0.0</v>
      </c>
      <c r="V27" s="18">
        <v>0.0</v>
      </c>
      <c r="W27" s="22">
        <f t="shared" si="2"/>
        <v>0</v>
      </c>
      <c r="X27" s="23">
        <f t="shared" si="8"/>
        <v>0</v>
      </c>
      <c r="Y27" s="24">
        <f t="shared" si="4"/>
        <v>2000.86</v>
      </c>
      <c r="Z27" s="25">
        <f t="shared" si="7"/>
        <v>0</v>
      </c>
      <c r="AA27" s="26"/>
      <c r="AB27" s="26"/>
      <c r="AC27" s="26"/>
      <c r="AD27" s="26"/>
      <c r="AE27" s="26"/>
      <c r="AF27" s="26"/>
      <c r="AG27" s="26"/>
      <c r="AH27" s="26"/>
    </row>
    <row r="28" ht="26.25" customHeight="1">
      <c r="A28" s="17">
        <v>11.0</v>
      </c>
      <c r="B28" s="18" t="s">
        <v>41</v>
      </c>
      <c r="C28" s="18" t="s">
        <v>42</v>
      </c>
      <c r="D28" s="18" t="s">
        <v>43</v>
      </c>
      <c r="E28" s="19">
        <v>46072.0</v>
      </c>
      <c r="F28" s="19">
        <v>46076.0</v>
      </c>
      <c r="G28" s="20">
        <f t="shared" si="1"/>
        <v>4</v>
      </c>
      <c r="H28" s="18" t="s">
        <v>28</v>
      </c>
      <c r="I28" s="17" t="s">
        <v>32</v>
      </c>
      <c r="J28" s="17" t="s">
        <v>33</v>
      </c>
      <c r="K28" s="17" t="s">
        <v>34</v>
      </c>
      <c r="L28" s="17" t="s">
        <v>67</v>
      </c>
      <c r="M28" s="17" t="s">
        <v>68</v>
      </c>
      <c r="N28" s="17" t="s">
        <v>69</v>
      </c>
      <c r="O28" s="17" t="s">
        <v>35</v>
      </c>
      <c r="P28" s="17">
        <v>1970.0</v>
      </c>
      <c r="Q28" s="18" t="s">
        <v>36</v>
      </c>
      <c r="R28" s="18" t="s">
        <v>48</v>
      </c>
      <c r="S28" s="18" t="s">
        <v>36</v>
      </c>
      <c r="T28" s="21">
        <v>3187.99</v>
      </c>
      <c r="U28" s="18">
        <v>0.0</v>
      </c>
      <c r="V28" s="18">
        <v>0.0</v>
      </c>
      <c r="W28" s="22">
        <f t="shared" si="2"/>
        <v>0</v>
      </c>
      <c r="X28" s="23">
        <f t="shared" si="8"/>
        <v>0</v>
      </c>
      <c r="Y28" s="24">
        <f t="shared" si="4"/>
        <v>3187.99</v>
      </c>
      <c r="Z28" s="25">
        <f t="shared" si="7"/>
        <v>0</v>
      </c>
      <c r="AA28" s="26"/>
      <c r="AB28" s="26"/>
      <c r="AC28" s="26"/>
      <c r="AD28" s="26"/>
      <c r="AE28" s="26"/>
      <c r="AF28" s="26"/>
      <c r="AG28" s="26"/>
      <c r="AH28" s="26"/>
    </row>
    <row r="29" ht="26.25" customHeight="1">
      <c r="A29" s="17">
        <v>11.0</v>
      </c>
      <c r="B29" s="18" t="s">
        <v>51</v>
      </c>
      <c r="C29" s="18" t="s">
        <v>52</v>
      </c>
      <c r="D29" s="18" t="s">
        <v>43</v>
      </c>
      <c r="E29" s="19">
        <v>46074.0</v>
      </c>
      <c r="F29" s="19">
        <v>46076.0</v>
      </c>
      <c r="G29" s="20">
        <f t="shared" si="1"/>
        <v>2</v>
      </c>
      <c r="H29" s="18" t="s">
        <v>28</v>
      </c>
      <c r="I29" s="17" t="s">
        <v>29</v>
      </c>
      <c r="J29" s="17" t="s">
        <v>30</v>
      </c>
      <c r="K29" s="17" t="s">
        <v>31</v>
      </c>
      <c r="L29" s="17" t="s">
        <v>67</v>
      </c>
      <c r="M29" s="17" t="s">
        <v>68</v>
      </c>
      <c r="N29" s="17" t="s">
        <v>69</v>
      </c>
      <c r="O29" s="17" t="s">
        <v>35</v>
      </c>
      <c r="P29" s="17">
        <v>930.0</v>
      </c>
      <c r="Q29" s="18" t="s">
        <v>36</v>
      </c>
      <c r="R29" s="18" t="s">
        <v>48</v>
      </c>
      <c r="S29" s="18" t="s">
        <v>36</v>
      </c>
      <c r="T29" s="21">
        <v>1916.77</v>
      </c>
      <c r="U29" s="18">
        <v>0.0</v>
      </c>
      <c r="V29" s="18">
        <v>0.0</v>
      </c>
      <c r="W29" s="22">
        <f t="shared" si="2"/>
        <v>0</v>
      </c>
      <c r="X29" s="23">
        <f t="shared" si="8"/>
        <v>0</v>
      </c>
      <c r="Y29" s="24">
        <f t="shared" si="4"/>
        <v>1916.77</v>
      </c>
      <c r="Z29" s="25">
        <f t="shared" si="7"/>
        <v>0</v>
      </c>
      <c r="AA29" s="26"/>
      <c r="AB29" s="26"/>
      <c r="AC29" s="26"/>
      <c r="AD29" s="26"/>
      <c r="AE29" s="26"/>
      <c r="AF29" s="26"/>
      <c r="AG29" s="26"/>
      <c r="AH29" s="26"/>
    </row>
    <row r="30" ht="26.25" customHeight="1">
      <c r="A30" s="17">
        <v>11.0</v>
      </c>
      <c r="B30" s="18" t="s">
        <v>41</v>
      </c>
      <c r="C30" s="18" t="s">
        <v>42</v>
      </c>
      <c r="D30" s="18" t="s">
        <v>43</v>
      </c>
      <c r="E30" s="19">
        <v>46076.0</v>
      </c>
      <c r="F30" s="19">
        <v>46076.0</v>
      </c>
      <c r="G30" s="20">
        <f t="shared" si="1"/>
        <v>0</v>
      </c>
      <c r="H30" s="18" t="s">
        <v>28</v>
      </c>
      <c r="I30" s="17" t="s">
        <v>67</v>
      </c>
      <c r="J30" s="17" t="s">
        <v>68</v>
      </c>
      <c r="K30" s="17" t="s">
        <v>69</v>
      </c>
      <c r="L30" s="17" t="s">
        <v>29</v>
      </c>
      <c r="M30" s="17" t="s">
        <v>30</v>
      </c>
      <c r="N30" s="17" t="s">
        <v>31</v>
      </c>
      <c r="O30" s="17" t="s">
        <v>35</v>
      </c>
      <c r="P30" s="17">
        <v>930.0</v>
      </c>
      <c r="Q30" s="18" t="s">
        <v>36</v>
      </c>
      <c r="R30" s="18" t="s">
        <v>48</v>
      </c>
      <c r="S30" s="18" t="s">
        <v>36</v>
      </c>
      <c r="T30" s="27">
        <v>1607.01</v>
      </c>
      <c r="U30" s="18">
        <v>0.0</v>
      </c>
      <c r="V30" s="18">
        <v>0.0</v>
      </c>
      <c r="W30" s="22">
        <f t="shared" si="2"/>
        <v>0</v>
      </c>
      <c r="X30" s="23">
        <f t="shared" si="8"/>
        <v>0</v>
      </c>
      <c r="Y30" s="24">
        <f t="shared" si="4"/>
        <v>1607.01</v>
      </c>
      <c r="Z30" s="25">
        <f t="shared" si="7"/>
        <v>0</v>
      </c>
      <c r="AA30" s="26"/>
      <c r="AB30" s="26"/>
      <c r="AC30" s="26"/>
      <c r="AD30" s="26"/>
      <c r="AE30" s="26"/>
      <c r="AF30" s="26"/>
      <c r="AG30" s="26"/>
      <c r="AH30" s="26"/>
    </row>
    <row r="31" ht="26.25" customHeight="1">
      <c r="A31" s="17">
        <v>11.0</v>
      </c>
      <c r="B31" s="18" t="s">
        <v>51</v>
      </c>
      <c r="C31" s="18" t="s">
        <v>52</v>
      </c>
      <c r="D31" s="18" t="s">
        <v>43</v>
      </c>
      <c r="E31" s="19">
        <v>46076.0</v>
      </c>
      <c r="F31" s="19">
        <v>46076.0</v>
      </c>
      <c r="G31" s="20">
        <f t="shared" si="1"/>
        <v>0</v>
      </c>
      <c r="H31" s="18" t="s">
        <v>28</v>
      </c>
      <c r="I31" s="17" t="s">
        <v>67</v>
      </c>
      <c r="J31" s="17" t="s">
        <v>68</v>
      </c>
      <c r="K31" s="17" t="s">
        <v>69</v>
      </c>
      <c r="L31" s="17" t="s">
        <v>29</v>
      </c>
      <c r="M31" s="17" t="s">
        <v>30</v>
      </c>
      <c r="N31" s="17" t="s">
        <v>31</v>
      </c>
      <c r="O31" s="17" t="s">
        <v>35</v>
      </c>
      <c r="P31" s="17">
        <v>930.0</v>
      </c>
      <c r="Q31" s="18" t="s">
        <v>36</v>
      </c>
      <c r="R31" s="18" t="s">
        <v>48</v>
      </c>
      <c r="S31" s="18" t="s">
        <v>36</v>
      </c>
      <c r="T31" s="27">
        <v>1607.01</v>
      </c>
      <c r="U31" s="18">
        <v>0.0</v>
      </c>
      <c r="V31" s="18">
        <v>0.0</v>
      </c>
      <c r="W31" s="22">
        <f t="shared" si="2"/>
        <v>0</v>
      </c>
      <c r="X31" s="23">
        <f t="shared" si="8"/>
        <v>0</v>
      </c>
      <c r="Y31" s="24">
        <f t="shared" si="4"/>
        <v>1607.01</v>
      </c>
      <c r="Z31" s="25">
        <f t="shared" si="7"/>
        <v>0</v>
      </c>
      <c r="AA31" s="26"/>
      <c r="AB31" s="26"/>
      <c r="AC31" s="26"/>
      <c r="AD31" s="26"/>
      <c r="AE31" s="26"/>
      <c r="AF31" s="26"/>
      <c r="AG31" s="26"/>
      <c r="AH31" s="26"/>
    </row>
    <row r="32" ht="26.25" customHeight="1">
      <c r="A32" s="17">
        <v>11.0</v>
      </c>
      <c r="B32" s="18" t="s">
        <v>41</v>
      </c>
      <c r="C32" s="18" t="s">
        <v>42</v>
      </c>
      <c r="D32" s="18" t="s">
        <v>43</v>
      </c>
      <c r="E32" s="19">
        <v>46076.0</v>
      </c>
      <c r="F32" s="19">
        <v>46078.0</v>
      </c>
      <c r="G32" s="20">
        <f t="shared" si="1"/>
        <v>2</v>
      </c>
      <c r="H32" s="18" t="s">
        <v>28</v>
      </c>
      <c r="I32" s="17" t="s">
        <v>29</v>
      </c>
      <c r="J32" s="17" t="s">
        <v>30</v>
      </c>
      <c r="K32" s="17" t="s">
        <v>31</v>
      </c>
      <c r="L32" s="17" t="s">
        <v>32</v>
      </c>
      <c r="M32" s="17" t="s">
        <v>33</v>
      </c>
      <c r="N32" s="17" t="s">
        <v>34</v>
      </c>
      <c r="O32" s="17" t="s">
        <v>35</v>
      </c>
      <c r="P32" s="17">
        <v>1700.0</v>
      </c>
      <c r="Q32" s="18" t="s">
        <v>36</v>
      </c>
      <c r="R32" s="18" t="s">
        <v>48</v>
      </c>
      <c r="S32" s="18" t="s">
        <v>36</v>
      </c>
      <c r="T32" s="28"/>
      <c r="U32" s="18">
        <v>0.0</v>
      </c>
      <c r="V32" s="18">
        <v>0.0</v>
      </c>
      <c r="W32" s="22">
        <f t="shared" si="2"/>
        <v>0</v>
      </c>
      <c r="X32" s="23">
        <f t="shared" si="8"/>
        <v>0</v>
      </c>
      <c r="Y32" s="24">
        <f t="shared" si="4"/>
        <v>0</v>
      </c>
      <c r="Z32" s="25">
        <f t="shared" si="7"/>
        <v>0</v>
      </c>
      <c r="AA32" s="26"/>
      <c r="AB32" s="26"/>
      <c r="AC32" s="26"/>
      <c r="AD32" s="26"/>
      <c r="AE32" s="26"/>
      <c r="AF32" s="26"/>
      <c r="AG32" s="26"/>
      <c r="AH32" s="26"/>
    </row>
    <row r="33" ht="26.25" customHeight="1">
      <c r="A33" s="17">
        <v>11.0</v>
      </c>
      <c r="B33" s="18" t="s">
        <v>49</v>
      </c>
      <c r="C33" s="18" t="s">
        <v>50</v>
      </c>
      <c r="D33" s="18" t="s">
        <v>43</v>
      </c>
      <c r="E33" s="19">
        <v>46070.0</v>
      </c>
      <c r="F33" s="19">
        <v>46076.0</v>
      </c>
      <c r="G33" s="20">
        <f t="shared" si="1"/>
        <v>6</v>
      </c>
      <c r="H33" s="18" t="s">
        <v>28</v>
      </c>
      <c r="I33" s="17" t="s">
        <v>32</v>
      </c>
      <c r="J33" s="17" t="s">
        <v>33</v>
      </c>
      <c r="K33" s="17" t="s">
        <v>34</v>
      </c>
      <c r="L33" s="17" t="s">
        <v>29</v>
      </c>
      <c r="M33" s="17" t="s">
        <v>30</v>
      </c>
      <c r="N33" s="17" t="s">
        <v>31</v>
      </c>
      <c r="O33" s="17" t="s">
        <v>35</v>
      </c>
      <c r="P33" s="17">
        <v>1700.0</v>
      </c>
      <c r="Q33" s="18" t="s">
        <v>36</v>
      </c>
      <c r="R33" s="18" t="s">
        <v>70</v>
      </c>
      <c r="S33" s="18" t="s">
        <v>36</v>
      </c>
      <c r="T33" s="27">
        <v>2105.99</v>
      </c>
      <c r="U33" s="18">
        <v>0.0</v>
      </c>
      <c r="V33" s="18">
        <v>0.0</v>
      </c>
      <c r="W33" s="22">
        <f t="shared" si="2"/>
        <v>0</v>
      </c>
      <c r="X33" s="23">
        <f t="shared" si="8"/>
        <v>0</v>
      </c>
      <c r="Y33" s="24">
        <f t="shared" si="4"/>
        <v>2105.99</v>
      </c>
      <c r="Z33" s="25">
        <f t="shared" si="7"/>
        <v>0</v>
      </c>
      <c r="AA33" s="26"/>
      <c r="AB33" s="26"/>
      <c r="AC33" s="26"/>
      <c r="AD33" s="26"/>
      <c r="AE33" s="26"/>
      <c r="AF33" s="26"/>
      <c r="AG33" s="26"/>
      <c r="AH33" s="26"/>
    </row>
    <row r="34" ht="26.25" customHeight="1">
      <c r="A34" s="17">
        <v>11.0</v>
      </c>
      <c r="B34" s="18" t="s">
        <v>59</v>
      </c>
      <c r="C34" s="18" t="s">
        <v>26</v>
      </c>
      <c r="D34" s="18" t="s">
        <v>43</v>
      </c>
      <c r="E34" s="19">
        <v>46070.0</v>
      </c>
      <c r="F34" s="19">
        <v>46076.0</v>
      </c>
      <c r="G34" s="20">
        <f t="shared" si="1"/>
        <v>6</v>
      </c>
      <c r="H34" s="18" t="s">
        <v>28</v>
      </c>
      <c r="I34" s="17" t="s">
        <v>32</v>
      </c>
      <c r="J34" s="17" t="s">
        <v>33</v>
      </c>
      <c r="K34" s="17" t="s">
        <v>34</v>
      </c>
      <c r="L34" s="17" t="s">
        <v>29</v>
      </c>
      <c r="M34" s="17" t="s">
        <v>30</v>
      </c>
      <c r="N34" s="17" t="s">
        <v>31</v>
      </c>
      <c r="O34" s="17" t="s">
        <v>35</v>
      </c>
      <c r="P34" s="17">
        <v>1700.0</v>
      </c>
      <c r="Q34" s="18" t="s">
        <v>36</v>
      </c>
      <c r="R34" s="18" t="s">
        <v>70</v>
      </c>
      <c r="S34" s="18" t="s">
        <v>36</v>
      </c>
      <c r="T34" s="27">
        <v>2105.99</v>
      </c>
      <c r="U34" s="18">
        <v>0.0</v>
      </c>
      <c r="V34" s="18">
        <v>0.0</v>
      </c>
      <c r="W34" s="22">
        <f t="shared" si="2"/>
        <v>0</v>
      </c>
      <c r="X34" s="23">
        <f t="shared" si="8"/>
        <v>0</v>
      </c>
      <c r="Y34" s="24">
        <f t="shared" si="4"/>
        <v>2105.99</v>
      </c>
      <c r="Z34" s="25">
        <f t="shared" si="7"/>
        <v>0</v>
      </c>
      <c r="AA34" s="26"/>
      <c r="AB34" s="26"/>
      <c r="AC34" s="26"/>
      <c r="AD34" s="26"/>
      <c r="AE34" s="26"/>
      <c r="AF34" s="26"/>
      <c r="AG34" s="26"/>
      <c r="AH34" s="26"/>
    </row>
    <row r="35" ht="26.25" customHeight="1">
      <c r="A35" s="17">
        <v>11.0</v>
      </c>
      <c r="B35" s="18" t="s">
        <v>49</v>
      </c>
      <c r="C35" s="18" t="s">
        <v>50</v>
      </c>
      <c r="D35" s="18" t="s">
        <v>43</v>
      </c>
      <c r="E35" s="19">
        <v>46070.0</v>
      </c>
      <c r="F35" s="19">
        <v>46078.0</v>
      </c>
      <c r="G35" s="20">
        <f t="shared" si="1"/>
        <v>8</v>
      </c>
      <c r="H35" s="18" t="s">
        <v>28</v>
      </c>
      <c r="I35" s="17" t="s">
        <v>29</v>
      </c>
      <c r="J35" s="17" t="s">
        <v>30</v>
      </c>
      <c r="K35" s="17" t="s">
        <v>31</v>
      </c>
      <c r="L35" s="17" t="s">
        <v>32</v>
      </c>
      <c r="M35" s="17" t="s">
        <v>33</v>
      </c>
      <c r="N35" s="17" t="s">
        <v>34</v>
      </c>
      <c r="O35" s="17" t="s">
        <v>35</v>
      </c>
      <c r="P35" s="17">
        <v>1700.0</v>
      </c>
      <c r="Q35" s="18" t="s">
        <v>36</v>
      </c>
      <c r="R35" s="18" t="s">
        <v>70</v>
      </c>
      <c r="S35" s="18" t="s">
        <v>36</v>
      </c>
      <c r="T35" s="27">
        <v>1067.77</v>
      </c>
      <c r="U35" s="18">
        <v>0.0</v>
      </c>
      <c r="V35" s="18">
        <v>0.0</v>
      </c>
      <c r="W35" s="22">
        <f t="shared" si="2"/>
        <v>0</v>
      </c>
      <c r="X35" s="23">
        <f t="shared" si="8"/>
        <v>0</v>
      </c>
      <c r="Y35" s="24">
        <f t="shared" si="4"/>
        <v>1067.77</v>
      </c>
      <c r="Z35" s="25">
        <f t="shared" si="7"/>
        <v>0</v>
      </c>
      <c r="AA35" s="26"/>
      <c r="AB35" s="26"/>
      <c r="AC35" s="26"/>
      <c r="AD35" s="26"/>
      <c r="AE35" s="26"/>
      <c r="AF35" s="26"/>
      <c r="AG35" s="26"/>
      <c r="AH35" s="26"/>
    </row>
    <row r="36" ht="26.25" customHeight="1">
      <c r="A36" s="17">
        <v>11.0</v>
      </c>
      <c r="B36" s="18" t="s">
        <v>59</v>
      </c>
      <c r="C36" s="18" t="s">
        <v>26</v>
      </c>
      <c r="D36" s="18" t="s">
        <v>43</v>
      </c>
      <c r="E36" s="19">
        <v>46070.0</v>
      </c>
      <c r="F36" s="19">
        <v>46078.0</v>
      </c>
      <c r="G36" s="20">
        <f t="shared" si="1"/>
        <v>8</v>
      </c>
      <c r="H36" s="18" t="s">
        <v>28</v>
      </c>
      <c r="I36" s="17" t="s">
        <v>29</v>
      </c>
      <c r="J36" s="17" t="s">
        <v>30</v>
      </c>
      <c r="K36" s="17" t="s">
        <v>31</v>
      </c>
      <c r="L36" s="17" t="s">
        <v>32</v>
      </c>
      <c r="M36" s="17" t="s">
        <v>33</v>
      </c>
      <c r="N36" s="17" t="s">
        <v>34</v>
      </c>
      <c r="O36" s="17" t="s">
        <v>35</v>
      </c>
      <c r="P36" s="17">
        <v>1700.0</v>
      </c>
      <c r="Q36" s="18" t="s">
        <v>36</v>
      </c>
      <c r="R36" s="18" t="s">
        <v>70</v>
      </c>
      <c r="S36" s="18" t="s">
        <v>36</v>
      </c>
      <c r="T36" s="27">
        <v>1067.77</v>
      </c>
      <c r="U36" s="18">
        <v>0.0</v>
      </c>
      <c r="V36" s="18">
        <v>0.0</v>
      </c>
      <c r="W36" s="22">
        <f t="shared" si="2"/>
        <v>0</v>
      </c>
      <c r="X36" s="23">
        <f t="shared" si="8"/>
        <v>0</v>
      </c>
      <c r="Y36" s="24">
        <f t="shared" si="4"/>
        <v>1067.77</v>
      </c>
      <c r="Z36" s="25">
        <f t="shared" si="7"/>
        <v>0</v>
      </c>
      <c r="AA36" s="26"/>
      <c r="AB36" s="26"/>
      <c r="AC36" s="26"/>
      <c r="AD36" s="26"/>
      <c r="AE36" s="26"/>
      <c r="AF36" s="26"/>
      <c r="AG36" s="26"/>
      <c r="AH36" s="26"/>
    </row>
    <row r="37" ht="26.25" customHeight="1">
      <c r="A37" s="29">
        <v>12.0</v>
      </c>
      <c r="B37" s="30" t="s">
        <v>25</v>
      </c>
      <c r="C37" s="30" t="s">
        <v>26</v>
      </c>
      <c r="D37" s="30" t="s">
        <v>27</v>
      </c>
      <c r="E37" s="31">
        <v>46076.0</v>
      </c>
      <c r="F37" s="31">
        <v>46082.0</v>
      </c>
      <c r="G37" s="32">
        <f t="shared" si="1"/>
        <v>6</v>
      </c>
      <c r="H37" s="30" t="s">
        <v>28</v>
      </c>
      <c r="I37" s="29" t="s">
        <v>29</v>
      </c>
      <c r="J37" s="29" t="s">
        <v>30</v>
      </c>
      <c r="K37" s="29" t="s">
        <v>31</v>
      </c>
      <c r="L37" s="29" t="s">
        <v>32</v>
      </c>
      <c r="M37" s="29" t="s">
        <v>33</v>
      </c>
      <c r="N37" s="29" t="s">
        <v>34</v>
      </c>
      <c r="O37" s="29" t="s">
        <v>39</v>
      </c>
      <c r="P37" s="29">
        <v>1700.0</v>
      </c>
      <c r="Q37" s="30" t="s">
        <v>36</v>
      </c>
      <c r="R37" s="30" t="s">
        <v>70</v>
      </c>
      <c r="S37" s="30" t="s">
        <v>36</v>
      </c>
      <c r="T37" s="33">
        <v>2241.38</v>
      </c>
      <c r="U37" s="30">
        <v>0.0</v>
      </c>
      <c r="V37" s="34"/>
      <c r="W37" s="35">
        <f t="shared" si="2"/>
        <v>0</v>
      </c>
      <c r="X37" s="36">
        <f t="shared" si="8"/>
        <v>0</v>
      </c>
      <c r="Y37" s="37">
        <f t="shared" si="4"/>
        <v>2241.38</v>
      </c>
      <c r="Z37" s="38">
        <f t="shared" si="7"/>
        <v>0</v>
      </c>
      <c r="AA37" s="34"/>
      <c r="AB37" s="34"/>
      <c r="AC37" s="34"/>
      <c r="AD37" s="34"/>
      <c r="AE37" s="34"/>
      <c r="AF37" s="34"/>
      <c r="AG37" s="34"/>
      <c r="AH37" s="34"/>
    </row>
    <row r="38" ht="26.25" customHeight="1">
      <c r="A38" s="29">
        <v>12.0</v>
      </c>
      <c r="B38" s="30" t="s">
        <v>25</v>
      </c>
      <c r="C38" s="30" t="s">
        <v>26</v>
      </c>
      <c r="D38" s="30" t="s">
        <v>27</v>
      </c>
      <c r="E38" s="31">
        <v>46076.0</v>
      </c>
      <c r="F38" s="31">
        <v>46085.0</v>
      </c>
      <c r="G38" s="32">
        <f t="shared" si="1"/>
        <v>9</v>
      </c>
      <c r="H38" s="30" t="s">
        <v>28</v>
      </c>
      <c r="I38" s="29" t="s">
        <v>32</v>
      </c>
      <c r="J38" s="29" t="s">
        <v>33</v>
      </c>
      <c r="K38" s="29" t="s">
        <v>34</v>
      </c>
      <c r="L38" s="29" t="s">
        <v>29</v>
      </c>
      <c r="M38" s="29" t="s">
        <v>30</v>
      </c>
      <c r="N38" s="29" t="s">
        <v>31</v>
      </c>
      <c r="O38" s="29" t="s">
        <v>39</v>
      </c>
      <c r="P38" s="29">
        <v>1700.0</v>
      </c>
      <c r="Q38" s="30" t="s">
        <v>36</v>
      </c>
      <c r="R38" s="30" t="s">
        <v>70</v>
      </c>
      <c r="S38" s="30" t="s">
        <v>36</v>
      </c>
      <c r="T38" s="33">
        <v>2241.38</v>
      </c>
      <c r="U38" s="30">
        <v>0.0</v>
      </c>
      <c r="V38" s="30">
        <v>0.0</v>
      </c>
      <c r="W38" s="35">
        <f t="shared" si="2"/>
        <v>0</v>
      </c>
      <c r="X38" s="36">
        <f t="shared" si="8"/>
        <v>0</v>
      </c>
      <c r="Y38" s="37">
        <f t="shared" si="4"/>
        <v>2241.38</v>
      </c>
      <c r="Z38" s="38">
        <f t="shared" si="7"/>
        <v>0</v>
      </c>
      <c r="AA38" s="34"/>
      <c r="AB38" s="34"/>
      <c r="AC38" s="34"/>
      <c r="AD38" s="34"/>
      <c r="AE38" s="34"/>
      <c r="AF38" s="34"/>
      <c r="AG38" s="34"/>
      <c r="AH38" s="34"/>
    </row>
    <row r="39" ht="26.25" customHeight="1">
      <c r="A39" s="29">
        <v>13.0</v>
      </c>
      <c r="B39" s="30" t="s">
        <v>41</v>
      </c>
      <c r="C39" s="30" t="s">
        <v>42</v>
      </c>
      <c r="D39" s="30" t="s">
        <v>43</v>
      </c>
      <c r="E39" s="31">
        <v>46082.0</v>
      </c>
      <c r="F39" s="31">
        <v>46083.0</v>
      </c>
      <c r="G39" s="32">
        <f t="shared" si="1"/>
        <v>1</v>
      </c>
      <c r="H39" s="30" t="s">
        <v>28</v>
      </c>
      <c r="I39" s="29" t="s">
        <v>32</v>
      </c>
      <c r="J39" s="29" t="s">
        <v>33</v>
      </c>
      <c r="K39" s="29" t="s">
        <v>34</v>
      </c>
      <c r="L39" s="29" t="s">
        <v>29</v>
      </c>
      <c r="M39" s="29" t="s">
        <v>30</v>
      </c>
      <c r="N39" s="29" t="s">
        <v>31</v>
      </c>
      <c r="O39" s="29" t="s">
        <v>39</v>
      </c>
      <c r="P39" s="29">
        <v>1700.0</v>
      </c>
      <c r="Q39" s="30" t="s">
        <v>36</v>
      </c>
      <c r="R39" s="30" t="s">
        <v>48</v>
      </c>
      <c r="S39" s="30" t="s">
        <v>36</v>
      </c>
      <c r="T39" s="33">
        <v>3643.09</v>
      </c>
      <c r="U39" s="30">
        <v>0.0</v>
      </c>
      <c r="V39" s="30">
        <v>0.0</v>
      </c>
      <c r="W39" s="35">
        <f t="shared" si="2"/>
        <v>0</v>
      </c>
      <c r="X39" s="36">
        <f t="shared" si="8"/>
        <v>0</v>
      </c>
      <c r="Y39" s="37">
        <f t="shared" si="4"/>
        <v>3643.09</v>
      </c>
      <c r="Z39" s="38">
        <f t="shared" si="7"/>
        <v>0</v>
      </c>
      <c r="AA39" s="34"/>
      <c r="AB39" s="34"/>
      <c r="AC39" s="34"/>
      <c r="AD39" s="34"/>
      <c r="AE39" s="34"/>
      <c r="AF39" s="34"/>
      <c r="AG39" s="34"/>
      <c r="AH39" s="34"/>
    </row>
    <row r="40" ht="26.25" customHeight="1">
      <c r="A40" s="29">
        <v>13.0</v>
      </c>
      <c r="B40" s="30" t="s">
        <v>41</v>
      </c>
      <c r="C40" s="30" t="s">
        <v>42</v>
      </c>
      <c r="D40" s="30" t="s">
        <v>43</v>
      </c>
      <c r="E40" s="31">
        <v>46084.0</v>
      </c>
      <c r="F40" s="31">
        <v>46084.0</v>
      </c>
      <c r="G40" s="32">
        <f t="shared" si="1"/>
        <v>0</v>
      </c>
      <c r="H40" s="30" t="s">
        <v>28</v>
      </c>
      <c r="I40" s="29" t="s">
        <v>29</v>
      </c>
      <c r="J40" s="29" t="s">
        <v>30</v>
      </c>
      <c r="K40" s="29" t="s">
        <v>31</v>
      </c>
      <c r="L40" s="29" t="s">
        <v>32</v>
      </c>
      <c r="M40" s="29" t="s">
        <v>33</v>
      </c>
      <c r="N40" s="29" t="s">
        <v>34</v>
      </c>
      <c r="O40" s="29" t="s">
        <v>35</v>
      </c>
      <c r="P40" s="29">
        <v>0.0</v>
      </c>
      <c r="Q40" s="30" t="s">
        <v>36</v>
      </c>
      <c r="R40" s="30" t="s">
        <v>48</v>
      </c>
      <c r="S40" s="30" t="s">
        <v>37</v>
      </c>
      <c r="T40" s="33">
        <v>3083.77</v>
      </c>
      <c r="U40" s="30">
        <v>0.0</v>
      </c>
      <c r="V40" s="30">
        <v>0.0</v>
      </c>
      <c r="W40" s="39">
        <v>0.0</v>
      </c>
      <c r="X40" s="36">
        <f t="shared" si="8"/>
        <v>0</v>
      </c>
      <c r="Y40" s="37">
        <f t="shared" si="4"/>
        <v>3083.77</v>
      </c>
      <c r="Z40" s="38">
        <f t="shared" si="7"/>
        <v>0</v>
      </c>
      <c r="AA40" s="34"/>
      <c r="AB40" s="34"/>
      <c r="AC40" s="34"/>
      <c r="AD40" s="34"/>
      <c r="AE40" s="34"/>
      <c r="AF40" s="34"/>
      <c r="AG40" s="34"/>
      <c r="AH40" s="34"/>
    </row>
    <row r="41" ht="26.25" customHeight="1">
      <c r="A41" s="29">
        <v>13.0</v>
      </c>
      <c r="B41" s="30" t="s">
        <v>41</v>
      </c>
      <c r="C41" s="30" t="s">
        <v>42</v>
      </c>
      <c r="D41" s="30" t="s">
        <v>43</v>
      </c>
      <c r="E41" s="31">
        <v>46084.0</v>
      </c>
      <c r="F41" s="31">
        <v>46085.0</v>
      </c>
      <c r="G41" s="32">
        <f t="shared" si="1"/>
        <v>1</v>
      </c>
      <c r="H41" s="30" t="s">
        <v>28</v>
      </c>
      <c r="I41" s="29" t="s">
        <v>29</v>
      </c>
      <c r="J41" s="29" t="s">
        <v>30</v>
      </c>
      <c r="K41" s="29" t="s">
        <v>31</v>
      </c>
      <c r="L41" s="29" t="s">
        <v>32</v>
      </c>
      <c r="M41" s="29" t="s">
        <v>33</v>
      </c>
      <c r="N41" s="29" t="s">
        <v>34</v>
      </c>
      <c r="O41" s="29" t="s">
        <v>35</v>
      </c>
      <c r="P41" s="29">
        <v>1700.0</v>
      </c>
      <c r="Q41" s="30" t="s">
        <v>36</v>
      </c>
      <c r="R41" s="30" t="s">
        <v>48</v>
      </c>
      <c r="S41" s="30" t="s">
        <v>36</v>
      </c>
      <c r="T41" s="33">
        <v>3631.87</v>
      </c>
      <c r="U41" s="30">
        <v>0.0</v>
      </c>
      <c r="V41" s="30">
        <v>0.0</v>
      </c>
      <c r="W41" s="35">
        <f t="shared" ref="W41:W73" si="9">if($S41 = "NÃO", 0, if(and(UPPER($O41) = "GOL", $S41 = "SIM"), $T41+$V41, if(and(UPPER($O41) = "LATAM", $S41 = "SIM"), $T41 + $V41, "----")))</f>
        <v>0</v>
      </c>
      <c r="X41" s="36">
        <f t="shared" si="8"/>
        <v>0</v>
      </c>
      <c r="Y41" s="37">
        <f t="shared" si="4"/>
        <v>3631.87</v>
      </c>
      <c r="Z41" s="38">
        <f t="shared" si="7"/>
        <v>0</v>
      </c>
      <c r="AA41" s="34"/>
      <c r="AB41" s="34"/>
      <c r="AC41" s="34"/>
      <c r="AD41" s="34"/>
      <c r="AE41" s="34"/>
      <c r="AF41" s="34"/>
      <c r="AG41" s="34"/>
      <c r="AH41" s="34"/>
    </row>
    <row r="42" ht="26.25" customHeight="1">
      <c r="A42" s="29">
        <v>14.0</v>
      </c>
      <c r="B42" s="30" t="s">
        <v>71</v>
      </c>
      <c r="C42" s="30" t="s">
        <v>50</v>
      </c>
      <c r="D42" s="30" t="s">
        <v>72</v>
      </c>
      <c r="E42" s="31">
        <v>46079.0</v>
      </c>
      <c r="F42" s="31">
        <v>46084.0</v>
      </c>
      <c r="G42" s="32">
        <f t="shared" si="1"/>
        <v>5</v>
      </c>
      <c r="H42" s="30" t="s">
        <v>28</v>
      </c>
      <c r="I42" s="29" t="s">
        <v>32</v>
      </c>
      <c r="J42" s="29" t="s">
        <v>33</v>
      </c>
      <c r="K42" s="29" t="s">
        <v>34</v>
      </c>
      <c r="L42" s="29" t="s">
        <v>67</v>
      </c>
      <c r="M42" s="29" t="s">
        <v>68</v>
      </c>
      <c r="N42" s="29" t="s">
        <v>69</v>
      </c>
      <c r="O42" s="29" t="s">
        <v>39</v>
      </c>
      <c r="P42" s="29">
        <v>1970.0</v>
      </c>
      <c r="Q42" s="30" t="s">
        <v>36</v>
      </c>
      <c r="R42" s="30" t="s">
        <v>48</v>
      </c>
      <c r="S42" s="30" t="s">
        <v>36</v>
      </c>
      <c r="T42" s="33">
        <v>1904.0</v>
      </c>
      <c r="U42" s="30">
        <v>0.0</v>
      </c>
      <c r="V42" s="30">
        <v>0.0</v>
      </c>
      <c r="W42" s="35">
        <f t="shared" si="9"/>
        <v>0</v>
      </c>
      <c r="X42" s="36">
        <f t="shared" si="8"/>
        <v>0</v>
      </c>
      <c r="Y42" s="37">
        <f t="shared" si="4"/>
        <v>1904</v>
      </c>
      <c r="Z42" s="38">
        <f t="shared" si="7"/>
        <v>0</v>
      </c>
      <c r="AA42" s="34"/>
      <c r="AB42" s="34"/>
      <c r="AC42" s="34"/>
      <c r="AD42" s="34"/>
      <c r="AE42" s="34"/>
      <c r="AF42" s="34"/>
      <c r="AG42" s="34"/>
      <c r="AH42" s="34"/>
    </row>
    <row r="43" ht="26.25" customHeight="1">
      <c r="A43" s="29">
        <v>14.0</v>
      </c>
      <c r="B43" s="30" t="s">
        <v>71</v>
      </c>
      <c r="C43" s="30" t="s">
        <v>50</v>
      </c>
      <c r="D43" s="30" t="s">
        <v>72</v>
      </c>
      <c r="E43" s="31">
        <v>46079.0</v>
      </c>
      <c r="F43" s="31">
        <v>46084.0</v>
      </c>
      <c r="G43" s="32">
        <f t="shared" si="1"/>
        <v>5</v>
      </c>
      <c r="H43" s="30" t="s">
        <v>73</v>
      </c>
      <c r="I43" s="29" t="s">
        <v>67</v>
      </c>
      <c r="J43" s="29" t="s">
        <v>68</v>
      </c>
      <c r="K43" s="29" t="s">
        <v>74</v>
      </c>
      <c r="L43" s="29" t="s">
        <v>75</v>
      </c>
      <c r="M43" s="29" t="s">
        <v>45</v>
      </c>
      <c r="N43" s="29" t="s">
        <v>76</v>
      </c>
      <c r="O43" s="29" t="s">
        <v>77</v>
      </c>
      <c r="P43" s="29">
        <v>190.0</v>
      </c>
      <c r="Q43" s="30" t="s">
        <v>36</v>
      </c>
      <c r="R43" s="30" t="s">
        <v>48</v>
      </c>
      <c r="S43" s="30" t="s">
        <v>36</v>
      </c>
      <c r="T43" s="33">
        <v>42.9</v>
      </c>
      <c r="U43" s="30">
        <v>0.0</v>
      </c>
      <c r="V43" s="30">
        <v>0.0</v>
      </c>
      <c r="W43" s="35">
        <f t="shared" si="9"/>
        <v>0</v>
      </c>
      <c r="X43" s="36">
        <f t="shared" si="8"/>
        <v>0</v>
      </c>
      <c r="Y43" s="37">
        <f t="shared" si="4"/>
        <v>42.9</v>
      </c>
      <c r="Z43" s="38">
        <f t="shared" si="7"/>
        <v>0</v>
      </c>
      <c r="AA43" s="34"/>
      <c r="AB43" s="34"/>
      <c r="AC43" s="34"/>
      <c r="AD43" s="34"/>
      <c r="AE43" s="34"/>
      <c r="AF43" s="34"/>
      <c r="AG43" s="34"/>
      <c r="AH43" s="34"/>
    </row>
    <row r="44" ht="26.25" customHeight="1">
      <c r="A44" s="29">
        <v>14.0</v>
      </c>
      <c r="B44" s="30" t="s">
        <v>71</v>
      </c>
      <c r="C44" s="30" t="s">
        <v>50</v>
      </c>
      <c r="D44" s="30" t="s">
        <v>72</v>
      </c>
      <c r="E44" s="31">
        <v>46079.0</v>
      </c>
      <c r="F44" s="31">
        <v>46086.0</v>
      </c>
      <c r="G44" s="32">
        <f t="shared" si="1"/>
        <v>7</v>
      </c>
      <c r="H44" s="30" t="s">
        <v>73</v>
      </c>
      <c r="I44" s="29" t="s">
        <v>75</v>
      </c>
      <c r="J44" s="29" t="s">
        <v>45</v>
      </c>
      <c r="K44" s="29" t="s">
        <v>76</v>
      </c>
      <c r="L44" s="29" t="s">
        <v>67</v>
      </c>
      <c r="M44" s="29" t="s">
        <v>68</v>
      </c>
      <c r="N44" s="29" t="s">
        <v>74</v>
      </c>
      <c r="O44" s="29" t="s">
        <v>77</v>
      </c>
      <c r="P44" s="29">
        <v>190.0</v>
      </c>
      <c r="Q44" s="30" t="s">
        <v>36</v>
      </c>
      <c r="R44" s="30" t="s">
        <v>70</v>
      </c>
      <c r="S44" s="30" t="s">
        <v>36</v>
      </c>
      <c r="T44" s="33">
        <v>89.9</v>
      </c>
      <c r="U44" s="30">
        <v>0.0</v>
      </c>
      <c r="V44" s="30">
        <v>0.0</v>
      </c>
      <c r="W44" s="35">
        <f t="shared" si="9"/>
        <v>0</v>
      </c>
      <c r="X44" s="36">
        <f t="shared" si="8"/>
        <v>0</v>
      </c>
      <c r="Y44" s="37">
        <f t="shared" si="4"/>
        <v>89.9</v>
      </c>
      <c r="Z44" s="38">
        <f t="shared" si="7"/>
        <v>0</v>
      </c>
      <c r="AA44" s="34"/>
      <c r="AB44" s="34"/>
      <c r="AC44" s="34"/>
      <c r="AD44" s="34"/>
      <c r="AE44" s="34"/>
      <c r="AF44" s="34"/>
      <c r="AG44" s="34"/>
      <c r="AH44" s="34"/>
    </row>
    <row r="45" ht="26.25" customHeight="1">
      <c r="A45" s="29">
        <v>14.0</v>
      </c>
      <c r="B45" s="30" t="s">
        <v>71</v>
      </c>
      <c r="C45" s="30" t="s">
        <v>50</v>
      </c>
      <c r="D45" s="30" t="s">
        <v>72</v>
      </c>
      <c r="E45" s="31">
        <v>46079.0</v>
      </c>
      <c r="F45" s="31">
        <v>46086.0</v>
      </c>
      <c r="G45" s="32">
        <f t="shared" si="1"/>
        <v>7</v>
      </c>
      <c r="H45" s="30" t="s">
        <v>28</v>
      </c>
      <c r="I45" s="29" t="s">
        <v>67</v>
      </c>
      <c r="J45" s="29" t="s">
        <v>68</v>
      </c>
      <c r="K45" s="29" t="s">
        <v>69</v>
      </c>
      <c r="L45" s="29" t="s">
        <v>32</v>
      </c>
      <c r="M45" s="29" t="s">
        <v>33</v>
      </c>
      <c r="N45" s="29" t="s">
        <v>34</v>
      </c>
      <c r="O45" s="29" t="s">
        <v>39</v>
      </c>
      <c r="P45" s="29">
        <v>1970.0</v>
      </c>
      <c r="Q45" s="30" t="s">
        <v>36</v>
      </c>
      <c r="R45" s="30" t="s">
        <v>70</v>
      </c>
      <c r="S45" s="30" t="s">
        <v>36</v>
      </c>
      <c r="T45" s="33">
        <v>1904.0</v>
      </c>
      <c r="U45" s="30">
        <v>0.0</v>
      </c>
      <c r="V45" s="30">
        <v>0.0</v>
      </c>
      <c r="W45" s="35">
        <f t="shared" si="9"/>
        <v>0</v>
      </c>
      <c r="X45" s="36">
        <f t="shared" si="8"/>
        <v>0</v>
      </c>
      <c r="Y45" s="37">
        <f t="shared" si="4"/>
        <v>1904</v>
      </c>
      <c r="Z45" s="38">
        <f t="shared" si="7"/>
        <v>0</v>
      </c>
      <c r="AA45" s="34"/>
      <c r="AB45" s="34"/>
      <c r="AC45" s="34"/>
      <c r="AD45" s="34"/>
      <c r="AE45" s="34"/>
      <c r="AF45" s="34"/>
      <c r="AG45" s="34"/>
      <c r="AH45" s="34"/>
    </row>
    <row r="46" ht="26.25" customHeight="1">
      <c r="A46" s="29">
        <v>14.0</v>
      </c>
      <c r="B46" s="30" t="s">
        <v>78</v>
      </c>
      <c r="C46" s="30" t="s">
        <v>50</v>
      </c>
      <c r="D46" s="30" t="s">
        <v>72</v>
      </c>
      <c r="E46" s="31">
        <v>46079.0</v>
      </c>
      <c r="F46" s="31">
        <v>46084.0</v>
      </c>
      <c r="G46" s="32">
        <f t="shared" si="1"/>
        <v>5</v>
      </c>
      <c r="H46" s="30" t="s">
        <v>28</v>
      </c>
      <c r="I46" s="29" t="s">
        <v>32</v>
      </c>
      <c r="J46" s="29" t="s">
        <v>33</v>
      </c>
      <c r="K46" s="29" t="s">
        <v>34</v>
      </c>
      <c r="L46" s="29" t="s">
        <v>67</v>
      </c>
      <c r="M46" s="29" t="s">
        <v>68</v>
      </c>
      <c r="N46" s="29" t="s">
        <v>69</v>
      </c>
      <c r="O46" s="29" t="s">
        <v>39</v>
      </c>
      <c r="P46" s="29">
        <v>1970.0</v>
      </c>
      <c r="Q46" s="30" t="s">
        <v>36</v>
      </c>
      <c r="R46" s="30" t="s">
        <v>48</v>
      </c>
      <c r="S46" s="30" t="s">
        <v>36</v>
      </c>
      <c r="T46" s="33">
        <v>1904.0</v>
      </c>
      <c r="U46" s="30">
        <v>0.0</v>
      </c>
      <c r="V46" s="30">
        <v>0.0</v>
      </c>
      <c r="W46" s="35">
        <f t="shared" si="9"/>
        <v>0</v>
      </c>
      <c r="X46" s="36">
        <f t="shared" si="8"/>
        <v>0</v>
      </c>
      <c r="Y46" s="37">
        <f t="shared" si="4"/>
        <v>1904</v>
      </c>
      <c r="Z46" s="38">
        <f t="shared" si="7"/>
        <v>0</v>
      </c>
      <c r="AA46" s="34"/>
      <c r="AB46" s="34"/>
      <c r="AC46" s="34"/>
      <c r="AD46" s="34"/>
      <c r="AE46" s="34"/>
      <c r="AF46" s="34"/>
      <c r="AG46" s="34"/>
      <c r="AH46" s="34"/>
    </row>
    <row r="47" ht="26.25" customHeight="1">
      <c r="A47" s="29">
        <v>14.0</v>
      </c>
      <c r="B47" s="30" t="s">
        <v>78</v>
      </c>
      <c r="C47" s="30" t="s">
        <v>50</v>
      </c>
      <c r="D47" s="30" t="s">
        <v>72</v>
      </c>
      <c r="E47" s="31">
        <v>46079.0</v>
      </c>
      <c r="F47" s="31">
        <v>46084.0</v>
      </c>
      <c r="G47" s="32">
        <f t="shared" si="1"/>
        <v>5</v>
      </c>
      <c r="H47" s="30" t="s">
        <v>73</v>
      </c>
      <c r="I47" s="29" t="s">
        <v>67</v>
      </c>
      <c r="J47" s="29" t="s">
        <v>68</v>
      </c>
      <c r="K47" s="29" t="s">
        <v>74</v>
      </c>
      <c r="L47" s="29" t="s">
        <v>75</v>
      </c>
      <c r="M47" s="29" t="s">
        <v>45</v>
      </c>
      <c r="N47" s="29" t="s">
        <v>76</v>
      </c>
      <c r="O47" s="29" t="s">
        <v>77</v>
      </c>
      <c r="P47" s="29">
        <v>190.0</v>
      </c>
      <c r="Q47" s="30" t="s">
        <v>36</v>
      </c>
      <c r="R47" s="30" t="s">
        <v>48</v>
      </c>
      <c r="S47" s="30" t="s">
        <v>36</v>
      </c>
      <c r="T47" s="33">
        <v>42.9</v>
      </c>
      <c r="U47" s="30">
        <v>0.0</v>
      </c>
      <c r="V47" s="30">
        <v>0.0</v>
      </c>
      <c r="W47" s="35">
        <f t="shared" si="9"/>
        <v>0</v>
      </c>
      <c r="X47" s="36">
        <f t="shared" si="8"/>
        <v>0</v>
      </c>
      <c r="Y47" s="37">
        <f t="shared" si="4"/>
        <v>42.9</v>
      </c>
      <c r="Z47" s="38">
        <f t="shared" si="7"/>
        <v>0</v>
      </c>
      <c r="AA47" s="34"/>
      <c r="AB47" s="34"/>
      <c r="AC47" s="34"/>
      <c r="AD47" s="34"/>
      <c r="AE47" s="34"/>
      <c r="AF47" s="34"/>
      <c r="AG47" s="34"/>
      <c r="AH47" s="34"/>
    </row>
    <row r="48" ht="26.25" customHeight="1">
      <c r="A48" s="29">
        <v>14.0</v>
      </c>
      <c r="B48" s="30" t="s">
        <v>78</v>
      </c>
      <c r="C48" s="30" t="s">
        <v>50</v>
      </c>
      <c r="D48" s="30" t="s">
        <v>72</v>
      </c>
      <c r="E48" s="31">
        <v>46079.0</v>
      </c>
      <c r="F48" s="31">
        <v>46086.0</v>
      </c>
      <c r="G48" s="32">
        <f t="shared" si="1"/>
        <v>7</v>
      </c>
      <c r="H48" s="30" t="s">
        <v>73</v>
      </c>
      <c r="I48" s="29" t="s">
        <v>75</v>
      </c>
      <c r="J48" s="29" t="s">
        <v>45</v>
      </c>
      <c r="K48" s="29" t="s">
        <v>76</v>
      </c>
      <c r="L48" s="29" t="s">
        <v>67</v>
      </c>
      <c r="M48" s="29" t="s">
        <v>68</v>
      </c>
      <c r="N48" s="29" t="s">
        <v>74</v>
      </c>
      <c r="O48" s="29" t="s">
        <v>77</v>
      </c>
      <c r="P48" s="29">
        <v>190.0</v>
      </c>
      <c r="Q48" s="30" t="s">
        <v>36</v>
      </c>
      <c r="R48" s="30" t="s">
        <v>70</v>
      </c>
      <c r="S48" s="30" t="s">
        <v>36</v>
      </c>
      <c r="T48" s="33">
        <v>89.9</v>
      </c>
      <c r="U48" s="30">
        <v>0.0</v>
      </c>
      <c r="V48" s="30">
        <v>0.0</v>
      </c>
      <c r="W48" s="35">
        <f t="shared" si="9"/>
        <v>0</v>
      </c>
      <c r="X48" s="36">
        <f t="shared" si="8"/>
        <v>0</v>
      </c>
      <c r="Y48" s="37">
        <f t="shared" si="4"/>
        <v>89.9</v>
      </c>
      <c r="Z48" s="38">
        <f t="shared" si="7"/>
        <v>0</v>
      </c>
      <c r="AA48" s="34"/>
      <c r="AB48" s="34"/>
      <c r="AC48" s="34"/>
      <c r="AD48" s="34"/>
      <c r="AE48" s="34"/>
      <c r="AF48" s="34"/>
      <c r="AG48" s="34"/>
      <c r="AH48" s="34"/>
    </row>
    <row r="49" ht="26.25" customHeight="1">
      <c r="A49" s="29">
        <v>14.0</v>
      </c>
      <c r="B49" s="30" t="s">
        <v>78</v>
      </c>
      <c r="C49" s="30" t="s">
        <v>50</v>
      </c>
      <c r="D49" s="30" t="s">
        <v>72</v>
      </c>
      <c r="E49" s="31">
        <v>46079.0</v>
      </c>
      <c r="F49" s="31">
        <v>46086.0</v>
      </c>
      <c r="G49" s="32">
        <f t="shared" si="1"/>
        <v>7</v>
      </c>
      <c r="H49" s="30" t="s">
        <v>28</v>
      </c>
      <c r="I49" s="29" t="s">
        <v>67</v>
      </c>
      <c r="J49" s="29" t="s">
        <v>68</v>
      </c>
      <c r="K49" s="29" t="s">
        <v>69</v>
      </c>
      <c r="L49" s="29" t="s">
        <v>32</v>
      </c>
      <c r="M49" s="29" t="s">
        <v>33</v>
      </c>
      <c r="N49" s="29" t="s">
        <v>34</v>
      </c>
      <c r="O49" s="29" t="s">
        <v>39</v>
      </c>
      <c r="P49" s="29">
        <v>1970.0</v>
      </c>
      <c r="Q49" s="30" t="s">
        <v>36</v>
      </c>
      <c r="R49" s="30" t="s">
        <v>70</v>
      </c>
      <c r="S49" s="30" t="s">
        <v>36</v>
      </c>
      <c r="T49" s="33">
        <v>1904.0</v>
      </c>
      <c r="U49" s="30">
        <v>0.0</v>
      </c>
      <c r="V49" s="30">
        <v>0.0</v>
      </c>
      <c r="W49" s="35">
        <f t="shared" si="9"/>
        <v>0</v>
      </c>
      <c r="X49" s="36">
        <f t="shared" si="8"/>
        <v>0</v>
      </c>
      <c r="Y49" s="37">
        <f t="shared" si="4"/>
        <v>1904</v>
      </c>
      <c r="Z49" s="38">
        <f t="shared" si="7"/>
        <v>0</v>
      </c>
      <c r="AA49" s="34"/>
      <c r="AB49" s="34"/>
      <c r="AC49" s="34"/>
      <c r="AD49" s="34"/>
      <c r="AE49" s="34"/>
      <c r="AF49" s="34"/>
      <c r="AG49" s="34"/>
      <c r="AH49" s="34"/>
    </row>
    <row r="50" ht="26.25" customHeight="1">
      <c r="A50" s="29">
        <v>15.0</v>
      </c>
      <c r="B50" s="30" t="s">
        <v>51</v>
      </c>
      <c r="C50" s="30" t="s">
        <v>52</v>
      </c>
      <c r="D50" s="30" t="s">
        <v>60</v>
      </c>
      <c r="E50" s="31">
        <v>46082.0</v>
      </c>
      <c r="F50" s="31">
        <v>46087.0</v>
      </c>
      <c r="G50" s="32">
        <f t="shared" si="1"/>
        <v>5</v>
      </c>
      <c r="H50" s="30" t="s">
        <v>28</v>
      </c>
      <c r="I50" s="29" t="s">
        <v>29</v>
      </c>
      <c r="J50" s="29" t="s">
        <v>30</v>
      </c>
      <c r="K50" s="29" t="s">
        <v>31</v>
      </c>
      <c r="L50" s="29" t="s">
        <v>79</v>
      </c>
      <c r="M50" s="29" t="s">
        <v>80</v>
      </c>
      <c r="N50" s="29" t="s">
        <v>81</v>
      </c>
      <c r="O50" s="29" t="s">
        <v>35</v>
      </c>
      <c r="P50" s="29">
        <v>880.0</v>
      </c>
      <c r="Q50" s="30" t="s">
        <v>36</v>
      </c>
      <c r="R50" s="30" t="s">
        <v>48</v>
      </c>
      <c r="S50" s="30" t="s">
        <v>36</v>
      </c>
      <c r="T50" s="33">
        <v>2174.77</v>
      </c>
      <c r="U50" s="30">
        <v>0.0</v>
      </c>
      <c r="V50" s="30">
        <v>0.0</v>
      </c>
      <c r="W50" s="35">
        <f t="shared" si="9"/>
        <v>0</v>
      </c>
      <c r="X50" s="36">
        <f t="shared" si="8"/>
        <v>0</v>
      </c>
      <c r="Y50" s="37">
        <f t="shared" si="4"/>
        <v>2174.77</v>
      </c>
      <c r="Z50" s="38">
        <f t="shared" si="7"/>
        <v>0</v>
      </c>
      <c r="AA50" s="34"/>
      <c r="AB50" s="34"/>
      <c r="AC50" s="34"/>
      <c r="AD50" s="34"/>
      <c r="AE50" s="34"/>
      <c r="AF50" s="34"/>
      <c r="AG50" s="34"/>
      <c r="AH50" s="34"/>
    </row>
    <row r="51" ht="26.25" customHeight="1">
      <c r="A51" s="29">
        <v>15.0</v>
      </c>
      <c r="B51" s="30" t="s">
        <v>51</v>
      </c>
      <c r="C51" s="30" t="s">
        <v>52</v>
      </c>
      <c r="D51" s="30" t="s">
        <v>60</v>
      </c>
      <c r="E51" s="31">
        <v>46082.0</v>
      </c>
      <c r="F51" s="31">
        <v>46087.0</v>
      </c>
      <c r="G51" s="32">
        <f t="shared" si="1"/>
        <v>5</v>
      </c>
      <c r="H51" s="30" t="s">
        <v>28</v>
      </c>
      <c r="I51" s="29" t="s">
        <v>79</v>
      </c>
      <c r="J51" s="29" t="s">
        <v>80</v>
      </c>
      <c r="K51" s="29" t="s">
        <v>81</v>
      </c>
      <c r="L51" s="29" t="s">
        <v>29</v>
      </c>
      <c r="M51" s="29" t="s">
        <v>30</v>
      </c>
      <c r="N51" s="29" t="s">
        <v>31</v>
      </c>
      <c r="O51" s="29" t="s">
        <v>35</v>
      </c>
      <c r="P51" s="29">
        <v>880.0</v>
      </c>
      <c r="Q51" s="30" t="s">
        <v>36</v>
      </c>
      <c r="R51" s="30" t="s">
        <v>48</v>
      </c>
      <c r="S51" s="30" t="s">
        <v>36</v>
      </c>
      <c r="T51" s="33">
        <v>2170.29</v>
      </c>
      <c r="U51" s="30">
        <v>0.0</v>
      </c>
      <c r="V51" s="30">
        <v>0.0</v>
      </c>
      <c r="W51" s="35">
        <f t="shared" si="9"/>
        <v>0</v>
      </c>
      <c r="X51" s="36">
        <f t="shared" si="8"/>
        <v>0</v>
      </c>
      <c r="Y51" s="37">
        <f t="shared" si="4"/>
        <v>2170.29</v>
      </c>
      <c r="Z51" s="38">
        <f t="shared" si="7"/>
        <v>0</v>
      </c>
      <c r="AA51" s="34"/>
      <c r="AB51" s="34"/>
      <c r="AC51" s="34"/>
      <c r="AD51" s="34"/>
      <c r="AE51" s="34"/>
      <c r="AF51" s="34"/>
      <c r="AG51" s="34"/>
      <c r="AH51" s="34"/>
    </row>
    <row r="52" ht="26.25" customHeight="1">
      <c r="A52" s="29">
        <v>15.0</v>
      </c>
      <c r="B52" s="30" t="s">
        <v>49</v>
      </c>
      <c r="C52" s="30" t="s">
        <v>50</v>
      </c>
      <c r="D52" s="30" t="s">
        <v>60</v>
      </c>
      <c r="E52" s="31">
        <v>46082.0</v>
      </c>
      <c r="F52" s="31">
        <v>46087.0</v>
      </c>
      <c r="G52" s="32">
        <f t="shared" si="1"/>
        <v>5</v>
      </c>
      <c r="H52" s="30" t="s">
        <v>28</v>
      </c>
      <c r="I52" s="29" t="s">
        <v>32</v>
      </c>
      <c r="J52" s="29" t="s">
        <v>33</v>
      </c>
      <c r="K52" s="29" t="s">
        <v>34</v>
      </c>
      <c r="L52" s="29" t="s">
        <v>79</v>
      </c>
      <c r="M52" s="29" t="s">
        <v>80</v>
      </c>
      <c r="N52" s="29" t="s">
        <v>81</v>
      </c>
      <c r="O52" s="29" t="s">
        <v>35</v>
      </c>
      <c r="P52" s="29">
        <v>2450.0</v>
      </c>
      <c r="Q52" s="30" t="s">
        <v>36</v>
      </c>
      <c r="R52" s="30" t="s">
        <v>48</v>
      </c>
      <c r="S52" s="30" t="s">
        <v>36</v>
      </c>
      <c r="T52" s="33">
        <v>3010.69</v>
      </c>
      <c r="U52" s="30">
        <v>0.0</v>
      </c>
      <c r="V52" s="30">
        <v>0.0</v>
      </c>
      <c r="W52" s="35">
        <f t="shared" si="9"/>
        <v>0</v>
      </c>
      <c r="X52" s="36">
        <f t="shared" si="8"/>
        <v>0</v>
      </c>
      <c r="Y52" s="37">
        <f t="shared" si="4"/>
        <v>3010.69</v>
      </c>
      <c r="Z52" s="38">
        <f t="shared" si="7"/>
        <v>0</v>
      </c>
      <c r="AA52" s="34"/>
      <c r="AB52" s="34"/>
      <c r="AC52" s="34"/>
      <c r="AD52" s="34"/>
      <c r="AE52" s="34"/>
      <c r="AF52" s="34"/>
      <c r="AG52" s="34"/>
      <c r="AH52" s="34"/>
    </row>
    <row r="53" ht="26.25" customHeight="1">
      <c r="A53" s="29">
        <v>15.0</v>
      </c>
      <c r="B53" s="30" t="s">
        <v>49</v>
      </c>
      <c r="C53" s="30" t="s">
        <v>50</v>
      </c>
      <c r="D53" s="30" t="s">
        <v>60</v>
      </c>
      <c r="E53" s="31">
        <v>46082.0</v>
      </c>
      <c r="F53" s="31">
        <v>46087.0</v>
      </c>
      <c r="G53" s="32">
        <f t="shared" si="1"/>
        <v>5</v>
      </c>
      <c r="H53" s="30" t="s">
        <v>28</v>
      </c>
      <c r="I53" s="29" t="s">
        <v>79</v>
      </c>
      <c r="J53" s="29" t="s">
        <v>80</v>
      </c>
      <c r="K53" s="29" t="s">
        <v>81</v>
      </c>
      <c r="L53" s="29" t="s">
        <v>32</v>
      </c>
      <c r="M53" s="29" t="s">
        <v>33</v>
      </c>
      <c r="N53" s="29" t="s">
        <v>34</v>
      </c>
      <c r="O53" s="29" t="s">
        <v>35</v>
      </c>
      <c r="P53" s="29">
        <v>2450.0</v>
      </c>
      <c r="Q53" s="30" t="s">
        <v>36</v>
      </c>
      <c r="R53" s="30" t="s">
        <v>48</v>
      </c>
      <c r="S53" s="30" t="s">
        <v>36</v>
      </c>
      <c r="T53" s="33">
        <v>3010.69</v>
      </c>
      <c r="U53" s="30">
        <v>0.0</v>
      </c>
      <c r="V53" s="30">
        <v>0.0</v>
      </c>
      <c r="W53" s="35">
        <f t="shared" si="9"/>
        <v>0</v>
      </c>
      <c r="X53" s="36">
        <f t="shared" si="8"/>
        <v>0</v>
      </c>
      <c r="Y53" s="37">
        <f t="shared" si="4"/>
        <v>3010.69</v>
      </c>
      <c r="Z53" s="38">
        <f t="shared" si="7"/>
        <v>0</v>
      </c>
      <c r="AA53" s="34"/>
      <c r="AB53" s="34"/>
      <c r="AC53" s="34"/>
      <c r="AD53" s="34"/>
      <c r="AE53" s="34"/>
      <c r="AF53" s="34"/>
      <c r="AG53" s="34"/>
      <c r="AH53" s="34"/>
    </row>
    <row r="54" ht="26.25" customHeight="1">
      <c r="A54" s="29">
        <v>16.0</v>
      </c>
      <c r="B54" s="30" t="s">
        <v>41</v>
      </c>
      <c r="C54" s="30" t="s">
        <v>42</v>
      </c>
      <c r="D54" s="30" t="s">
        <v>43</v>
      </c>
      <c r="E54" s="31">
        <v>46089.0</v>
      </c>
      <c r="F54" s="31">
        <v>46091.0</v>
      </c>
      <c r="G54" s="32">
        <f t="shared" si="1"/>
        <v>2</v>
      </c>
      <c r="H54" s="30" t="s">
        <v>28</v>
      </c>
      <c r="I54" s="29" t="s">
        <v>32</v>
      </c>
      <c r="J54" s="29" t="s">
        <v>33</v>
      </c>
      <c r="K54" s="29" t="s">
        <v>34</v>
      </c>
      <c r="L54" s="29" t="s">
        <v>29</v>
      </c>
      <c r="M54" s="29" t="s">
        <v>30</v>
      </c>
      <c r="N54" s="29" t="s">
        <v>31</v>
      </c>
      <c r="O54" s="29" t="s">
        <v>35</v>
      </c>
      <c r="P54" s="29">
        <v>1700.0</v>
      </c>
      <c r="Q54" s="30" t="s">
        <v>36</v>
      </c>
      <c r="R54" s="30" t="s">
        <v>48</v>
      </c>
      <c r="S54" s="30" t="s">
        <v>36</v>
      </c>
      <c r="T54" s="33">
        <v>1684.99</v>
      </c>
      <c r="U54" s="30">
        <v>0.0</v>
      </c>
      <c r="V54" s="30">
        <v>0.0</v>
      </c>
      <c r="W54" s="35">
        <f t="shared" si="9"/>
        <v>0</v>
      </c>
      <c r="X54" s="36">
        <f t="shared" si="8"/>
        <v>0</v>
      </c>
      <c r="Y54" s="37">
        <f t="shared" si="4"/>
        <v>1684.99</v>
      </c>
      <c r="Z54" s="38">
        <f t="shared" si="7"/>
        <v>0</v>
      </c>
      <c r="AA54" s="34"/>
      <c r="AB54" s="34"/>
      <c r="AC54" s="34"/>
      <c r="AD54" s="34"/>
      <c r="AE54" s="34"/>
      <c r="AF54" s="34"/>
      <c r="AG54" s="34"/>
      <c r="AH54" s="34"/>
    </row>
    <row r="55" ht="26.25" customHeight="1">
      <c r="A55" s="29">
        <v>16.0</v>
      </c>
      <c r="B55" s="30" t="s">
        <v>41</v>
      </c>
      <c r="C55" s="30" t="s">
        <v>42</v>
      </c>
      <c r="D55" s="30" t="s">
        <v>43</v>
      </c>
      <c r="E55" s="31">
        <v>46087.0</v>
      </c>
      <c r="F55" s="31">
        <v>46092.0</v>
      </c>
      <c r="G55" s="32">
        <f t="shared" si="1"/>
        <v>5</v>
      </c>
      <c r="H55" s="30" t="s">
        <v>28</v>
      </c>
      <c r="I55" s="29" t="s">
        <v>29</v>
      </c>
      <c r="J55" s="29" t="s">
        <v>30</v>
      </c>
      <c r="K55" s="29" t="s">
        <v>31</v>
      </c>
      <c r="L55" s="29" t="s">
        <v>56</v>
      </c>
      <c r="M55" s="29" t="s">
        <v>57</v>
      </c>
      <c r="N55" s="29" t="s">
        <v>58</v>
      </c>
      <c r="O55" s="29" t="s">
        <v>35</v>
      </c>
      <c r="P55" s="29">
        <v>1320.0</v>
      </c>
      <c r="Q55" s="30" t="s">
        <v>36</v>
      </c>
      <c r="R55" s="30" t="s">
        <v>48</v>
      </c>
      <c r="S55" s="30" t="s">
        <v>36</v>
      </c>
      <c r="T55" s="33">
        <v>2554.77</v>
      </c>
      <c r="U55" s="30">
        <v>0.0</v>
      </c>
      <c r="V55" s="30">
        <v>0.0</v>
      </c>
      <c r="W55" s="35">
        <f t="shared" si="9"/>
        <v>0</v>
      </c>
      <c r="X55" s="36">
        <f t="shared" si="8"/>
        <v>0</v>
      </c>
      <c r="Y55" s="37">
        <f t="shared" si="4"/>
        <v>2554.77</v>
      </c>
      <c r="Z55" s="38">
        <f t="shared" si="7"/>
        <v>0</v>
      </c>
      <c r="AA55" s="34"/>
      <c r="AB55" s="34"/>
      <c r="AC55" s="34"/>
      <c r="AD55" s="34"/>
      <c r="AE55" s="34"/>
      <c r="AF55" s="34"/>
      <c r="AG55" s="34"/>
      <c r="AH55" s="34"/>
    </row>
    <row r="56" ht="26.25" customHeight="1">
      <c r="A56" s="29">
        <v>16.0</v>
      </c>
      <c r="B56" s="30" t="s">
        <v>41</v>
      </c>
      <c r="C56" s="30" t="s">
        <v>42</v>
      </c>
      <c r="D56" s="30" t="s">
        <v>43</v>
      </c>
      <c r="E56" s="31">
        <v>46092.0</v>
      </c>
      <c r="F56" s="31">
        <v>46092.0</v>
      </c>
      <c r="G56" s="32">
        <f t="shared" si="1"/>
        <v>0</v>
      </c>
      <c r="H56" s="30" t="s">
        <v>28</v>
      </c>
      <c r="I56" s="29" t="s">
        <v>56</v>
      </c>
      <c r="J56" s="29" t="s">
        <v>57</v>
      </c>
      <c r="K56" s="29" t="s">
        <v>58</v>
      </c>
      <c r="L56" s="29" t="s">
        <v>32</v>
      </c>
      <c r="M56" s="29" t="s">
        <v>33</v>
      </c>
      <c r="N56" s="29" t="s">
        <v>34</v>
      </c>
      <c r="O56" s="29" t="s">
        <v>35</v>
      </c>
      <c r="P56" s="29">
        <v>2695.0</v>
      </c>
      <c r="Q56" s="30" t="s">
        <v>36</v>
      </c>
      <c r="R56" s="30" t="s">
        <v>48</v>
      </c>
      <c r="S56" s="30" t="s">
        <v>36</v>
      </c>
      <c r="T56" s="33">
        <v>4047.96</v>
      </c>
      <c r="U56" s="30">
        <v>0.0</v>
      </c>
      <c r="V56" s="30">
        <v>0.0</v>
      </c>
      <c r="W56" s="35">
        <f t="shared" si="9"/>
        <v>0</v>
      </c>
      <c r="X56" s="36">
        <f t="shared" si="8"/>
        <v>0</v>
      </c>
      <c r="Y56" s="37">
        <f t="shared" si="4"/>
        <v>4047.96</v>
      </c>
      <c r="Z56" s="38">
        <f t="shared" si="7"/>
        <v>0</v>
      </c>
      <c r="AA56" s="34"/>
      <c r="AB56" s="34"/>
      <c r="AC56" s="34"/>
      <c r="AD56" s="34"/>
      <c r="AE56" s="34"/>
      <c r="AF56" s="34"/>
      <c r="AG56" s="34"/>
      <c r="AH56" s="34"/>
    </row>
    <row r="57" ht="26.25" customHeight="1">
      <c r="A57" s="29">
        <v>16.0</v>
      </c>
      <c r="B57" s="30" t="s">
        <v>51</v>
      </c>
      <c r="C57" s="30" t="s">
        <v>52</v>
      </c>
      <c r="D57" s="30" t="s">
        <v>43</v>
      </c>
      <c r="E57" s="31">
        <v>46087.0</v>
      </c>
      <c r="F57" s="31">
        <v>46092.0</v>
      </c>
      <c r="G57" s="32">
        <f t="shared" si="1"/>
        <v>5</v>
      </c>
      <c r="H57" s="30" t="s">
        <v>28</v>
      </c>
      <c r="I57" s="29" t="s">
        <v>29</v>
      </c>
      <c r="J57" s="29" t="s">
        <v>30</v>
      </c>
      <c r="K57" s="29" t="s">
        <v>31</v>
      </c>
      <c r="L57" s="29" t="s">
        <v>56</v>
      </c>
      <c r="M57" s="29" t="s">
        <v>57</v>
      </c>
      <c r="N57" s="29" t="s">
        <v>58</v>
      </c>
      <c r="O57" s="29" t="s">
        <v>35</v>
      </c>
      <c r="P57" s="29">
        <v>1320.0</v>
      </c>
      <c r="Q57" s="30" t="s">
        <v>36</v>
      </c>
      <c r="R57" s="30" t="s">
        <v>48</v>
      </c>
      <c r="S57" s="30" t="s">
        <v>36</v>
      </c>
      <c r="T57" s="33">
        <v>2664.77</v>
      </c>
      <c r="U57" s="30">
        <v>0.0</v>
      </c>
      <c r="V57" s="30">
        <v>0.0</v>
      </c>
      <c r="W57" s="35">
        <f t="shared" si="9"/>
        <v>0</v>
      </c>
      <c r="X57" s="36">
        <f t="shared" si="8"/>
        <v>0</v>
      </c>
      <c r="Y57" s="37">
        <f t="shared" si="4"/>
        <v>2664.77</v>
      </c>
      <c r="Z57" s="38">
        <f t="shared" si="7"/>
        <v>0</v>
      </c>
      <c r="AA57" s="34"/>
      <c r="AB57" s="34"/>
      <c r="AC57" s="34"/>
      <c r="AD57" s="34"/>
      <c r="AE57" s="34"/>
      <c r="AF57" s="34"/>
      <c r="AG57" s="34"/>
      <c r="AH57" s="34"/>
    </row>
    <row r="58" ht="26.25" customHeight="1">
      <c r="A58" s="29">
        <v>16.0</v>
      </c>
      <c r="B58" s="30" t="s">
        <v>51</v>
      </c>
      <c r="C58" s="30" t="s">
        <v>52</v>
      </c>
      <c r="D58" s="30" t="s">
        <v>43</v>
      </c>
      <c r="E58" s="31">
        <v>46091.0</v>
      </c>
      <c r="F58" s="31">
        <v>46092.0</v>
      </c>
      <c r="G58" s="32">
        <f t="shared" si="1"/>
        <v>1</v>
      </c>
      <c r="H58" s="30" t="s">
        <v>28</v>
      </c>
      <c r="I58" s="29" t="s">
        <v>56</v>
      </c>
      <c r="J58" s="29" t="s">
        <v>57</v>
      </c>
      <c r="K58" s="29" t="s">
        <v>58</v>
      </c>
      <c r="L58" s="29" t="s">
        <v>29</v>
      </c>
      <c r="M58" s="29" t="s">
        <v>30</v>
      </c>
      <c r="N58" s="29" t="s">
        <v>31</v>
      </c>
      <c r="O58" s="29" t="s">
        <v>35</v>
      </c>
      <c r="P58" s="29">
        <v>1320.0</v>
      </c>
      <c r="Q58" s="30" t="s">
        <v>36</v>
      </c>
      <c r="R58" s="30" t="s">
        <v>48</v>
      </c>
      <c r="S58" s="30" t="s">
        <v>36</v>
      </c>
      <c r="T58" s="33">
        <v>3163.17</v>
      </c>
      <c r="U58" s="30">
        <v>0.0</v>
      </c>
      <c r="V58" s="30">
        <v>0.0</v>
      </c>
      <c r="W58" s="35">
        <f t="shared" si="9"/>
        <v>0</v>
      </c>
      <c r="X58" s="36">
        <f t="shared" si="8"/>
        <v>0</v>
      </c>
      <c r="Y58" s="37">
        <f t="shared" si="4"/>
        <v>3163.17</v>
      </c>
      <c r="Z58" s="38">
        <f t="shared" si="7"/>
        <v>0</v>
      </c>
      <c r="AA58" s="34"/>
      <c r="AB58" s="34"/>
      <c r="AC58" s="34"/>
      <c r="AD58" s="34"/>
      <c r="AE58" s="34"/>
      <c r="AF58" s="34"/>
      <c r="AG58" s="34"/>
      <c r="AH58" s="34"/>
    </row>
    <row r="59" ht="26.25" customHeight="1">
      <c r="A59" s="29">
        <v>17.0</v>
      </c>
      <c r="B59" s="30" t="s">
        <v>40</v>
      </c>
      <c r="C59" s="30" t="s">
        <v>26</v>
      </c>
      <c r="D59" s="30" t="s">
        <v>27</v>
      </c>
      <c r="E59" s="31">
        <v>46078.0</v>
      </c>
      <c r="F59" s="31">
        <v>46093.0</v>
      </c>
      <c r="G59" s="32">
        <f t="shared" si="1"/>
        <v>15</v>
      </c>
      <c r="H59" s="30" t="s">
        <v>28</v>
      </c>
      <c r="I59" s="29" t="s">
        <v>29</v>
      </c>
      <c r="J59" s="29" t="s">
        <v>30</v>
      </c>
      <c r="K59" s="29" t="s">
        <v>31</v>
      </c>
      <c r="L59" s="29" t="s">
        <v>32</v>
      </c>
      <c r="M59" s="29" t="s">
        <v>33</v>
      </c>
      <c r="N59" s="29" t="s">
        <v>34</v>
      </c>
      <c r="O59" s="29" t="s">
        <v>39</v>
      </c>
      <c r="P59" s="29">
        <v>1700.0</v>
      </c>
      <c r="Q59" s="30" t="s">
        <v>37</v>
      </c>
      <c r="R59" s="34"/>
      <c r="S59" s="30" t="s">
        <v>36</v>
      </c>
      <c r="T59" s="33">
        <v>2006.38</v>
      </c>
      <c r="U59" s="30">
        <v>0.0</v>
      </c>
      <c r="V59" s="30">
        <v>0.0</v>
      </c>
      <c r="W59" s="35">
        <f t="shared" si="9"/>
        <v>0</v>
      </c>
      <c r="X59" s="36">
        <f t="shared" si="8"/>
        <v>0</v>
      </c>
      <c r="Y59" s="37">
        <f t="shared" si="4"/>
        <v>2006.38</v>
      </c>
      <c r="Z59" s="38">
        <f t="shared" si="7"/>
        <v>0</v>
      </c>
      <c r="AA59" s="34"/>
      <c r="AB59" s="34"/>
      <c r="AC59" s="34"/>
      <c r="AD59" s="34"/>
      <c r="AE59" s="34"/>
      <c r="AF59" s="34"/>
      <c r="AG59" s="34"/>
      <c r="AH59" s="34"/>
    </row>
    <row r="60" ht="26.25" customHeight="1">
      <c r="A60" s="29">
        <v>17.0</v>
      </c>
      <c r="B60" s="30" t="s">
        <v>40</v>
      </c>
      <c r="C60" s="30" t="s">
        <v>26</v>
      </c>
      <c r="D60" s="30" t="s">
        <v>27</v>
      </c>
      <c r="E60" s="31">
        <v>46078.0</v>
      </c>
      <c r="F60" s="31">
        <v>46095.0</v>
      </c>
      <c r="G60" s="32">
        <f t="shared" si="1"/>
        <v>17</v>
      </c>
      <c r="H60" s="30" t="s">
        <v>28</v>
      </c>
      <c r="I60" s="29" t="s">
        <v>32</v>
      </c>
      <c r="J60" s="29" t="s">
        <v>33</v>
      </c>
      <c r="K60" s="29" t="s">
        <v>34</v>
      </c>
      <c r="L60" s="29" t="s">
        <v>29</v>
      </c>
      <c r="M60" s="29" t="s">
        <v>30</v>
      </c>
      <c r="N60" s="29" t="s">
        <v>31</v>
      </c>
      <c r="O60" s="29" t="s">
        <v>39</v>
      </c>
      <c r="P60" s="29">
        <v>1700.0</v>
      </c>
      <c r="Q60" s="30" t="s">
        <v>37</v>
      </c>
      <c r="R60" s="34"/>
      <c r="S60" s="30" t="s">
        <v>36</v>
      </c>
      <c r="T60" s="33">
        <v>2006.38</v>
      </c>
      <c r="U60" s="30">
        <v>0.0</v>
      </c>
      <c r="V60" s="30">
        <v>0.0</v>
      </c>
      <c r="W60" s="35">
        <f t="shared" si="9"/>
        <v>0</v>
      </c>
      <c r="X60" s="36">
        <f t="shared" si="8"/>
        <v>0</v>
      </c>
      <c r="Y60" s="37">
        <f t="shared" si="4"/>
        <v>2006.38</v>
      </c>
      <c r="Z60" s="38">
        <f t="shared" si="7"/>
        <v>0</v>
      </c>
      <c r="AA60" s="34"/>
      <c r="AB60" s="34"/>
      <c r="AC60" s="34"/>
      <c r="AD60" s="34"/>
      <c r="AE60" s="34"/>
      <c r="AF60" s="34"/>
      <c r="AG60" s="34"/>
      <c r="AH60" s="34"/>
    </row>
    <row r="61" ht="26.25" customHeight="1">
      <c r="A61" s="29">
        <v>18.0</v>
      </c>
      <c r="B61" s="30" t="s">
        <v>41</v>
      </c>
      <c r="C61" s="30" t="s">
        <v>42</v>
      </c>
      <c r="D61" s="30" t="s">
        <v>82</v>
      </c>
      <c r="E61" s="31">
        <v>46091.0</v>
      </c>
      <c r="F61" s="31">
        <v>46097.0</v>
      </c>
      <c r="G61" s="32">
        <f t="shared" si="1"/>
        <v>6</v>
      </c>
      <c r="H61" s="30" t="s">
        <v>28</v>
      </c>
      <c r="I61" s="29" t="s">
        <v>32</v>
      </c>
      <c r="J61" s="29" t="s">
        <v>33</v>
      </c>
      <c r="K61" s="29" t="s">
        <v>34</v>
      </c>
      <c r="L61" s="29" t="s">
        <v>67</v>
      </c>
      <c r="M61" s="29" t="s">
        <v>68</v>
      </c>
      <c r="N61" s="29" t="s">
        <v>69</v>
      </c>
      <c r="O61" s="29" t="s">
        <v>35</v>
      </c>
      <c r="P61" s="29">
        <v>1970.0</v>
      </c>
      <c r="Q61" s="30" t="s">
        <v>36</v>
      </c>
      <c r="R61" s="30" t="s">
        <v>70</v>
      </c>
      <c r="S61" s="30" t="s">
        <v>36</v>
      </c>
      <c r="T61" s="33">
        <v>3080.0</v>
      </c>
      <c r="U61" s="30">
        <v>0.0</v>
      </c>
      <c r="V61" s="30">
        <v>0.0</v>
      </c>
      <c r="W61" s="35">
        <f t="shared" si="9"/>
        <v>0</v>
      </c>
      <c r="X61" s="36">
        <f t="shared" si="8"/>
        <v>0</v>
      </c>
      <c r="Y61" s="37">
        <f t="shared" si="4"/>
        <v>3080</v>
      </c>
      <c r="Z61" s="38">
        <f t="shared" si="7"/>
        <v>0</v>
      </c>
      <c r="AA61" s="34"/>
      <c r="AB61" s="34"/>
      <c r="AC61" s="34"/>
      <c r="AD61" s="34"/>
      <c r="AE61" s="34"/>
      <c r="AF61" s="34"/>
      <c r="AG61" s="34"/>
      <c r="AH61" s="34"/>
    </row>
    <row r="62" ht="26.25" customHeight="1">
      <c r="A62" s="29">
        <v>18.0</v>
      </c>
      <c r="B62" s="30" t="s">
        <v>49</v>
      </c>
      <c r="C62" s="30" t="s">
        <v>50</v>
      </c>
      <c r="D62" s="30" t="s">
        <v>82</v>
      </c>
      <c r="E62" s="31">
        <v>46091.0</v>
      </c>
      <c r="F62" s="31">
        <v>46097.0</v>
      </c>
      <c r="G62" s="32">
        <f t="shared" si="1"/>
        <v>6</v>
      </c>
      <c r="H62" s="30" t="s">
        <v>28</v>
      </c>
      <c r="I62" s="29" t="s">
        <v>32</v>
      </c>
      <c r="J62" s="29" t="s">
        <v>33</v>
      </c>
      <c r="K62" s="29" t="s">
        <v>34</v>
      </c>
      <c r="L62" s="29" t="s">
        <v>67</v>
      </c>
      <c r="M62" s="29" t="s">
        <v>68</v>
      </c>
      <c r="N62" s="29" t="s">
        <v>69</v>
      </c>
      <c r="O62" s="29" t="s">
        <v>35</v>
      </c>
      <c r="P62" s="29">
        <v>1970.0</v>
      </c>
      <c r="Q62" s="30" t="s">
        <v>36</v>
      </c>
      <c r="R62" s="30" t="s">
        <v>70</v>
      </c>
      <c r="S62" s="30" t="s">
        <v>36</v>
      </c>
      <c r="T62" s="33">
        <v>3066.4</v>
      </c>
      <c r="U62" s="30">
        <v>0.0</v>
      </c>
      <c r="V62" s="30">
        <v>0.0</v>
      </c>
      <c r="W62" s="35">
        <f t="shared" si="9"/>
        <v>0</v>
      </c>
      <c r="X62" s="36">
        <f t="shared" si="8"/>
        <v>0</v>
      </c>
      <c r="Y62" s="37">
        <f t="shared" si="4"/>
        <v>3066.4</v>
      </c>
      <c r="Z62" s="38">
        <f t="shared" si="7"/>
        <v>0</v>
      </c>
      <c r="AA62" s="34"/>
      <c r="AB62" s="34"/>
      <c r="AC62" s="34"/>
      <c r="AD62" s="34"/>
      <c r="AE62" s="34"/>
      <c r="AF62" s="34"/>
      <c r="AG62" s="34"/>
      <c r="AH62" s="34"/>
    </row>
    <row r="63" ht="26.25" customHeight="1">
      <c r="A63" s="29">
        <v>18.0</v>
      </c>
      <c r="B63" s="30" t="s">
        <v>59</v>
      </c>
      <c r="C63" s="30" t="s">
        <v>26</v>
      </c>
      <c r="D63" s="30" t="s">
        <v>82</v>
      </c>
      <c r="E63" s="31">
        <v>46091.0</v>
      </c>
      <c r="F63" s="31">
        <v>46097.0</v>
      </c>
      <c r="G63" s="32">
        <f t="shared" si="1"/>
        <v>6</v>
      </c>
      <c r="H63" s="30" t="s">
        <v>28</v>
      </c>
      <c r="I63" s="29" t="s">
        <v>32</v>
      </c>
      <c r="J63" s="29" t="s">
        <v>33</v>
      </c>
      <c r="K63" s="29" t="s">
        <v>34</v>
      </c>
      <c r="L63" s="29" t="s">
        <v>67</v>
      </c>
      <c r="M63" s="29" t="s">
        <v>68</v>
      </c>
      <c r="N63" s="29" t="s">
        <v>69</v>
      </c>
      <c r="O63" s="29" t="s">
        <v>35</v>
      </c>
      <c r="P63" s="29">
        <v>1970.0</v>
      </c>
      <c r="Q63" s="30" t="s">
        <v>36</v>
      </c>
      <c r="R63" s="30" t="s">
        <v>70</v>
      </c>
      <c r="S63" s="30" t="s">
        <v>36</v>
      </c>
      <c r="T63" s="33">
        <v>3066.4</v>
      </c>
      <c r="U63" s="30">
        <v>0.0</v>
      </c>
      <c r="V63" s="30">
        <v>0.0</v>
      </c>
      <c r="W63" s="35">
        <f t="shared" si="9"/>
        <v>0</v>
      </c>
      <c r="X63" s="36">
        <f t="shared" si="8"/>
        <v>0</v>
      </c>
      <c r="Y63" s="37">
        <f t="shared" si="4"/>
        <v>3066.4</v>
      </c>
      <c r="Z63" s="38">
        <f t="shared" si="7"/>
        <v>0</v>
      </c>
      <c r="AA63" s="34"/>
      <c r="AB63" s="34"/>
      <c r="AC63" s="34"/>
      <c r="AD63" s="34"/>
      <c r="AE63" s="34"/>
      <c r="AF63" s="34"/>
      <c r="AG63" s="34"/>
      <c r="AH63" s="34"/>
    </row>
    <row r="64" ht="26.25" customHeight="1">
      <c r="A64" s="29">
        <v>18.0</v>
      </c>
      <c r="B64" s="30" t="s">
        <v>51</v>
      </c>
      <c r="C64" s="30" t="s">
        <v>52</v>
      </c>
      <c r="D64" s="30" t="s">
        <v>82</v>
      </c>
      <c r="E64" s="31">
        <v>46096.0</v>
      </c>
      <c r="F64" s="31">
        <v>46097.0</v>
      </c>
      <c r="G64" s="32">
        <f t="shared" si="1"/>
        <v>1</v>
      </c>
      <c r="H64" s="30" t="s">
        <v>28</v>
      </c>
      <c r="I64" s="29" t="s">
        <v>29</v>
      </c>
      <c r="J64" s="29" t="s">
        <v>30</v>
      </c>
      <c r="K64" s="29" t="s">
        <v>31</v>
      </c>
      <c r="L64" s="29" t="s">
        <v>67</v>
      </c>
      <c r="M64" s="29" t="s">
        <v>68</v>
      </c>
      <c r="N64" s="29" t="s">
        <v>69</v>
      </c>
      <c r="O64" s="29" t="s">
        <v>35</v>
      </c>
      <c r="P64" s="29">
        <v>930.0</v>
      </c>
      <c r="Q64" s="30" t="s">
        <v>36</v>
      </c>
      <c r="R64" s="30" t="s">
        <v>48</v>
      </c>
      <c r="S64" s="30" t="s">
        <v>36</v>
      </c>
      <c r="T64" s="33">
        <v>2279.06</v>
      </c>
      <c r="U64" s="30">
        <v>0.0</v>
      </c>
      <c r="V64" s="30">
        <v>0.0</v>
      </c>
      <c r="W64" s="35">
        <f t="shared" si="9"/>
        <v>0</v>
      </c>
      <c r="X64" s="36">
        <f t="shared" si="8"/>
        <v>0</v>
      </c>
      <c r="Y64" s="37">
        <f t="shared" si="4"/>
        <v>2279.06</v>
      </c>
      <c r="Z64" s="38">
        <f t="shared" si="7"/>
        <v>0</v>
      </c>
      <c r="AA64" s="34"/>
      <c r="AB64" s="34"/>
      <c r="AC64" s="34"/>
      <c r="AD64" s="34"/>
      <c r="AE64" s="34"/>
      <c r="AF64" s="34"/>
      <c r="AG64" s="34"/>
      <c r="AH64" s="34"/>
    </row>
    <row r="65" ht="26.25" customHeight="1">
      <c r="A65" s="29">
        <v>19.0</v>
      </c>
      <c r="B65" s="30" t="s">
        <v>41</v>
      </c>
      <c r="C65" s="30" t="s">
        <v>42</v>
      </c>
      <c r="D65" s="30" t="s">
        <v>43</v>
      </c>
      <c r="E65" s="31">
        <v>46091.0</v>
      </c>
      <c r="F65" s="31">
        <v>46098.0</v>
      </c>
      <c r="G65" s="32">
        <f t="shared" si="1"/>
        <v>7</v>
      </c>
      <c r="H65" s="30" t="s">
        <v>28</v>
      </c>
      <c r="I65" s="29" t="s">
        <v>67</v>
      </c>
      <c r="J65" s="29" t="s">
        <v>68</v>
      </c>
      <c r="K65" s="29" t="s">
        <v>83</v>
      </c>
      <c r="L65" s="29" t="s">
        <v>29</v>
      </c>
      <c r="M65" s="29" t="s">
        <v>30</v>
      </c>
      <c r="N65" s="29" t="s">
        <v>31</v>
      </c>
      <c r="O65" s="29" t="s">
        <v>35</v>
      </c>
      <c r="P65" s="29">
        <v>930.0</v>
      </c>
      <c r="Q65" s="30" t="s">
        <v>36</v>
      </c>
      <c r="R65" s="30" t="s">
        <v>70</v>
      </c>
      <c r="S65" s="30" t="s">
        <v>36</v>
      </c>
      <c r="T65" s="33">
        <v>1240.01</v>
      </c>
      <c r="U65" s="30">
        <v>0.0</v>
      </c>
      <c r="V65" s="30">
        <v>0.0</v>
      </c>
      <c r="W65" s="35">
        <f t="shared" si="9"/>
        <v>0</v>
      </c>
      <c r="X65" s="36">
        <f t="shared" si="8"/>
        <v>0</v>
      </c>
      <c r="Y65" s="37">
        <f t="shared" si="4"/>
        <v>1240.01</v>
      </c>
      <c r="Z65" s="38">
        <f t="shared" si="7"/>
        <v>0</v>
      </c>
      <c r="AA65" s="34"/>
      <c r="AB65" s="34"/>
      <c r="AC65" s="34"/>
      <c r="AD65" s="34"/>
      <c r="AE65" s="34"/>
      <c r="AF65" s="34"/>
      <c r="AG65" s="34"/>
      <c r="AH65" s="34"/>
    </row>
    <row r="66" ht="26.25" customHeight="1">
      <c r="A66" s="29">
        <v>19.0</v>
      </c>
      <c r="B66" s="30" t="s">
        <v>49</v>
      </c>
      <c r="C66" s="30" t="s">
        <v>50</v>
      </c>
      <c r="D66" s="30" t="s">
        <v>43</v>
      </c>
      <c r="E66" s="31">
        <v>46091.0</v>
      </c>
      <c r="F66" s="31">
        <v>46098.0</v>
      </c>
      <c r="G66" s="32">
        <f t="shared" si="1"/>
        <v>7</v>
      </c>
      <c r="H66" s="30" t="s">
        <v>28</v>
      </c>
      <c r="I66" s="29" t="s">
        <v>67</v>
      </c>
      <c r="J66" s="29" t="s">
        <v>68</v>
      </c>
      <c r="K66" s="29" t="s">
        <v>83</v>
      </c>
      <c r="L66" s="29" t="s">
        <v>29</v>
      </c>
      <c r="M66" s="29" t="s">
        <v>30</v>
      </c>
      <c r="N66" s="29" t="s">
        <v>31</v>
      </c>
      <c r="O66" s="29" t="s">
        <v>35</v>
      </c>
      <c r="P66" s="29">
        <v>930.0</v>
      </c>
      <c r="Q66" s="30" t="s">
        <v>36</v>
      </c>
      <c r="R66" s="30" t="s">
        <v>70</v>
      </c>
      <c r="S66" s="30" t="s">
        <v>36</v>
      </c>
      <c r="T66" s="33">
        <v>1240.01</v>
      </c>
      <c r="U66" s="30">
        <v>0.0</v>
      </c>
      <c r="V66" s="30">
        <v>0.0</v>
      </c>
      <c r="W66" s="35">
        <f t="shared" si="9"/>
        <v>0</v>
      </c>
      <c r="X66" s="36">
        <f t="shared" si="8"/>
        <v>0</v>
      </c>
      <c r="Y66" s="37">
        <f t="shared" si="4"/>
        <v>1240.01</v>
      </c>
      <c r="Z66" s="38">
        <f t="shared" si="7"/>
        <v>0</v>
      </c>
      <c r="AA66" s="34"/>
      <c r="AB66" s="34"/>
      <c r="AC66" s="34"/>
      <c r="AD66" s="34"/>
      <c r="AE66" s="34"/>
      <c r="AF66" s="34"/>
      <c r="AG66" s="34"/>
      <c r="AH66" s="34"/>
    </row>
    <row r="67" ht="26.25" customHeight="1">
      <c r="A67" s="29">
        <v>19.0</v>
      </c>
      <c r="B67" s="30" t="s">
        <v>59</v>
      </c>
      <c r="C67" s="30" t="s">
        <v>26</v>
      </c>
      <c r="D67" s="30" t="s">
        <v>43</v>
      </c>
      <c r="E67" s="31">
        <v>46091.0</v>
      </c>
      <c r="F67" s="31">
        <v>46098.0</v>
      </c>
      <c r="G67" s="32">
        <f t="shared" si="1"/>
        <v>7</v>
      </c>
      <c r="H67" s="30" t="s">
        <v>28</v>
      </c>
      <c r="I67" s="29" t="s">
        <v>67</v>
      </c>
      <c r="J67" s="29" t="s">
        <v>68</v>
      </c>
      <c r="K67" s="29" t="s">
        <v>83</v>
      </c>
      <c r="L67" s="29" t="s">
        <v>29</v>
      </c>
      <c r="M67" s="29" t="s">
        <v>30</v>
      </c>
      <c r="N67" s="29" t="s">
        <v>31</v>
      </c>
      <c r="O67" s="29" t="s">
        <v>35</v>
      </c>
      <c r="P67" s="29">
        <v>930.0</v>
      </c>
      <c r="Q67" s="30" t="s">
        <v>36</v>
      </c>
      <c r="R67" s="30" t="s">
        <v>70</v>
      </c>
      <c r="S67" s="30" t="s">
        <v>36</v>
      </c>
      <c r="T67" s="33">
        <v>1240.01</v>
      </c>
      <c r="U67" s="30">
        <v>0.0</v>
      </c>
      <c r="V67" s="30">
        <v>0.0</v>
      </c>
      <c r="W67" s="35">
        <f t="shared" si="9"/>
        <v>0</v>
      </c>
      <c r="X67" s="36">
        <f t="shared" si="8"/>
        <v>0</v>
      </c>
      <c r="Y67" s="37">
        <f t="shared" si="4"/>
        <v>1240.01</v>
      </c>
      <c r="Z67" s="38">
        <f t="shared" si="7"/>
        <v>0</v>
      </c>
      <c r="AA67" s="34"/>
      <c r="AB67" s="34"/>
      <c r="AC67" s="34"/>
      <c r="AD67" s="34"/>
      <c r="AE67" s="34"/>
      <c r="AF67" s="34"/>
      <c r="AG67" s="34"/>
      <c r="AH67" s="34"/>
    </row>
    <row r="68" ht="26.25" customHeight="1">
      <c r="A68" s="29">
        <v>19.0</v>
      </c>
      <c r="B68" s="30" t="s">
        <v>51</v>
      </c>
      <c r="C68" s="30" t="s">
        <v>52</v>
      </c>
      <c r="D68" s="30" t="s">
        <v>43</v>
      </c>
      <c r="E68" s="31">
        <v>46091.0</v>
      </c>
      <c r="F68" s="31">
        <v>46098.0</v>
      </c>
      <c r="G68" s="32">
        <f t="shared" si="1"/>
        <v>7</v>
      </c>
      <c r="H68" s="30" t="s">
        <v>28</v>
      </c>
      <c r="I68" s="29" t="s">
        <v>67</v>
      </c>
      <c r="J68" s="29" t="s">
        <v>68</v>
      </c>
      <c r="K68" s="29" t="s">
        <v>83</v>
      </c>
      <c r="L68" s="29" t="s">
        <v>29</v>
      </c>
      <c r="M68" s="29" t="s">
        <v>30</v>
      </c>
      <c r="N68" s="29" t="s">
        <v>31</v>
      </c>
      <c r="O68" s="29" t="s">
        <v>35</v>
      </c>
      <c r="P68" s="29">
        <v>930.0</v>
      </c>
      <c r="Q68" s="30" t="s">
        <v>36</v>
      </c>
      <c r="R68" s="30" t="s">
        <v>70</v>
      </c>
      <c r="S68" s="30" t="s">
        <v>36</v>
      </c>
      <c r="T68" s="33">
        <v>1240.01</v>
      </c>
      <c r="U68" s="30">
        <v>0.0</v>
      </c>
      <c r="V68" s="30">
        <v>0.0</v>
      </c>
      <c r="W68" s="35">
        <f t="shared" si="9"/>
        <v>0</v>
      </c>
      <c r="X68" s="36">
        <f t="shared" si="8"/>
        <v>0</v>
      </c>
      <c r="Y68" s="37">
        <f t="shared" si="4"/>
        <v>1240.01</v>
      </c>
      <c r="Z68" s="38">
        <f t="shared" si="7"/>
        <v>0</v>
      </c>
      <c r="AA68" s="34"/>
      <c r="AB68" s="34"/>
      <c r="AC68" s="34"/>
      <c r="AD68" s="34"/>
      <c r="AE68" s="34"/>
      <c r="AF68" s="34"/>
      <c r="AG68" s="34"/>
      <c r="AH68" s="34"/>
    </row>
    <row r="69" ht="26.25" customHeight="1">
      <c r="A69" s="29">
        <v>20.0</v>
      </c>
      <c r="B69" s="30" t="s">
        <v>41</v>
      </c>
      <c r="C69" s="30" t="s">
        <v>42</v>
      </c>
      <c r="D69" s="30" t="s">
        <v>43</v>
      </c>
      <c r="E69" s="31">
        <v>46098.0</v>
      </c>
      <c r="F69" s="31">
        <v>46098.0</v>
      </c>
      <c r="G69" s="32">
        <f t="shared" si="1"/>
        <v>0</v>
      </c>
      <c r="H69" s="30" t="s">
        <v>28</v>
      </c>
      <c r="I69" s="29" t="s">
        <v>29</v>
      </c>
      <c r="J69" s="29" t="s">
        <v>30</v>
      </c>
      <c r="K69" s="29" t="s">
        <v>31</v>
      </c>
      <c r="L69" s="29" t="s">
        <v>64</v>
      </c>
      <c r="M69" s="29" t="s">
        <v>65</v>
      </c>
      <c r="N69" s="29" t="s">
        <v>84</v>
      </c>
      <c r="O69" s="29" t="s">
        <v>47</v>
      </c>
      <c r="P69" s="29">
        <v>870.0</v>
      </c>
      <c r="Q69" s="30" t="s">
        <v>36</v>
      </c>
      <c r="R69" s="30" t="s">
        <v>48</v>
      </c>
      <c r="S69" s="30" t="s">
        <v>36</v>
      </c>
      <c r="T69" s="33">
        <v>162.92</v>
      </c>
      <c r="U69" s="30">
        <v>66300.0</v>
      </c>
      <c r="V69" s="30">
        <v>0.0</v>
      </c>
      <c r="W69" s="35">
        <f t="shared" si="9"/>
        <v>0</v>
      </c>
      <c r="X69" s="36">
        <f t="shared" si="8"/>
        <v>0</v>
      </c>
      <c r="Y69" s="37">
        <f t="shared" si="4"/>
        <v>162.92</v>
      </c>
      <c r="Z69" s="38">
        <f t="shared" si="7"/>
        <v>66300</v>
      </c>
      <c r="AA69" s="34"/>
      <c r="AB69" s="34"/>
      <c r="AC69" s="34"/>
      <c r="AD69" s="34"/>
      <c r="AE69" s="34"/>
      <c r="AF69" s="34"/>
      <c r="AG69" s="34"/>
      <c r="AH69" s="34"/>
    </row>
    <row r="70" ht="26.25" customHeight="1">
      <c r="A70" s="29">
        <v>20.0</v>
      </c>
      <c r="B70" s="30" t="s">
        <v>49</v>
      </c>
      <c r="C70" s="30" t="s">
        <v>50</v>
      </c>
      <c r="D70" s="30" t="s">
        <v>43</v>
      </c>
      <c r="E70" s="31">
        <v>46098.0</v>
      </c>
      <c r="F70" s="31">
        <v>46098.0</v>
      </c>
      <c r="G70" s="32">
        <f t="shared" si="1"/>
        <v>0</v>
      </c>
      <c r="H70" s="30" t="s">
        <v>28</v>
      </c>
      <c r="I70" s="29" t="s">
        <v>29</v>
      </c>
      <c r="J70" s="29" t="s">
        <v>30</v>
      </c>
      <c r="K70" s="29" t="s">
        <v>31</v>
      </c>
      <c r="L70" s="29" t="s">
        <v>64</v>
      </c>
      <c r="M70" s="29" t="s">
        <v>65</v>
      </c>
      <c r="N70" s="29" t="s">
        <v>84</v>
      </c>
      <c r="O70" s="29" t="s">
        <v>47</v>
      </c>
      <c r="P70" s="29">
        <v>870.0</v>
      </c>
      <c r="Q70" s="30" t="s">
        <v>36</v>
      </c>
      <c r="R70" s="30" t="s">
        <v>48</v>
      </c>
      <c r="S70" s="30" t="s">
        <v>36</v>
      </c>
      <c r="T70" s="33">
        <v>162.92</v>
      </c>
      <c r="U70" s="30">
        <v>66300.0</v>
      </c>
      <c r="V70" s="30">
        <v>0.0</v>
      </c>
      <c r="W70" s="35">
        <f t="shared" si="9"/>
        <v>0</v>
      </c>
      <c r="X70" s="36">
        <f t="shared" si="8"/>
        <v>0</v>
      </c>
      <c r="Y70" s="37">
        <f t="shared" si="4"/>
        <v>162.92</v>
      </c>
      <c r="Z70" s="38">
        <f t="shared" si="7"/>
        <v>66300</v>
      </c>
      <c r="AA70" s="34"/>
      <c r="AB70" s="34"/>
      <c r="AC70" s="34"/>
      <c r="AD70" s="34"/>
      <c r="AE70" s="34"/>
      <c r="AF70" s="34"/>
      <c r="AG70" s="34"/>
      <c r="AH70" s="34"/>
    </row>
    <row r="71" ht="26.25" customHeight="1">
      <c r="A71" s="29">
        <v>20.0</v>
      </c>
      <c r="B71" s="30" t="s">
        <v>59</v>
      </c>
      <c r="C71" s="30" t="s">
        <v>26</v>
      </c>
      <c r="D71" s="30" t="s">
        <v>43</v>
      </c>
      <c r="E71" s="31">
        <v>46098.0</v>
      </c>
      <c r="F71" s="31">
        <v>46098.0</v>
      </c>
      <c r="G71" s="32">
        <f t="shared" si="1"/>
        <v>0</v>
      </c>
      <c r="H71" s="30" t="s">
        <v>28</v>
      </c>
      <c r="I71" s="29" t="s">
        <v>29</v>
      </c>
      <c r="J71" s="29" t="s">
        <v>30</v>
      </c>
      <c r="K71" s="29" t="s">
        <v>31</v>
      </c>
      <c r="L71" s="29" t="s">
        <v>64</v>
      </c>
      <c r="M71" s="29" t="s">
        <v>65</v>
      </c>
      <c r="N71" s="29" t="s">
        <v>84</v>
      </c>
      <c r="O71" s="29" t="s">
        <v>47</v>
      </c>
      <c r="P71" s="29">
        <v>870.0</v>
      </c>
      <c r="Q71" s="30" t="s">
        <v>36</v>
      </c>
      <c r="R71" s="30" t="s">
        <v>48</v>
      </c>
      <c r="S71" s="30" t="s">
        <v>36</v>
      </c>
      <c r="T71" s="33">
        <v>162.92</v>
      </c>
      <c r="U71" s="30">
        <v>66300.0</v>
      </c>
      <c r="V71" s="30">
        <v>0.0</v>
      </c>
      <c r="W71" s="35">
        <f t="shared" si="9"/>
        <v>0</v>
      </c>
      <c r="X71" s="36">
        <f t="shared" si="8"/>
        <v>0</v>
      </c>
      <c r="Y71" s="37">
        <f t="shared" si="4"/>
        <v>162.92</v>
      </c>
      <c r="Z71" s="38">
        <f t="shared" si="7"/>
        <v>66300</v>
      </c>
      <c r="AA71" s="34"/>
      <c r="AB71" s="34"/>
      <c r="AC71" s="34"/>
      <c r="AD71" s="34"/>
      <c r="AE71" s="34"/>
      <c r="AF71" s="34"/>
      <c r="AG71" s="34"/>
      <c r="AH71" s="34"/>
    </row>
    <row r="72" ht="26.25" customHeight="1">
      <c r="A72" s="29">
        <v>20.0</v>
      </c>
      <c r="B72" s="30" t="s">
        <v>51</v>
      </c>
      <c r="C72" s="30" t="s">
        <v>52</v>
      </c>
      <c r="D72" s="30" t="s">
        <v>43</v>
      </c>
      <c r="E72" s="31">
        <v>46098.0</v>
      </c>
      <c r="F72" s="31">
        <v>46098.0</v>
      </c>
      <c r="G72" s="32">
        <f t="shared" si="1"/>
        <v>0</v>
      </c>
      <c r="H72" s="30" t="s">
        <v>28</v>
      </c>
      <c r="I72" s="29" t="s">
        <v>29</v>
      </c>
      <c r="J72" s="29" t="s">
        <v>30</v>
      </c>
      <c r="K72" s="29" t="s">
        <v>31</v>
      </c>
      <c r="L72" s="29" t="s">
        <v>64</v>
      </c>
      <c r="M72" s="29" t="s">
        <v>65</v>
      </c>
      <c r="N72" s="29" t="s">
        <v>84</v>
      </c>
      <c r="O72" s="29" t="s">
        <v>47</v>
      </c>
      <c r="P72" s="29">
        <v>870.0</v>
      </c>
      <c r="Q72" s="30" t="s">
        <v>36</v>
      </c>
      <c r="R72" s="30" t="s">
        <v>48</v>
      </c>
      <c r="S72" s="30" t="s">
        <v>36</v>
      </c>
      <c r="T72" s="33">
        <v>162.92</v>
      </c>
      <c r="U72" s="30">
        <v>66300.0</v>
      </c>
      <c r="V72" s="30">
        <v>0.0</v>
      </c>
      <c r="W72" s="35">
        <f t="shared" si="9"/>
        <v>0</v>
      </c>
      <c r="X72" s="36">
        <f t="shared" si="8"/>
        <v>0</v>
      </c>
      <c r="Y72" s="37">
        <f t="shared" si="4"/>
        <v>162.92</v>
      </c>
      <c r="Z72" s="38">
        <f t="shared" si="7"/>
        <v>66300</v>
      </c>
      <c r="AA72" s="34"/>
      <c r="AB72" s="34"/>
      <c r="AC72" s="34"/>
      <c r="AD72" s="34"/>
      <c r="AE72" s="34"/>
      <c r="AF72" s="34"/>
      <c r="AG72" s="34"/>
      <c r="AH72" s="34"/>
    </row>
    <row r="73" ht="26.25" customHeight="1">
      <c r="A73" s="29">
        <v>21.0</v>
      </c>
      <c r="B73" s="30" t="s">
        <v>85</v>
      </c>
      <c r="C73" s="30" t="s">
        <v>42</v>
      </c>
      <c r="D73" s="30" t="s">
        <v>72</v>
      </c>
      <c r="E73" s="31">
        <v>46097.0</v>
      </c>
      <c r="F73" s="31">
        <v>46099.0</v>
      </c>
      <c r="G73" s="32">
        <f t="shared" si="1"/>
        <v>2</v>
      </c>
      <c r="H73" s="30" t="s">
        <v>28</v>
      </c>
      <c r="I73" s="29" t="s">
        <v>32</v>
      </c>
      <c r="J73" s="29" t="s">
        <v>33</v>
      </c>
      <c r="K73" s="29" t="s">
        <v>34</v>
      </c>
      <c r="L73" s="29" t="s">
        <v>67</v>
      </c>
      <c r="M73" s="29" t="s">
        <v>68</v>
      </c>
      <c r="N73" s="29" t="s">
        <v>69</v>
      </c>
      <c r="O73" s="29" t="s">
        <v>39</v>
      </c>
      <c r="P73" s="29">
        <v>1970.0</v>
      </c>
      <c r="Q73" s="30" t="s">
        <v>36</v>
      </c>
      <c r="R73" s="30" t="s">
        <v>48</v>
      </c>
      <c r="S73" s="30" t="s">
        <v>36</v>
      </c>
      <c r="T73" s="33">
        <v>3597.99</v>
      </c>
      <c r="U73" s="30">
        <v>0.0</v>
      </c>
      <c r="V73" s="30">
        <v>0.0</v>
      </c>
      <c r="W73" s="35">
        <f t="shared" si="9"/>
        <v>0</v>
      </c>
      <c r="X73" s="36">
        <f t="shared" si="8"/>
        <v>0</v>
      </c>
      <c r="Y73" s="37">
        <f t="shared" si="4"/>
        <v>3597.99</v>
      </c>
      <c r="Z73" s="38">
        <f t="shared" si="7"/>
        <v>0</v>
      </c>
      <c r="AA73" s="34"/>
      <c r="AB73" s="34"/>
      <c r="AC73" s="34"/>
      <c r="AD73" s="34"/>
      <c r="AE73" s="34"/>
      <c r="AF73" s="34"/>
      <c r="AG73" s="34"/>
      <c r="AH73" s="34"/>
    </row>
    <row r="74" ht="26.25" customHeight="1">
      <c r="A74" s="40">
        <v>21.0</v>
      </c>
      <c r="B74" s="41" t="s">
        <v>85</v>
      </c>
      <c r="C74" s="41" t="s">
        <v>42</v>
      </c>
      <c r="D74" s="42" t="s">
        <v>72</v>
      </c>
      <c r="E74" s="43">
        <v>46099.0</v>
      </c>
      <c r="F74" s="43">
        <v>46101.0</v>
      </c>
      <c r="G74" s="44">
        <f>IF(OR(E74 = "", F74 = ""), "", DATEDIF(E74,F74,"D"))</f>
        <v>2</v>
      </c>
      <c r="H74" s="41" t="s">
        <v>28</v>
      </c>
      <c r="I74" s="45" t="s">
        <v>67</v>
      </c>
      <c r="J74" s="45" t="s">
        <v>68</v>
      </c>
      <c r="K74" s="45" t="s">
        <v>69</v>
      </c>
      <c r="L74" s="45" t="s">
        <v>32</v>
      </c>
      <c r="M74" s="45" t="s">
        <v>33</v>
      </c>
      <c r="N74" s="45" t="s">
        <v>34</v>
      </c>
      <c r="O74" s="45" t="s">
        <v>39</v>
      </c>
      <c r="P74" s="45">
        <v>1970.0</v>
      </c>
      <c r="Q74" s="41" t="s">
        <v>36</v>
      </c>
      <c r="R74" s="41" t="s">
        <v>48</v>
      </c>
      <c r="S74" s="41" t="s">
        <v>36</v>
      </c>
      <c r="T74" s="46">
        <v>2544.01</v>
      </c>
      <c r="U74" s="47">
        <v>0.0</v>
      </c>
      <c r="V74" s="47">
        <v>0.0</v>
      </c>
      <c r="W74" s="48">
        <f>IF($S74 = "NÃO", 0, IF(AND(UPPER($O74) = "GOL", $S74 = "SIM"), $T74+$V74, IF(AND(UPPER($O74) = "LATAM", $S74 = "SIM"), $T74 + $V74, "----")))</f>
        <v>0</v>
      </c>
      <c r="X74" s="49">
        <f>IF($S74 = "NÃO", 0, IF(AND(UPPER($O74) = "GOL", $S74 = "SIM"), 0.95*($U74), IF(AND(UPPER($O74) = "LATAM", $S74 = "SIM"), $U74, "----")))</f>
        <v>0</v>
      </c>
      <c r="Y74" s="48">
        <f>IF($W74 = "----", "Valor do reembolso?", $T74-$W74+$V74)</f>
        <v>2544.01</v>
      </c>
      <c r="Z74" s="49">
        <f>IF($X74 = "----", "Valor do reembolso?", $U74-$X74)</f>
        <v>0</v>
      </c>
      <c r="AA74" s="50"/>
      <c r="AB74" s="50"/>
      <c r="AC74" s="50"/>
      <c r="AD74" s="50"/>
      <c r="AE74" s="50"/>
      <c r="AF74" s="50"/>
      <c r="AG74" s="50"/>
      <c r="AH74" s="50"/>
    </row>
    <row r="75" ht="26.25" customHeight="1">
      <c r="A75" s="29">
        <v>22.0</v>
      </c>
      <c r="B75" s="30" t="s">
        <v>41</v>
      </c>
      <c r="C75" s="30" t="s">
        <v>42</v>
      </c>
      <c r="D75" s="30" t="s">
        <v>43</v>
      </c>
      <c r="E75" s="31">
        <v>46098.0</v>
      </c>
      <c r="F75" s="31">
        <v>46099.0</v>
      </c>
      <c r="G75" s="32">
        <f t="shared" ref="G75:G101" si="10">if(OR(E75 = "", F75 = ""), "", datedif(E75,F75,"D"))</f>
        <v>1</v>
      </c>
      <c r="H75" s="30" t="s">
        <v>28</v>
      </c>
      <c r="I75" s="29" t="s">
        <v>64</v>
      </c>
      <c r="J75" s="29" t="s">
        <v>65</v>
      </c>
      <c r="K75" s="29" t="s">
        <v>84</v>
      </c>
      <c r="L75" s="29" t="s">
        <v>44</v>
      </c>
      <c r="M75" s="29" t="s">
        <v>45</v>
      </c>
      <c r="N75" s="29" t="s">
        <v>46</v>
      </c>
      <c r="O75" s="29" t="s">
        <v>47</v>
      </c>
      <c r="P75" s="29">
        <v>490.0</v>
      </c>
      <c r="Q75" s="30" t="s">
        <v>36</v>
      </c>
      <c r="R75" s="30" t="s">
        <v>48</v>
      </c>
      <c r="S75" s="30" t="s">
        <v>36</v>
      </c>
      <c r="T75" s="33">
        <v>133.52</v>
      </c>
      <c r="U75" s="30">
        <v>66300.0</v>
      </c>
      <c r="V75" s="30">
        <v>0.0</v>
      </c>
      <c r="W75" s="35">
        <f t="shared" ref="W75:W78" si="11">if($S75 = "NÃO", 0, if(and(UPPER($O75) = "GOL", $S75 = "SIM"), $T75+$V75, if(and(UPPER($O75) = "LATAM", $S75 = "SIM"), $T75 + $V75, "----")))</f>
        <v>0</v>
      </c>
      <c r="X75" s="36">
        <f t="shared" ref="X75:X78" si="12">if($S75 = "NÃO", 0, if(and(UPPER($O75) = "GOL", $S75 = "SIM"), 0.95*($U75), if(and(UPPER($O75) = "LATAM", $S75 = "SIM"), $U75, "----")))</f>
        <v>0</v>
      </c>
      <c r="Y75" s="37">
        <f t="shared" ref="Y75:Y101" si="13">if($W75 = "----", "Valor do reembolso?", $T75-$W75+$V75)</f>
        <v>133.52</v>
      </c>
      <c r="Z75" s="38">
        <f t="shared" ref="Z75:Z101" si="14">if($X75 = "----", "Valor do reembolso?", $U75-$X75)</f>
        <v>66300</v>
      </c>
      <c r="AA75" s="34"/>
      <c r="AB75" s="34"/>
      <c r="AC75" s="34"/>
      <c r="AD75" s="34"/>
      <c r="AE75" s="34"/>
      <c r="AF75" s="34"/>
      <c r="AG75" s="34"/>
      <c r="AH75" s="34"/>
    </row>
    <row r="76" ht="26.25" customHeight="1">
      <c r="A76" s="29">
        <v>22.0</v>
      </c>
      <c r="B76" s="30" t="s">
        <v>49</v>
      </c>
      <c r="C76" s="30" t="s">
        <v>50</v>
      </c>
      <c r="D76" s="30" t="s">
        <v>43</v>
      </c>
      <c r="E76" s="31">
        <v>46098.0</v>
      </c>
      <c r="F76" s="31">
        <v>46099.0</v>
      </c>
      <c r="G76" s="32">
        <f t="shared" si="10"/>
        <v>1</v>
      </c>
      <c r="H76" s="30" t="s">
        <v>28</v>
      </c>
      <c r="I76" s="29" t="s">
        <v>64</v>
      </c>
      <c r="J76" s="29" t="s">
        <v>65</v>
      </c>
      <c r="K76" s="29" t="s">
        <v>84</v>
      </c>
      <c r="L76" s="29" t="s">
        <v>44</v>
      </c>
      <c r="M76" s="29" t="s">
        <v>45</v>
      </c>
      <c r="N76" s="29" t="s">
        <v>46</v>
      </c>
      <c r="O76" s="29" t="s">
        <v>47</v>
      </c>
      <c r="P76" s="29">
        <v>490.0</v>
      </c>
      <c r="Q76" s="30" t="s">
        <v>36</v>
      </c>
      <c r="R76" s="30" t="s">
        <v>48</v>
      </c>
      <c r="S76" s="30" t="s">
        <v>36</v>
      </c>
      <c r="T76" s="33">
        <v>133.52</v>
      </c>
      <c r="U76" s="30">
        <v>66300.0</v>
      </c>
      <c r="V76" s="30">
        <v>0.0</v>
      </c>
      <c r="W76" s="35">
        <f t="shared" si="11"/>
        <v>0</v>
      </c>
      <c r="X76" s="36">
        <f t="shared" si="12"/>
        <v>0</v>
      </c>
      <c r="Y76" s="37">
        <f t="shared" si="13"/>
        <v>133.52</v>
      </c>
      <c r="Z76" s="38">
        <f t="shared" si="14"/>
        <v>66300</v>
      </c>
      <c r="AA76" s="34"/>
      <c r="AB76" s="34"/>
      <c r="AC76" s="34"/>
      <c r="AD76" s="34"/>
      <c r="AE76" s="34"/>
      <c r="AF76" s="34"/>
      <c r="AG76" s="34"/>
      <c r="AH76" s="34"/>
    </row>
    <row r="77" ht="26.25" customHeight="1">
      <c r="A77" s="29">
        <v>22.0</v>
      </c>
      <c r="B77" s="30" t="s">
        <v>59</v>
      </c>
      <c r="C77" s="30" t="s">
        <v>26</v>
      </c>
      <c r="D77" s="30" t="s">
        <v>43</v>
      </c>
      <c r="E77" s="31">
        <v>46098.0</v>
      </c>
      <c r="F77" s="31">
        <v>46099.0</v>
      </c>
      <c r="G77" s="32">
        <f t="shared" si="10"/>
        <v>1</v>
      </c>
      <c r="H77" s="30" t="s">
        <v>28</v>
      </c>
      <c r="I77" s="29" t="s">
        <v>64</v>
      </c>
      <c r="J77" s="29" t="s">
        <v>65</v>
      </c>
      <c r="K77" s="29" t="s">
        <v>84</v>
      </c>
      <c r="L77" s="29" t="s">
        <v>44</v>
      </c>
      <c r="M77" s="29" t="s">
        <v>45</v>
      </c>
      <c r="N77" s="29" t="s">
        <v>46</v>
      </c>
      <c r="O77" s="29" t="s">
        <v>47</v>
      </c>
      <c r="P77" s="29">
        <v>490.0</v>
      </c>
      <c r="Q77" s="30" t="s">
        <v>36</v>
      </c>
      <c r="R77" s="30" t="s">
        <v>48</v>
      </c>
      <c r="S77" s="30" t="s">
        <v>36</v>
      </c>
      <c r="T77" s="33">
        <v>133.52</v>
      </c>
      <c r="U77" s="30">
        <v>66300.0</v>
      </c>
      <c r="V77" s="30">
        <v>0.0</v>
      </c>
      <c r="W77" s="35">
        <f t="shared" si="11"/>
        <v>0</v>
      </c>
      <c r="X77" s="36">
        <f t="shared" si="12"/>
        <v>0</v>
      </c>
      <c r="Y77" s="37">
        <f t="shared" si="13"/>
        <v>133.52</v>
      </c>
      <c r="Z77" s="38">
        <f t="shared" si="14"/>
        <v>66300</v>
      </c>
      <c r="AA77" s="34"/>
      <c r="AB77" s="34"/>
      <c r="AC77" s="34"/>
      <c r="AD77" s="34"/>
      <c r="AE77" s="34"/>
      <c r="AF77" s="34"/>
      <c r="AG77" s="34"/>
      <c r="AH77" s="34"/>
    </row>
    <row r="78" ht="26.25" customHeight="1">
      <c r="A78" s="29">
        <v>22.0</v>
      </c>
      <c r="B78" s="30" t="s">
        <v>51</v>
      </c>
      <c r="C78" s="30" t="s">
        <v>52</v>
      </c>
      <c r="D78" s="30" t="s">
        <v>43</v>
      </c>
      <c r="E78" s="31">
        <v>46098.0</v>
      </c>
      <c r="F78" s="31">
        <v>46099.0</v>
      </c>
      <c r="G78" s="32">
        <f t="shared" si="10"/>
        <v>1</v>
      </c>
      <c r="H78" s="30" t="s">
        <v>28</v>
      </c>
      <c r="I78" s="29" t="s">
        <v>64</v>
      </c>
      <c r="J78" s="29" t="s">
        <v>65</v>
      </c>
      <c r="K78" s="29" t="s">
        <v>84</v>
      </c>
      <c r="L78" s="29" t="s">
        <v>44</v>
      </c>
      <c r="M78" s="29" t="s">
        <v>45</v>
      </c>
      <c r="N78" s="29" t="s">
        <v>46</v>
      </c>
      <c r="O78" s="29" t="s">
        <v>47</v>
      </c>
      <c r="P78" s="29">
        <v>490.0</v>
      </c>
      <c r="Q78" s="30" t="s">
        <v>36</v>
      </c>
      <c r="R78" s="30" t="s">
        <v>48</v>
      </c>
      <c r="S78" s="30" t="s">
        <v>36</v>
      </c>
      <c r="T78" s="33">
        <v>133.52</v>
      </c>
      <c r="U78" s="30">
        <v>66300.0</v>
      </c>
      <c r="V78" s="30">
        <v>0.0</v>
      </c>
      <c r="W78" s="35">
        <f t="shared" si="11"/>
        <v>0</v>
      </c>
      <c r="X78" s="36">
        <f t="shared" si="12"/>
        <v>0</v>
      </c>
      <c r="Y78" s="37">
        <f t="shared" si="13"/>
        <v>133.52</v>
      </c>
      <c r="Z78" s="38">
        <f t="shared" si="14"/>
        <v>66300</v>
      </c>
      <c r="AA78" s="34"/>
      <c r="AB78" s="34"/>
      <c r="AC78" s="34"/>
      <c r="AD78" s="34"/>
      <c r="AE78" s="34"/>
      <c r="AF78" s="34"/>
      <c r="AG78" s="34"/>
      <c r="AH78" s="34"/>
    </row>
    <row r="79" ht="26.25" customHeight="1">
      <c r="A79" s="29">
        <v>22.0</v>
      </c>
      <c r="B79" s="30" t="s">
        <v>71</v>
      </c>
      <c r="C79" s="30" t="s">
        <v>50</v>
      </c>
      <c r="D79" s="30" t="s">
        <v>43</v>
      </c>
      <c r="E79" s="31">
        <v>46094.0</v>
      </c>
      <c r="F79" s="31">
        <v>46100.0</v>
      </c>
      <c r="G79" s="32">
        <f t="shared" si="10"/>
        <v>6</v>
      </c>
      <c r="H79" s="30" t="s">
        <v>28</v>
      </c>
      <c r="I79" s="29" t="s">
        <v>32</v>
      </c>
      <c r="J79" s="29" t="s">
        <v>33</v>
      </c>
      <c r="K79" s="29" t="s">
        <v>34</v>
      </c>
      <c r="L79" s="29" t="s">
        <v>44</v>
      </c>
      <c r="M79" s="29" t="s">
        <v>45</v>
      </c>
      <c r="N79" s="29" t="s">
        <v>46</v>
      </c>
      <c r="O79" s="29" t="s">
        <v>47</v>
      </c>
      <c r="P79" s="30">
        <v>0.0</v>
      </c>
      <c r="Q79" s="30" t="s">
        <v>36</v>
      </c>
      <c r="R79" s="30" t="s">
        <v>70</v>
      </c>
      <c r="S79" s="30" t="s">
        <v>37</v>
      </c>
      <c r="T79" s="33">
        <v>152.09</v>
      </c>
      <c r="U79" s="30">
        <v>120000.0</v>
      </c>
      <c r="V79" s="30">
        <v>398.0</v>
      </c>
      <c r="W79" s="39">
        <v>0.0</v>
      </c>
      <c r="X79" s="51">
        <v>120000.0</v>
      </c>
      <c r="Y79" s="37">
        <f t="shared" si="13"/>
        <v>550.09</v>
      </c>
      <c r="Z79" s="38">
        <f t="shared" si="14"/>
        <v>0</v>
      </c>
      <c r="AA79" s="34"/>
      <c r="AB79" s="34"/>
      <c r="AC79" s="34"/>
      <c r="AD79" s="34"/>
      <c r="AE79" s="34"/>
      <c r="AF79" s="34"/>
      <c r="AG79" s="34"/>
      <c r="AH79" s="34"/>
    </row>
    <row r="80" ht="26.25" customHeight="1">
      <c r="A80" s="29">
        <v>22.0</v>
      </c>
      <c r="B80" s="30" t="s">
        <v>78</v>
      </c>
      <c r="C80" s="30" t="s">
        <v>50</v>
      </c>
      <c r="D80" s="30" t="s">
        <v>43</v>
      </c>
      <c r="E80" s="31">
        <v>46094.0</v>
      </c>
      <c r="F80" s="31">
        <v>46100.0</v>
      </c>
      <c r="G80" s="32">
        <f t="shared" si="10"/>
        <v>6</v>
      </c>
      <c r="H80" s="30" t="s">
        <v>28</v>
      </c>
      <c r="I80" s="29" t="s">
        <v>32</v>
      </c>
      <c r="J80" s="29" t="s">
        <v>33</v>
      </c>
      <c r="K80" s="29" t="s">
        <v>34</v>
      </c>
      <c r="L80" s="29" t="s">
        <v>44</v>
      </c>
      <c r="M80" s="29" t="s">
        <v>45</v>
      </c>
      <c r="N80" s="29" t="s">
        <v>46</v>
      </c>
      <c r="O80" s="29" t="s">
        <v>47</v>
      </c>
      <c r="P80" s="30">
        <v>0.0</v>
      </c>
      <c r="Q80" s="30" t="s">
        <v>36</v>
      </c>
      <c r="R80" s="30" t="s">
        <v>70</v>
      </c>
      <c r="S80" s="30" t="s">
        <v>37</v>
      </c>
      <c r="T80" s="33">
        <v>152.09</v>
      </c>
      <c r="U80" s="30">
        <v>120000.0</v>
      </c>
      <c r="V80" s="30">
        <v>398.0</v>
      </c>
      <c r="W80" s="39">
        <v>0.0</v>
      </c>
      <c r="X80" s="51">
        <v>120000.0</v>
      </c>
      <c r="Y80" s="37">
        <f t="shared" si="13"/>
        <v>550.09</v>
      </c>
      <c r="Z80" s="38">
        <f t="shared" si="14"/>
        <v>0</v>
      </c>
      <c r="AA80" s="34"/>
      <c r="AB80" s="34"/>
      <c r="AC80" s="34"/>
      <c r="AD80" s="34"/>
      <c r="AE80" s="34"/>
      <c r="AF80" s="34"/>
      <c r="AG80" s="34"/>
      <c r="AH80" s="34"/>
    </row>
    <row r="81" ht="26.25" customHeight="1">
      <c r="A81" s="29">
        <v>22.0</v>
      </c>
      <c r="B81" s="30" t="s">
        <v>41</v>
      </c>
      <c r="C81" s="30" t="s">
        <v>42</v>
      </c>
      <c r="D81" s="30" t="s">
        <v>43</v>
      </c>
      <c r="E81" s="31">
        <v>46094.0</v>
      </c>
      <c r="F81" s="31">
        <v>46101.0</v>
      </c>
      <c r="G81" s="32">
        <f t="shared" si="10"/>
        <v>7</v>
      </c>
      <c r="H81" s="30" t="s">
        <v>28</v>
      </c>
      <c r="I81" s="29" t="s">
        <v>44</v>
      </c>
      <c r="J81" s="29" t="s">
        <v>45</v>
      </c>
      <c r="K81" s="29" t="s">
        <v>46</v>
      </c>
      <c r="L81" s="29" t="s">
        <v>32</v>
      </c>
      <c r="M81" s="29" t="s">
        <v>33</v>
      </c>
      <c r="N81" s="29" t="s">
        <v>34</v>
      </c>
      <c r="O81" s="29" t="s">
        <v>47</v>
      </c>
      <c r="P81" s="30">
        <v>0.0</v>
      </c>
      <c r="Q81" s="30" t="s">
        <v>36</v>
      </c>
      <c r="R81" s="30" t="s">
        <v>70</v>
      </c>
      <c r="S81" s="30" t="s">
        <v>37</v>
      </c>
      <c r="T81" s="33">
        <v>110.95</v>
      </c>
      <c r="U81" s="30">
        <v>50000.0</v>
      </c>
      <c r="V81" s="30">
        <v>350.3</v>
      </c>
      <c r="W81" s="39">
        <v>0.0</v>
      </c>
      <c r="X81" s="51">
        <v>50000.0</v>
      </c>
      <c r="Y81" s="37">
        <f t="shared" si="13"/>
        <v>461.25</v>
      </c>
      <c r="Z81" s="38">
        <f t="shared" si="14"/>
        <v>0</v>
      </c>
      <c r="AA81" s="34"/>
      <c r="AB81" s="34"/>
      <c r="AC81" s="34"/>
      <c r="AD81" s="34"/>
      <c r="AE81" s="34"/>
      <c r="AF81" s="34"/>
      <c r="AG81" s="34"/>
      <c r="AH81" s="34"/>
    </row>
    <row r="82" ht="26.25" customHeight="1">
      <c r="A82" s="29">
        <v>22.0</v>
      </c>
      <c r="B82" s="30" t="s">
        <v>49</v>
      </c>
      <c r="C82" s="30" t="s">
        <v>50</v>
      </c>
      <c r="D82" s="30" t="s">
        <v>43</v>
      </c>
      <c r="E82" s="31">
        <v>46094.0</v>
      </c>
      <c r="F82" s="31">
        <v>46101.0</v>
      </c>
      <c r="G82" s="32">
        <f t="shared" si="10"/>
        <v>7</v>
      </c>
      <c r="H82" s="30" t="s">
        <v>28</v>
      </c>
      <c r="I82" s="29" t="s">
        <v>44</v>
      </c>
      <c r="J82" s="29" t="s">
        <v>45</v>
      </c>
      <c r="K82" s="29" t="s">
        <v>46</v>
      </c>
      <c r="L82" s="29" t="s">
        <v>32</v>
      </c>
      <c r="M82" s="29" t="s">
        <v>33</v>
      </c>
      <c r="N82" s="29" t="s">
        <v>34</v>
      </c>
      <c r="O82" s="29" t="s">
        <v>47</v>
      </c>
      <c r="P82" s="30">
        <v>0.0</v>
      </c>
      <c r="Q82" s="30" t="s">
        <v>36</v>
      </c>
      <c r="R82" s="30" t="s">
        <v>70</v>
      </c>
      <c r="S82" s="30" t="s">
        <v>37</v>
      </c>
      <c r="T82" s="33">
        <v>110.95</v>
      </c>
      <c r="U82" s="30">
        <v>50000.0</v>
      </c>
      <c r="V82" s="30">
        <v>350.3</v>
      </c>
      <c r="W82" s="39">
        <v>0.0</v>
      </c>
      <c r="X82" s="51">
        <v>50000.0</v>
      </c>
      <c r="Y82" s="37">
        <f t="shared" si="13"/>
        <v>461.25</v>
      </c>
      <c r="Z82" s="38">
        <f t="shared" si="14"/>
        <v>0</v>
      </c>
      <c r="AA82" s="34"/>
      <c r="AB82" s="34"/>
      <c r="AC82" s="34"/>
      <c r="AD82" s="34"/>
      <c r="AE82" s="34"/>
      <c r="AF82" s="34"/>
      <c r="AG82" s="34"/>
      <c r="AH82" s="34"/>
    </row>
    <row r="83" ht="26.25" customHeight="1">
      <c r="A83" s="29">
        <v>22.0</v>
      </c>
      <c r="B83" s="30" t="s">
        <v>59</v>
      </c>
      <c r="C83" s="30" t="s">
        <v>26</v>
      </c>
      <c r="D83" s="30" t="s">
        <v>43</v>
      </c>
      <c r="E83" s="31">
        <v>46094.0</v>
      </c>
      <c r="F83" s="31">
        <v>46101.0</v>
      </c>
      <c r="G83" s="32">
        <f t="shared" si="10"/>
        <v>7</v>
      </c>
      <c r="H83" s="30" t="s">
        <v>28</v>
      </c>
      <c r="I83" s="29" t="s">
        <v>44</v>
      </c>
      <c r="J83" s="29" t="s">
        <v>45</v>
      </c>
      <c r="K83" s="29" t="s">
        <v>46</v>
      </c>
      <c r="L83" s="29" t="s">
        <v>32</v>
      </c>
      <c r="M83" s="29" t="s">
        <v>33</v>
      </c>
      <c r="N83" s="29" t="s">
        <v>34</v>
      </c>
      <c r="O83" s="29" t="s">
        <v>47</v>
      </c>
      <c r="P83" s="30">
        <v>0.0</v>
      </c>
      <c r="Q83" s="30" t="s">
        <v>36</v>
      </c>
      <c r="R83" s="30" t="s">
        <v>70</v>
      </c>
      <c r="S83" s="30" t="s">
        <v>37</v>
      </c>
      <c r="T83" s="33">
        <v>110.95</v>
      </c>
      <c r="U83" s="30">
        <v>50000.0</v>
      </c>
      <c r="V83" s="30">
        <v>350.3</v>
      </c>
      <c r="W83" s="39">
        <v>0.0</v>
      </c>
      <c r="X83" s="51">
        <v>50000.0</v>
      </c>
      <c r="Y83" s="37">
        <f t="shared" si="13"/>
        <v>461.25</v>
      </c>
      <c r="Z83" s="38">
        <f t="shared" si="14"/>
        <v>0</v>
      </c>
      <c r="AA83" s="34"/>
      <c r="AB83" s="34"/>
      <c r="AC83" s="34"/>
      <c r="AD83" s="34"/>
      <c r="AE83" s="34"/>
      <c r="AF83" s="34"/>
      <c r="AG83" s="34"/>
      <c r="AH83" s="34"/>
    </row>
    <row r="84" ht="26.25" customHeight="1">
      <c r="A84" s="29">
        <v>22.0</v>
      </c>
      <c r="B84" s="30" t="s">
        <v>51</v>
      </c>
      <c r="C84" s="30" t="s">
        <v>52</v>
      </c>
      <c r="D84" s="30" t="s">
        <v>43</v>
      </c>
      <c r="E84" s="31">
        <v>46094.0</v>
      </c>
      <c r="F84" s="31">
        <v>46101.0</v>
      </c>
      <c r="G84" s="32">
        <f t="shared" si="10"/>
        <v>7</v>
      </c>
      <c r="H84" s="30" t="s">
        <v>28</v>
      </c>
      <c r="I84" s="29" t="s">
        <v>44</v>
      </c>
      <c r="J84" s="29" t="s">
        <v>45</v>
      </c>
      <c r="K84" s="29" t="s">
        <v>46</v>
      </c>
      <c r="L84" s="29" t="s">
        <v>29</v>
      </c>
      <c r="M84" s="29" t="s">
        <v>30</v>
      </c>
      <c r="N84" s="29" t="s">
        <v>31</v>
      </c>
      <c r="O84" s="29"/>
      <c r="P84" s="34"/>
      <c r="Q84" s="30" t="s">
        <v>36</v>
      </c>
      <c r="R84" s="30" t="s">
        <v>70</v>
      </c>
      <c r="S84" s="30" t="s">
        <v>36</v>
      </c>
      <c r="T84" s="52"/>
      <c r="U84" s="34"/>
      <c r="V84" s="30">
        <v>0.0</v>
      </c>
      <c r="W84" s="35">
        <f>if($S84 = "NÃO", 0, if(and(UPPER($O84) = "GOL", $S84 = "SIM"), $T84+$V84, if(and(UPPER($O84) = "LATAM", $S84 = "SIM"), $T84 + $V84, "----")))</f>
        <v>0</v>
      </c>
      <c r="X84" s="36">
        <f>if($S84 = "NÃO", 0, if(and(UPPER($O84) = "GOL", $S84 = "SIM"), 0.95*($U84), if(and(UPPER($O84) = "LATAM", $S84 = "SIM"), $U84, "----")))</f>
        <v>0</v>
      </c>
      <c r="Y84" s="37">
        <f t="shared" si="13"/>
        <v>0</v>
      </c>
      <c r="Z84" s="38">
        <f t="shared" si="14"/>
        <v>0</v>
      </c>
      <c r="AA84" s="34"/>
      <c r="AB84" s="34"/>
      <c r="AC84" s="34"/>
      <c r="AD84" s="34"/>
      <c r="AE84" s="34"/>
      <c r="AF84" s="34"/>
      <c r="AG84" s="34"/>
      <c r="AH84" s="34"/>
    </row>
    <row r="85" ht="26.25" customHeight="1">
      <c r="A85" s="29">
        <v>22.0</v>
      </c>
      <c r="B85" s="30" t="s">
        <v>78</v>
      </c>
      <c r="C85" s="30" t="s">
        <v>50</v>
      </c>
      <c r="D85" s="30" t="s">
        <v>43</v>
      </c>
      <c r="E85" s="31">
        <v>46094.0</v>
      </c>
      <c r="F85" s="31">
        <v>46101.0</v>
      </c>
      <c r="G85" s="32">
        <f t="shared" si="10"/>
        <v>7</v>
      </c>
      <c r="H85" s="30" t="s">
        <v>28</v>
      </c>
      <c r="I85" s="29" t="s">
        <v>44</v>
      </c>
      <c r="J85" s="29" t="s">
        <v>45</v>
      </c>
      <c r="K85" s="29" t="s">
        <v>46</v>
      </c>
      <c r="L85" s="29" t="s">
        <v>32</v>
      </c>
      <c r="M85" s="29" t="s">
        <v>33</v>
      </c>
      <c r="N85" s="29" t="s">
        <v>34</v>
      </c>
      <c r="O85" s="29" t="s">
        <v>47</v>
      </c>
      <c r="P85" s="30">
        <v>0.0</v>
      </c>
      <c r="Q85" s="30" t="s">
        <v>36</v>
      </c>
      <c r="R85" s="30" t="s">
        <v>70</v>
      </c>
      <c r="S85" s="30" t="s">
        <v>37</v>
      </c>
      <c r="T85" s="33">
        <v>110.95</v>
      </c>
      <c r="U85" s="30">
        <v>50000.0</v>
      </c>
      <c r="V85" s="30">
        <v>350.3</v>
      </c>
      <c r="W85" s="39">
        <v>0.0</v>
      </c>
      <c r="X85" s="51">
        <v>50000.0</v>
      </c>
      <c r="Y85" s="37">
        <f t="shared" si="13"/>
        <v>461.25</v>
      </c>
      <c r="Z85" s="38">
        <f t="shared" si="14"/>
        <v>0</v>
      </c>
      <c r="AA85" s="34"/>
      <c r="AB85" s="34"/>
      <c r="AC85" s="34"/>
      <c r="AD85" s="34"/>
      <c r="AE85" s="34"/>
      <c r="AF85" s="34"/>
      <c r="AG85" s="34"/>
      <c r="AH85" s="34"/>
    </row>
    <row r="86" ht="26.25" customHeight="1">
      <c r="A86" s="29">
        <v>22.0</v>
      </c>
      <c r="B86" s="30" t="s">
        <v>71</v>
      </c>
      <c r="C86" s="30" t="s">
        <v>50</v>
      </c>
      <c r="D86" s="30" t="s">
        <v>43</v>
      </c>
      <c r="E86" s="31">
        <v>46094.0</v>
      </c>
      <c r="F86" s="31">
        <v>46101.0</v>
      </c>
      <c r="G86" s="32">
        <f t="shared" si="10"/>
        <v>7</v>
      </c>
      <c r="H86" s="30" t="s">
        <v>28</v>
      </c>
      <c r="I86" s="29" t="s">
        <v>44</v>
      </c>
      <c r="J86" s="29" t="s">
        <v>45</v>
      </c>
      <c r="K86" s="29" t="s">
        <v>46</v>
      </c>
      <c r="L86" s="29" t="s">
        <v>32</v>
      </c>
      <c r="M86" s="29" t="s">
        <v>33</v>
      </c>
      <c r="N86" s="29" t="s">
        <v>34</v>
      </c>
      <c r="O86" s="29" t="s">
        <v>47</v>
      </c>
      <c r="P86" s="30">
        <v>0.0</v>
      </c>
      <c r="Q86" s="30" t="s">
        <v>36</v>
      </c>
      <c r="R86" s="30" t="s">
        <v>70</v>
      </c>
      <c r="S86" s="30" t="s">
        <v>37</v>
      </c>
      <c r="T86" s="33">
        <v>110.95</v>
      </c>
      <c r="U86" s="30">
        <v>50000.0</v>
      </c>
      <c r="V86" s="30">
        <v>350.3</v>
      </c>
      <c r="W86" s="39">
        <v>0.0</v>
      </c>
      <c r="X86" s="51">
        <v>50000.0</v>
      </c>
      <c r="Y86" s="37">
        <f t="shared" si="13"/>
        <v>461.25</v>
      </c>
      <c r="Z86" s="38">
        <f t="shared" si="14"/>
        <v>0</v>
      </c>
      <c r="AA86" s="34"/>
      <c r="AB86" s="34"/>
      <c r="AC86" s="34"/>
      <c r="AD86" s="34"/>
      <c r="AE86" s="34"/>
      <c r="AF86" s="34"/>
      <c r="AG86" s="34"/>
      <c r="AH86" s="34"/>
    </row>
    <row r="87" ht="26.25" customHeight="1">
      <c r="A87" s="29">
        <v>22.0</v>
      </c>
      <c r="B87" s="30" t="s">
        <v>85</v>
      </c>
      <c r="C87" s="30" t="s">
        <v>42</v>
      </c>
      <c r="D87" s="30" t="s">
        <v>43</v>
      </c>
      <c r="E87" s="31">
        <v>46098.0</v>
      </c>
      <c r="F87" s="31">
        <v>46101.0</v>
      </c>
      <c r="G87" s="32">
        <f t="shared" si="10"/>
        <v>3</v>
      </c>
      <c r="H87" s="30" t="s">
        <v>28</v>
      </c>
      <c r="I87" s="29" t="s">
        <v>44</v>
      </c>
      <c r="J87" s="29" t="s">
        <v>45</v>
      </c>
      <c r="K87" s="29" t="s">
        <v>46</v>
      </c>
      <c r="L87" s="29" t="s">
        <v>32</v>
      </c>
      <c r="M87" s="29" t="s">
        <v>33</v>
      </c>
      <c r="N87" s="29" t="s">
        <v>34</v>
      </c>
      <c r="O87" s="29" t="s">
        <v>47</v>
      </c>
      <c r="P87" s="30">
        <v>0.0</v>
      </c>
      <c r="Q87" s="30" t="s">
        <v>36</v>
      </c>
      <c r="R87" s="30" t="s">
        <v>48</v>
      </c>
      <c r="S87" s="30" t="s">
        <v>37</v>
      </c>
      <c r="T87" s="33">
        <v>173.56</v>
      </c>
      <c r="U87" s="30">
        <v>120000.0</v>
      </c>
      <c r="V87" s="30">
        <v>202.88</v>
      </c>
      <c r="W87" s="39">
        <v>0.0</v>
      </c>
      <c r="X87" s="51">
        <v>120000.0</v>
      </c>
      <c r="Y87" s="37">
        <f t="shared" si="13"/>
        <v>376.44</v>
      </c>
      <c r="Z87" s="38">
        <f t="shared" si="14"/>
        <v>0</v>
      </c>
      <c r="AA87" s="34"/>
      <c r="AB87" s="34"/>
      <c r="AC87" s="34"/>
      <c r="AD87" s="34"/>
      <c r="AE87" s="34"/>
      <c r="AF87" s="34"/>
      <c r="AG87" s="34"/>
      <c r="AH87" s="34"/>
    </row>
    <row r="88" ht="26.25" customHeight="1">
      <c r="A88" s="29">
        <v>22.0</v>
      </c>
      <c r="B88" s="30" t="s">
        <v>41</v>
      </c>
      <c r="C88" s="30" t="s">
        <v>42</v>
      </c>
      <c r="D88" s="30" t="s">
        <v>43</v>
      </c>
      <c r="E88" s="31">
        <v>46099.0</v>
      </c>
      <c r="F88" s="31">
        <v>46100.0</v>
      </c>
      <c r="G88" s="32">
        <f t="shared" si="10"/>
        <v>1</v>
      </c>
      <c r="H88" s="30" t="s">
        <v>28</v>
      </c>
      <c r="I88" s="29" t="s">
        <v>44</v>
      </c>
      <c r="J88" s="29" t="s">
        <v>45</v>
      </c>
      <c r="K88" s="29" t="s">
        <v>46</v>
      </c>
      <c r="L88" s="29" t="s">
        <v>32</v>
      </c>
      <c r="M88" s="29" t="s">
        <v>33</v>
      </c>
      <c r="N88" s="29" t="s">
        <v>34</v>
      </c>
      <c r="O88" s="29" t="s">
        <v>35</v>
      </c>
      <c r="P88" s="30">
        <v>1700.0</v>
      </c>
      <c r="Q88" s="30" t="s">
        <v>36</v>
      </c>
      <c r="R88" s="30" t="s">
        <v>48</v>
      </c>
      <c r="S88" s="30" t="s">
        <v>36</v>
      </c>
      <c r="T88" s="33">
        <v>3605.66</v>
      </c>
      <c r="U88" s="30">
        <v>0.0</v>
      </c>
      <c r="V88" s="30">
        <v>0.0</v>
      </c>
      <c r="W88" s="35">
        <f t="shared" ref="W88:W101" si="15">if($S88 = "NÃO", 0, if(and(UPPER($O88) = "GOL", $S88 = "SIM"), $T88+$V88, if(and(UPPER($O88) = "LATAM", $S88 = "SIM"), $T88 + $V88, "----")))</f>
        <v>0</v>
      </c>
      <c r="X88" s="36">
        <f t="shared" ref="X88:X101" si="16">if($S88 = "NÃO", 0, if(and(UPPER($O88) = "GOL", $S88 = "SIM"), 0.95*($U88), if(and(UPPER($O88) = "LATAM", $S88 = "SIM"), $U88, "----")))</f>
        <v>0</v>
      </c>
      <c r="Y88" s="37">
        <f t="shared" si="13"/>
        <v>3605.66</v>
      </c>
      <c r="Z88" s="38">
        <f t="shared" si="14"/>
        <v>0</v>
      </c>
      <c r="AA88" s="34"/>
      <c r="AB88" s="34"/>
      <c r="AC88" s="34"/>
      <c r="AD88" s="34"/>
      <c r="AE88" s="34"/>
      <c r="AF88" s="34"/>
      <c r="AG88" s="34"/>
      <c r="AH88" s="34"/>
    </row>
    <row r="89" ht="26.25" customHeight="1">
      <c r="A89" s="29">
        <v>22.0</v>
      </c>
      <c r="B89" s="30" t="s">
        <v>49</v>
      </c>
      <c r="C89" s="30" t="s">
        <v>50</v>
      </c>
      <c r="D89" s="30" t="s">
        <v>43</v>
      </c>
      <c r="E89" s="31">
        <v>46099.0</v>
      </c>
      <c r="F89" s="31">
        <v>46100.0</v>
      </c>
      <c r="G89" s="32">
        <f t="shared" si="10"/>
        <v>1</v>
      </c>
      <c r="H89" s="30" t="s">
        <v>28</v>
      </c>
      <c r="I89" s="29" t="s">
        <v>44</v>
      </c>
      <c r="J89" s="29" t="s">
        <v>45</v>
      </c>
      <c r="K89" s="29" t="s">
        <v>46</v>
      </c>
      <c r="L89" s="29" t="s">
        <v>32</v>
      </c>
      <c r="M89" s="29" t="s">
        <v>33</v>
      </c>
      <c r="N89" s="29" t="s">
        <v>34</v>
      </c>
      <c r="O89" s="29" t="s">
        <v>35</v>
      </c>
      <c r="P89" s="30">
        <v>1700.0</v>
      </c>
      <c r="Q89" s="30" t="s">
        <v>36</v>
      </c>
      <c r="R89" s="30" t="s">
        <v>48</v>
      </c>
      <c r="S89" s="30" t="s">
        <v>36</v>
      </c>
      <c r="T89" s="33">
        <v>3081.77</v>
      </c>
      <c r="U89" s="30">
        <v>0.0</v>
      </c>
      <c r="V89" s="30">
        <v>0.0</v>
      </c>
      <c r="W89" s="35">
        <f t="shared" si="15"/>
        <v>0</v>
      </c>
      <c r="X89" s="36">
        <f t="shared" si="16"/>
        <v>0</v>
      </c>
      <c r="Y89" s="37">
        <f t="shared" si="13"/>
        <v>3081.77</v>
      </c>
      <c r="Z89" s="38">
        <f t="shared" si="14"/>
        <v>0</v>
      </c>
      <c r="AA89" s="34"/>
      <c r="AB89" s="34"/>
      <c r="AC89" s="34"/>
      <c r="AD89" s="34"/>
      <c r="AE89" s="34"/>
      <c r="AF89" s="34"/>
      <c r="AG89" s="34"/>
      <c r="AH89" s="34"/>
    </row>
    <row r="90" ht="26.25" customHeight="1">
      <c r="A90" s="29">
        <v>22.0</v>
      </c>
      <c r="B90" s="30" t="s">
        <v>59</v>
      </c>
      <c r="C90" s="30" t="s">
        <v>26</v>
      </c>
      <c r="D90" s="30" t="s">
        <v>43</v>
      </c>
      <c r="E90" s="31">
        <v>46099.0</v>
      </c>
      <c r="F90" s="31">
        <v>46100.0</v>
      </c>
      <c r="G90" s="32">
        <f t="shared" si="10"/>
        <v>1</v>
      </c>
      <c r="H90" s="30" t="s">
        <v>28</v>
      </c>
      <c r="I90" s="29" t="s">
        <v>44</v>
      </c>
      <c r="J90" s="29" t="s">
        <v>45</v>
      </c>
      <c r="K90" s="29" t="s">
        <v>46</v>
      </c>
      <c r="L90" s="29" t="s">
        <v>32</v>
      </c>
      <c r="M90" s="29" t="s">
        <v>33</v>
      </c>
      <c r="N90" s="29" t="s">
        <v>34</v>
      </c>
      <c r="O90" s="29" t="s">
        <v>35</v>
      </c>
      <c r="P90" s="30">
        <v>1700.0</v>
      </c>
      <c r="Q90" s="30" t="s">
        <v>36</v>
      </c>
      <c r="R90" s="30" t="s">
        <v>48</v>
      </c>
      <c r="S90" s="30" t="s">
        <v>36</v>
      </c>
      <c r="T90" s="33">
        <v>3605.66</v>
      </c>
      <c r="U90" s="30">
        <v>0.0</v>
      </c>
      <c r="V90" s="30">
        <v>0.0</v>
      </c>
      <c r="W90" s="35">
        <f t="shared" si="15"/>
        <v>0</v>
      </c>
      <c r="X90" s="36">
        <f t="shared" si="16"/>
        <v>0</v>
      </c>
      <c r="Y90" s="37">
        <f t="shared" si="13"/>
        <v>3605.66</v>
      </c>
      <c r="Z90" s="38">
        <f t="shared" si="14"/>
        <v>0</v>
      </c>
      <c r="AA90" s="34"/>
      <c r="AB90" s="34"/>
      <c r="AC90" s="34"/>
      <c r="AD90" s="34"/>
      <c r="AE90" s="34"/>
      <c r="AF90" s="34"/>
      <c r="AG90" s="34"/>
      <c r="AH90" s="34"/>
    </row>
    <row r="91" ht="26.25" customHeight="1">
      <c r="A91" s="29">
        <v>22.0</v>
      </c>
      <c r="B91" s="30" t="s">
        <v>51</v>
      </c>
      <c r="C91" s="30" t="s">
        <v>52</v>
      </c>
      <c r="D91" s="30" t="s">
        <v>43</v>
      </c>
      <c r="E91" s="31">
        <v>46099.0</v>
      </c>
      <c r="F91" s="31">
        <v>46100.0</v>
      </c>
      <c r="G91" s="32">
        <f t="shared" si="10"/>
        <v>1</v>
      </c>
      <c r="H91" s="30" t="s">
        <v>28</v>
      </c>
      <c r="I91" s="29" t="s">
        <v>44</v>
      </c>
      <c r="J91" s="29" t="s">
        <v>45</v>
      </c>
      <c r="K91" s="29" t="s">
        <v>46</v>
      </c>
      <c r="L91" s="29" t="s">
        <v>29</v>
      </c>
      <c r="M91" s="29" t="s">
        <v>30</v>
      </c>
      <c r="N91" s="29" t="s">
        <v>31</v>
      </c>
      <c r="O91" s="29" t="s">
        <v>35</v>
      </c>
      <c r="P91" s="30">
        <v>620.0</v>
      </c>
      <c r="Q91" s="30" t="s">
        <v>36</v>
      </c>
      <c r="R91" s="30" t="s">
        <v>48</v>
      </c>
      <c r="S91" s="30" t="s">
        <v>36</v>
      </c>
      <c r="T91" s="33">
        <v>1539.17</v>
      </c>
      <c r="U91" s="34"/>
      <c r="V91" s="34"/>
      <c r="W91" s="35">
        <f t="shared" si="15"/>
        <v>0</v>
      </c>
      <c r="X91" s="36">
        <f t="shared" si="16"/>
        <v>0</v>
      </c>
      <c r="Y91" s="37">
        <f t="shared" si="13"/>
        <v>1539.17</v>
      </c>
      <c r="Z91" s="38">
        <f t="shared" si="14"/>
        <v>0</v>
      </c>
      <c r="AA91" s="34"/>
      <c r="AB91" s="34"/>
      <c r="AC91" s="34"/>
      <c r="AD91" s="34"/>
      <c r="AE91" s="34"/>
      <c r="AF91" s="34"/>
      <c r="AG91" s="34"/>
      <c r="AH91" s="34"/>
    </row>
    <row r="92" ht="26.25" customHeight="1">
      <c r="A92" s="29">
        <v>23.0</v>
      </c>
      <c r="B92" s="30" t="s">
        <v>41</v>
      </c>
      <c r="C92" s="30" t="s">
        <v>42</v>
      </c>
      <c r="D92" s="30" t="s">
        <v>43</v>
      </c>
      <c r="E92" s="31">
        <v>46103.0</v>
      </c>
      <c r="F92" s="31">
        <v>46104.0</v>
      </c>
      <c r="G92" s="32">
        <f t="shared" si="10"/>
        <v>1</v>
      </c>
      <c r="H92" s="30" t="s">
        <v>28</v>
      </c>
      <c r="I92" s="29" t="s">
        <v>32</v>
      </c>
      <c r="J92" s="29" t="s">
        <v>33</v>
      </c>
      <c r="K92" s="29" t="s">
        <v>34</v>
      </c>
      <c r="L92" s="29" t="s">
        <v>67</v>
      </c>
      <c r="M92" s="29" t="s">
        <v>68</v>
      </c>
      <c r="N92" s="29" t="s">
        <v>69</v>
      </c>
      <c r="O92" s="29" t="s">
        <v>35</v>
      </c>
      <c r="P92" s="30">
        <v>1970.0</v>
      </c>
      <c r="Q92" s="30" t="s">
        <v>36</v>
      </c>
      <c r="R92" s="30" t="s">
        <v>86</v>
      </c>
      <c r="S92" s="30" t="s">
        <v>36</v>
      </c>
      <c r="T92" s="33">
        <v>3617.15</v>
      </c>
      <c r="U92" s="30">
        <v>0.0</v>
      </c>
      <c r="V92" s="30">
        <v>0.0</v>
      </c>
      <c r="W92" s="35">
        <f t="shared" si="15"/>
        <v>0</v>
      </c>
      <c r="X92" s="36">
        <f t="shared" si="16"/>
        <v>0</v>
      </c>
      <c r="Y92" s="37">
        <f t="shared" si="13"/>
        <v>3617.15</v>
      </c>
      <c r="Z92" s="38">
        <f t="shared" si="14"/>
        <v>0</v>
      </c>
      <c r="AA92" s="34"/>
      <c r="AB92" s="34"/>
      <c r="AC92" s="34"/>
      <c r="AD92" s="34"/>
      <c r="AE92" s="34"/>
      <c r="AF92" s="34"/>
      <c r="AG92" s="34"/>
      <c r="AH92" s="34"/>
    </row>
    <row r="93" ht="26.25" customHeight="1">
      <c r="A93" s="29">
        <v>23.0</v>
      </c>
      <c r="B93" s="30" t="s">
        <v>41</v>
      </c>
      <c r="C93" s="30" t="s">
        <v>42</v>
      </c>
      <c r="D93" s="30" t="s">
        <v>43</v>
      </c>
      <c r="E93" s="31">
        <v>46103.0</v>
      </c>
      <c r="F93" s="31">
        <v>46104.0</v>
      </c>
      <c r="G93" s="32">
        <f t="shared" si="10"/>
        <v>1</v>
      </c>
      <c r="H93" s="30" t="s">
        <v>28</v>
      </c>
      <c r="I93" s="29" t="s">
        <v>67</v>
      </c>
      <c r="J93" s="29" t="s">
        <v>68</v>
      </c>
      <c r="K93" s="29" t="s">
        <v>83</v>
      </c>
      <c r="L93" s="29" t="s">
        <v>32</v>
      </c>
      <c r="M93" s="29" t="s">
        <v>33</v>
      </c>
      <c r="N93" s="29" t="s">
        <v>34</v>
      </c>
      <c r="O93" s="29" t="s">
        <v>35</v>
      </c>
      <c r="P93" s="30">
        <v>1970.0</v>
      </c>
      <c r="Q93" s="30" t="s">
        <v>36</v>
      </c>
      <c r="R93" s="30" t="s">
        <v>86</v>
      </c>
      <c r="S93" s="30" t="s">
        <v>36</v>
      </c>
      <c r="T93" s="33">
        <v>3159.24</v>
      </c>
      <c r="U93" s="30">
        <v>0.0</v>
      </c>
      <c r="V93" s="30">
        <v>0.0</v>
      </c>
      <c r="W93" s="35">
        <f t="shared" si="15"/>
        <v>0</v>
      </c>
      <c r="X93" s="36">
        <f t="shared" si="16"/>
        <v>0</v>
      </c>
      <c r="Y93" s="37">
        <f t="shared" si="13"/>
        <v>3159.24</v>
      </c>
      <c r="Z93" s="38">
        <f t="shared" si="14"/>
        <v>0</v>
      </c>
      <c r="AA93" s="34"/>
      <c r="AB93" s="34"/>
      <c r="AC93" s="34"/>
      <c r="AD93" s="34"/>
      <c r="AE93" s="34"/>
      <c r="AF93" s="34"/>
      <c r="AG93" s="34"/>
      <c r="AH93" s="34"/>
    </row>
    <row r="94" ht="26.25" customHeight="1">
      <c r="A94" s="29">
        <v>23.0</v>
      </c>
      <c r="B94" s="30" t="s">
        <v>51</v>
      </c>
      <c r="C94" s="30" t="s">
        <v>52</v>
      </c>
      <c r="D94" s="30" t="s">
        <v>43</v>
      </c>
      <c r="E94" s="31">
        <v>46103.0</v>
      </c>
      <c r="F94" s="31">
        <v>46104.0</v>
      </c>
      <c r="G94" s="32">
        <f t="shared" si="10"/>
        <v>1</v>
      </c>
      <c r="H94" s="30" t="s">
        <v>28</v>
      </c>
      <c r="I94" s="29" t="s">
        <v>32</v>
      </c>
      <c r="J94" s="29" t="s">
        <v>33</v>
      </c>
      <c r="K94" s="29" t="s">
        <v>34</v>
      </c>
      <c r="L94" s="29" t="s">
        <v>67</v>
      </c>
      <c r="M94" s="29" t="s">
        <v>68</v>
      </c>
      <c r="N94" s="29" t="s">
        <v>69</v>
      </c>
      <c r="O94" s="29" t="s">
        <v>35</v>
      </c>
      <c r="P94" s="30">
        <v>1970.0</v>
      </c>
      <c r="Q94" s="30" t="s">
        <v>36</v>
      </c>
      <c r="R94" s="30" t="s">
        <v>86</v>
      </c>
      <c r="S94" s="30" t="s">
        <v>36</v>
      </c>
      <c r="T94" s="33">
        <v>3617.15</v>
      </c>
      <c r="U94" s="30">
        <v>0.0</v>
      </c>
      <c r="V94" s="30">
        <v>0.0</v>
      </c>
      <c r="W94" s="35">
        <f t="shared" si="15"/>
        <v>0</v>
      </c>
      <c r="X94" s="36">
        <f t="shared" si="16"/>
        <v>0</v>
      </c>
      <c r="Y94" s="37">
        <f t="shared" si="13"/>
        <v>3617.15</v>
      </c>
      <c r="Z94" s="38">
        <f t="shared" si="14"/>
        <v>0</v>
      </c>
      <c r="AA94" s="34"/>
      <c r="AB94" s="34"/>
      <c r="AC94" s="34"/>
      <c r="AD94" s="34"/>
      <c r="AE94" s="34"/>
      <c r="AF94" s="34"/>
      <c r="AG94" s="34"/>
      <c r="AH94" s="34"/>
    </row>
    <row r="95" ht="26.25" customHeight="1">
      <c r="A95" s="29">
        <v>23.0</v>
      </c>
      <c r="B95" s="30" t="s">
        <v>51</v>
      </c>
      <c r="C95" s="30" t="s">
        <v>52</v>
      </c>
      <c r="D95" s="30" t="s">
        <v>43</v>
      </c>
      <c r="E95" s="31">
        <v>46103.0</v>
      </c>
      <c r="F95" s="31">
        <v>46104.0</v>
      </c>
      <c r="G95" s="32">
        <f t="shared" si="10"/>
        <v>1</v>
      </c>
      <c r="H95" s="30" t="s">
        <v>28</v>
      </c>
      <c r="I95" s="29" t="s">
        <v>67</v>
      </c>
      <c r="J95" s="29" t="s">
        <v>68</v>
      </c>
      <c r="K95" s="29" t="s">
        <v>83</v>
      </c>
      <c r="L95" s="29" t="s">
        <v>32</v>
      </c>
      <c r="M95" s="29" t="s">
        <v>33</v>
      </c>
      <c r="N95" s="29" t="s">
        <v>34</v>
      </c>
      <c r="O95" s="29" t="s">
        <v>35</v>
      </c>
      <c r="P95" s="30">
        <v>1970.0</v>
      </c>
      <c r="Q95" s="30" t="s">
        <v>36</v>
      </c>
      <c r="R95" s="30" t="s">
        <v>86</v>
      </c>
      <c r="S95" s="30" t="s">
        <v>36</v>
      </c>
      <c r="T95" s="33">
        <v>3159.24</v>
      </c>
      <c r="U95" s="30">
        <v>0.0</v>
      </c>
      <c r="V95" s="30">
        <v>0.0</v>
      </c>
      <c r="W95" s="35">
        <f t="shared" si="15"/>
        <v>0</v>
      </c>
      <c r="X95" s="36">
        <f t="shared" si="16"/>
        <v>0</v>
      </c>
      <c r="Y95" s="37">
        <f t="shared" si="13"/>
        <v>3159.24</v>
      </c>
      <c r="Z95" s="38">
        <f t="shared" si="14"/>
        <v>0</v>
      </c>
      <c r="AA95" s="34"/>
      <c r="AB95" s="34"/>
      <c r="AC95" s="34"/>
      <c r="AD95" s="34"/>
      <c r="AE95" s="34"/>
      <c r="AF95" s="34"/>
      <c r="AG95" s="34"/>
      <c r="AH95" s="34"/>
    </row>
    <row r="96" ht="26.25" customHeight="1">
      <c r="A96" s="29">
        <v>23.0</v>
      </c>
      <c r="B96" s="30" t="s">
        <v>49</v>
      </c>
      <c r="C96" s="30" t="s">
        <v>50</v>
      </c>
      <c r="D96" s="30" t="s">
        <v>43</v>
      </c>
      <c r="E96" s="31">
        <v>46103.0</v>
      </c>
      <c r="F96" s="31">
        <v>46104.0</v>
      </c>
      <c r="G96" s="32">
        <f t="shared" si="10"/>
        <v>1</v>
      </c>
      <c r="H96" s="30" t="s">
        <v>28</v>
      </c>
      <c r="I96" s="29" t="s">
        <v>32</v>
      </c>
      <c r="J96" s="29" t="s">
        <v>33</v>
      </c>
      <c r="K96" s="29" t="s">
        <v>34</v>
      </c>
      <c r="L96" s="29" t="s">
        <v>67</v>
      </c>
      <c r="M96" s="29" t="s">
        <v>68</v>
      </c>
      <c r="N96" s="29" t="s">
        <v>69</v>
      </c>
      <c r="O96" s="29" t="s">
        <v>35</v>
      </c>
      <c r="P96" s="30">
        <v>1970.0</v>
      </c>
      <c r="Q96" s="30" t="s">
        <v>36</v>
      </c>
      <c r="R96" s="30" t="s">
        <v>86</v>
      </c>
      <c r="S96" s="30" t="s">
        <v>36</v>
      </c>
      <c r="T96" s="33">
        <v>3617.15</v>
      </c>
      <c r="U96" s="30">
        <v>0.0</v>
      </c>
      <c r="V96" s="30">
        <v>0.0</v>
      </c>
      <c r="W96" s="35">
        <f t="shared" si="15"/>
        <v>0</v>
      </c>
      <c r="X96" s="36">
        <f t="shared" si="16"/>
        <v>0</v>
      </c>
      <c r="Y96" s="37">
        <f t="shared" si="13"/>
        <v>3617.15</v>
      </c>
      <c r="Z96" s="38">
        <f t="shared" si="14"/>
        <v>0</v>
      </c>
      <c r="AA96" s="34"/>
      <c r="AB96" s="34"/>
      <c r="AC96" s="34"/>
      <c r="AD96" s="34"/>
      <c r="AE96" s="34"/>
      <c r="AF96" s="34"/>
      <c r="AG96" s="34"/>
      <c r="AH96" s="34"/>
    </row>
    <row r="97" ht="26.25" customHeight="1">
      <c r="A97" s="29">
        <v>23.0</v>
      </c>
      <c r="B97" s="30" t="s">
        <v>49</v>
      </c>
      <c r="C97" s="30" t="s">
        <v>50</v>
      </c>
      <c r="D97" s="30" t="s">
        <v>43</v>
      </c>
      <c r="E97" s="31">
        <v>46103.0</v>
      </c>
      <c r="F97" s="31">
        <v>46104.0</v>
      </c>
      <c r="G97" s="32">
        <f t="shared" si="10"/>
        <v>1</v>
      </c>
      <c r="H97" s="30" t="s">
        <v>28</v>
      </c>
      <c r="I97" s="29" t="s">
        <v>67</v>
      </c>
      <c r="J97" s="29" t="s">
        <v>68</v>
      </c>
      <c r="K97" s="29" t="s">
        <v>83</v>
      </c>
      <c r="L97" s="29" t="s">
        <v>32</v>
      </c>
      <c r="M97" s="29" t="s">
        <v>33</v>
      </c>
      <c r="N97" s="29" t="s">
        <v>34</v>
      </c>
      <c r="O97" s="29" t="s">
        <v>35</v>
      </c>
      <c r="P97" s="30">
        <v>1970.0</v>
      </c>
      <c r="Q97" s="30" t="s">
        <v>36</v>
      </c>
      <c r="R97" s="30" t="s">
        <v>86</v>
      </c>
      <c r="S97" s="30" t="s">
        <v>36</v>
      </c>
      <c r="T97" s="33">
        <v>3159.24</v>
      </c>
      <c r="U97" s="30">
        <v>0.0</v>
      </c>
      <c r="V97" s="30">
        <v>0.0</v>
      </c>
      <c r="W97" s="35">
        <f t="shared" si="15"/>
        <v>0</v>
      </c>
      <c r="X97" s="36">
        <f t="shared" si="16"/>
        <v>0</v>
      </c>
      <c r="Y97" s="37">
        <f t="shared" si="13"/>
        <v>3159.24</v>
      </c>
      <c r="Z97" s="38">
        <f t="shared" si="14"/>
        <v>0</v>
      </c>
      <c r="AA97" s="34"/>
      <c r="AB97" s="34"/>
      <c r="AC97" s="34"/>
      <c r="AD97" s="34"/>
      <c r="AE97" s="34"/>
      <c r="AF97" s="34"/>
      <c r="AG97" s="34"/>
      <c r="AH97" s="34"/>
    </row>
    <row r="98" ht="26.25" customHeight="1">
      <c r="A98" s="29">
        <v>24.0</v>
      </c>
      <c r="B98" s="30" t="s">
        <v>51</v>
      </c>
      <c r="C98" s="30" t="s">
        <v>52</v>
      </c>
      <c r="D98" s="30" t="s">
        <v>43</v>
      </c>
      <c r="E98" s="31">
        <v>46099.0</v>
      </c>
      <c r="F98" s="31">
        <v>46101.0</v>
      </c>
      <c r="G98" s="32">
        <f t="shared" si="10"/>
        <v>2</v>
      </c>
      <c r="H98" s="30" t="s">
        <v>28</v>
      </c>
      <c r="I98" s="29" t="s">
        <v>29</v>
      </c>
      <c r="J98" s="29" t="s">
        <v>30</v>
      </c>
      <c r="K98" s="29" t="s">
        <v>31</v>
      </c>
      <c r="L98" s="29" t="s">
        <v>32</v>
      </c>
      <c r="M98" s="29" t="s">
        <v>33</v>
      </c>
      <c r="N98" s="29" t="s">
        <v>34</v>
      </c>
      <c r="O98" s="29" t="s">
        <v>39</v>
      </c>
      <c r="P98" s="30">
        <v>1700.0</v>
      </c>
      <c r="Q98" s="30" t="s">
        <v>36</v>
      </c>
      <c r="R98" s="30" t="s">
        <v>86</v>
      </c>
      <c r="S98" s="30" t="s">
        <v>36</v>
      </c>
      <c r="T98" s="33">
        <v>2793.77</v>
      </c>
      <c r="U98" s="30">
        <v>0.0</v>
      </c>
      <c r="V98" s="30">
        <v>0.0</v>
      </c>
      <c r="W98" s="35">
        <f t="shared" si="15"/>
        <v>0</v>
      </c>
      <c r="X98" s="36">
        <f t="shared" si="16"/>
        <v>0</v>
      </c>
      <c r="Y98" s="37">
        <f t="shared" si="13"/>
        <v>2793.77</v>
      </c>
      <c r="Z98" s="38">
        <f t="shared" si="14"/>
        <v>0</v>
      </c>
      <c r="AA98" s="53"/>
      <c r="AB98" s="53"/>
      <c r="AC98" s="53"/>
      <c r="AD98" s="53"/>
      <c r="AE98" s="53"/>
      <c r="AF98" s="53"/>
      <c r="AG98" s="53"/>
      <c r="AH98" s="53"/>
    </row>
    <row r="99" ht="26.25" customHeight="1">
      <c r="A99" s="29">
        <v>24.0</v>
      </c>
      <c r="B99" s="30" t="s">
        <v>51</v>
      </c>
      <c r="C99" s="30" t="s">
        <v>52</v>
      </c>
      <c r="D99" s="30" t="s">
        <v>43</v>
      </c>
      <c r="E99" s="31">
        <v>46107.0</v>
      </c>
      <c r="F99" s="31">
        <v>46108.0</v>
      </c>
      <c r="G99" s="32">
        <f t="shared" si="10"/>
        <v>1</v>
      </c>
      <c r="H99" s="30" t="s">
        <v>28</v>
      </c>
      <c r="I99" s="29" t="s">
        <v>32</v>
      </c>
      <c r="J99" s="29" t="s">
        <v>33</v>
      </c>
      <c r="K99" s="29" t="s">
        <v>34</v>
      </c>
      <c r="L99" s="29" t="s">
        <v>29</v>
      </c>
      <c r="M99" s="29" t="s">
        <v>30</v>
      </c>
      <c r="N99" s="29" t="s">
        <v>31</v>
      </c>
      <c r="O99" s="29" t="s">
        <v>39</v>
      </c>
      <c r="P99" s="30">
        <v>1700.0</v>
      </c>
      <c r="Q99" s="30" t="s">
        <v>36</v>
      </c>
      <c r="R99" s="30" t="s">
        <v>86</v>
      </c>
      <c r="S99" s="30" t="s">
        <v>36</v>
      </c>
      <c r="T99" s="33">
        <v>1724.99</v>
      </c>
      <c r="U99" s="30">
        <v>0.0</v>
      </c>
      <c r="V99" s="30">
        <v>0.0</v>
      </c>
      <c r="W99" s="35">
        <f t="shared" si="15"/>
        <v>0</v>
      </c>
      <c r="X99" s="36">
        <f t="shared" si="16"/>
        <v>0</v>
      </c>
      <c r="Y99" s="37">
        <f t="shared" si="13"/>
        <v>1724.99</v>
      </c>
      <c r="Z99" s="38">
        <f t="shared" si="14"/>
        <v>0</v>
      </c>
      <c r="AA99" s="53"/>
      <c r="AB99" s="53"/>
      <c r="AC99" s="53"/>
      <c r="AD99" s="53"/>
      <c r="AE99" s="53"/>
      <c r="AF99" s="53"/>
      <c r="AG99" s="53"/>
      <c r="AH99" s="53"/>
    </row>
    <row r="100" ht="26.25" customHeight="1">
      <c r="A100" s="29">
        <v>24.0</v>
      </c>
      <c r="B100" s="30" t="s">
        <v>87</v>
      </c>
      <c r="C100" s="30" t="s">
        <v>26</v>
      </c>
      <c r="D100" s="30" t="s">
        <v>43</v>
      </c>
      <c r="E100" s="31">
        <v>46099.0</v>
      </c>
      <c r="F100" s="31">
        <v>46101.0</v>
      </c>
      <c r="G100" s="32">
        <f t="shared" si="10"/>
        <v>2</v>
      </c>
      <c r="H100" s="30" t="s">
        <v>28</v>
      </c>
      <c r="I100" s="29" t="s">
        <v>29</v>
      </c>
      <c r="J100" s="29" t="s">
        <v>30</v>
      </c>
      <c r="K100" s="29" t="s">
        <v>31</v>
      </c>
      <c r="L100" s="29" t="s">
        <v>32</v>
      </c>
      <c r="M100" s="29" t="s">
        <v>33</v>
      </c>
      <c r="N100" s="29" t="s">
        <v>34</v>
      </c>
      <c r="O100" s="29" t="s">
        <v>39</v>
      </c>
      <c r="P100" s="30">
        <v>1700.0</v>
      </c>
      <c r="Q100" s="30" t="s">
        <v>36</v>
      </c>
      <c r="R100" s="30" t="s">
        <v>86</v>
      </c>
      <c r="S100" s="30" t="s">
        <v>36</v>
      </c>
      <c r="T100" s="33">
        <v>2793.77</v>
      </c>
      <c r="U100" s="30">
        <v>0.0</v>
      </c>
      <c r="V100" s="30">
        <v>0.0</v>
      </c>
      <c r="W100" s="35">
        <f t="shared" si="15"/>
        <v>0</v>
      </c>
      <c r="X100" s="36">
        <f t="shared" si="16"/>
        <v>0</v>
      </c>
      <c r="Y100" s="37">
        <f t="shared" si="13"/>
        <v>2793.77</v>
      </c>
      <c r="Z100" s="38">
        <f t="shared" si="14"/>
        <v>0</v>
      </c>
      <c r="AA100" s="53"/>
      <c r="AB100" s="53"/>
      <c r="AC100" s="53"/>
      <c r="AD100" s="53"/>
      <c r="AE100" s="53"/>
      <c r="AF100" s="53"/>
      <c r="AG100" s="53"/>
      <c r="AH100" s="53"/>
    </row>
    <row r="101" ht="26.25" customHeight="1">
      <c r="A101" s="29">
        <v>24.0</v>
      </c>
      <c r="B101" s="30" t="s">
        <v>87</v>
      </c>
      <c r="C101" s="30" t="s">
        <v>26</v>
      </c>
      <c r="D101" s="30" t="s">
        <v>43</v>
      </c>
      <c r="E101" s="31">
        <v>46107.0</v>
      </c>
      <c r="F101" s="31">
        <v>46108.0</v>
      </c>
      <c r="G101" s="32">
        <f t="shared" si="10"/>
        <v>1</v>
      </c>
      <c r="H101" s="30" t="s">
        <v>28</v>
      </c>
      <c r="I101" s="29" t="s">
        <v>32</v>
      </c>
      <c r="J101" s="29" t="s">
        <v>33</v>
      </c>
      <c r="K101" s="29" t="s">
        <v>34</v>
      </c>
      <c r="L101" s="29" t="s">
        <v>29</v>
      </c>
      <c r="M101" s="29" t="s">
        <v>30</v>
      </c>
      <c r="N101" s="29" t="s">
        <v>31</v>
      </c>
      <c r="O101" s="29" t="s">
        <v>39</v>
      </c>
      <c r="P101" s="30">
        <v>1700.0</v>
      </c>
      <c r="Q101" s="30" t="s">
        <v>36</v>
      </c>
      <c r="R101" s="30" t="s">
        <v>86</v>
      </c>
      <c r="S101" s="30" t="s">
        <v>36</v>
      </c>
      <c r="T101" s="33">
        <v>1724.99</v>
      </c>
      <c r="U101" s="30">
        <v>0.0</v>
      </c>
      <c r="V101" s="30">
        <v>0.0</v>
      </c>
      <c r="W101" s="35">
        <f t="shared" si="15"/>
        <v>0</v>
      </c>
      <c r="X101" s="36">
        <f t="shared" si="16"/>
        <v>0</v>
      </c>
      <c r="Y101" s="37">
        <f t="shared" si="13"/>
        <v>1724.99</v>
      </c>
      <c r="Z101" s="38">
        <f t="shared" si="14"/>
        <v>0</v>
      </c>
      <c r="AA101" s="53"/>
      <c r="AB101" s="53"/>
      <c r="AC101" s="53"/>
      <c r="AD101" s="53"/>
      <c r="AE101" s="53"/>
      <c r="AF101" s="53"/>
      <c r="AG101" s="53"/>
      <c r="AH101" s="53"/>
    </row>
  </sheetData>
  <autoFilter ref="$A$1:$Z$101"/>
  <dataValidations>
    <dataValidation type="list" allowBlank="1" showErrorMessage="1" sqref="D19:D39">
      <formula1>"Defina o motivo...,AULÃO,FORMAÇÃO,RELACIONAMENTO INSTITUCIONAL,PROSPECÇÃO,APRESENTAÇÕES,VISITA TÉCNICA,REUNIÂO DIRETORIA"</formula1>
    </dataValidation>
    <dataValidation type="custom" allowBlank="1" showDropDown="1" showErrorMessage="1" sqref="E32:F101">
      <formula1>OR(NOT(ISERROR(DATEVALUE(E32))), AND(ISNUMBER(E32), LEFT(CELL("format", E32))="D"))</formula1>
    </dataValidation>
    <dataValidation type="list" allowBlank="1" showErrorMessage="1" sqref="D2:D18 D40:D101">
      <formula1>"Defina o motivo...,AULÃO,FORMAÇÃO,RELACIONAMENTO INSTITUCIONAL,PROSPECÇÃO,APRESENTAÇÕES,VISITA TÉCNICA,COMERCIAL"</formula1>
    </dataValidation>
    <dataValidation type="list" allowBlank="1" showErrorMessage="1" sqref="H2:H101">
      <formula1>"Escolha uma opção...,TERRESTRE,AÉREO"</formula1>
    </dataValidation>
    <dataValidation type="list" allowBlank="1" showErrorMessage="1" sqref="C2:C101">
      <formula1>"Defina o setor...,DIREÇÃO GERAL,OPERAÇÕES,INSTITUCIONAL,PEDAGÓGICO"</formula1>
    </dataValidation>
    <dataValidation type="list" allowBlank="1" showErrorMessage="1" sqref="Q2:Q101 S2:S101">
      <formula1>"Escolha uma opção...,SIM,NÃO"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40.63"/>
    <col customWidth="1" min="3" max="3" width="18.25"/>
    <col customWidth="1" min="4" max="4" width="16.75"/>
  </cols>
  <sheetData>
    <row r="1" ht="31.5" customHeight="1">
      <c r="A1" s="54" t="s">
        <v>0</v>
      </c>
      <c r="B1" s="54" t="s">
        <v>1</v>
      </c>
      <c r="C1" s="54" t="s">
        <v>5</v>
      </c>
      <c r="D1" s="54" t="s">
        <v>88</v>
      </c>
    </row>
    <row r="2">
      <c r="A2" s="55" t="str">
        <f>IFERROR(__xludf.DUMMYFUNCTION("if( isna(filter(TRECHOS_LONGOS!A:A, DATEDIF(TODAY(), TRECHOS_LONGOS!$F:$F, ""D"") &lt;= 1)), """", filter(TRECHOS_LONGOS!A:A, DATEDIF(TODAY(), TRECHOS_LONGOS!$F:$F, ""D"") &lt;= 1))"),"")</f>
        <v/>
      </c>
      <c r="B2" s="55" t="str">
        <f>IFERROR(__xludf.DUMMYFUNCTION("if( isna(filter(TRECHOS_LONGOS!B:B, DATEDIF(TODAY(), TRECHOS_LONGOS!$F:$F, ""D"") &lt;= 1)), """", filter(TRECHOS_LONGOS!B:B, DATEDIF(TODAY(), TRECHOS_LONGOS!$F:$F, ""D"") &lt;= 1))"),"")</f>
        <v/>
      </c>
      <c r="C2" s="55" t="str">
        <f>IFERROR(__xludf.DUMMYFUNCTION("if( isna(filter(TRECHOS_LONGOS!F:F, DATEDIF(TODAY(), TRECHOS_LONGOS!$F:$F, ""D"") &lt;= 1)), """", filter(TRECHOS_LONGOS!F:F, DATEDIF(TODAY(), TRECHOS_LONGOS!$F:$F, ""D"") &lt;= 1))"),"")</f>
        <v/>
      </c>
      <c r="D2" s="55" t="str">
        <f>IFERROR(__xludf.DUMMYFUNCTION("if( isna(filter(DATEDIF(TODAY(), TRECHOS_LONGOS!$F:$F, ""D""), DATEDIF(TODAY(), TRECHOS_LONGOS!$F:$F, ""D"") &lt;= 1)), """", filter(DATEDIF(TODAY(), TRECHOS_LONGOS!$F:$F, ""D""), DATEDIF(TODAY(), TRECHOS_LONGOS!$F:$F, ""D"") &lt;= 1))"),"")</f>
        <v/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25"/>
    <col customWidth="1" min="2" max="2" width="34.38"/>
    <col customWidth="1" min="3" max="3" width="34.5"/>
    <col customWidth="1" min="4" max="4" width="15.25"/>
    <col customWidth="1" min="5" max="5" width="20.13"/>
    <col customWidth="1" min="6" max="6" width="17.5"/>
    <col customWidth="1" min="7" max="7" width="16.75"/>
    <col customWidth="1" min="8" max="8" width="15.25"/>
    <col customWidth="1" min="9" max="10" width="17.13"/>
    <col customWidth="1" min="11" max="11" width="17.75"/>
    <col customWidth="1" min="12" max="12" width="18.0"/>
  </cols>
  <sheetData>
    <row r="1" ht="36.75" customHeight="1">
      <c r="A1" s="56" t="s">
        <v>89</v>
      </c>
      <c r="B1" s="56" t="s">
        <v>1</v>
      </c>
      <c r="C1" s="56" t="s">
        <v>90</v>
      </c>
      <c r="D1" s="57" t="s">
        <v>4</v>
      </c>
      <c r="E1" s="58" t="s">
        <v>91</v>
      </c>
      <c r="F1" s="58" t="s">
        <v>92</v>
      </c>
      <c r="G1" s="57" t="s">
        <v>93</v>
      </c>
      <c r="H1" s="59" t="s">
        <v>94</v>
      </c>
      <c r="I1" s="59" t="s">
        <v>95</v>
      </c>
      <c r="J1" s="59" t="s">
        <v>96</v>
      </c>
      <c r="K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</row>
    <row r="2" ht="49.5" customHeight="1">
      <c r="A2" s="61">
        <v>1.0</v>
      </c>
      <c r="B2" s="62" t="s">
        <v>25</v>
      </c>
      <c r="C2" s="62" t="s">
        <v>97</v>
      </c>
      <c r="D2" s="63">
        <v>46014.0</v>
      </c>
      <c r="E2" s="64">
        <v>46026.0</v>
      </c>
      <c r="F2" s="64">
        <v>46029.0</v>
      </c>
      <c r="G2" s="65">
        <f t="shared" ref="G2:G1000" si="1">if(OR(E2 = "", F2 = ""), "", IF(datedif(E2,F2,"D") = 0, 1, datedif(E2,F2,"D")))</f>
        <v>3</v>
      </c>
      <c r="H2" s="66" t="s">
        <v>98</v>
      </c>
      <c r="I2" s="67">
        <f>IFERROR(__xludf.DUMMYFUNCTION("if($H2="""", """", AVERAGE(split($H2, "";"")))"),468.0733333333333)</f>
        <v>468.0733333</v>
      </c>
      <c r="J2" s="67">
        <f>IFERROR(__xludf.DUMMYFUNCTION("if($H2="""", """", SUM(split($H2, "";"")))"),1404.22)</f>
        <v>1404.22</v>
      </c>
      <c r="K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</row>
    <row r="3" ht="26.25" customHeight="1">
      <c r="A3" s="61">
        <v>2.0</v>
      </c>
      <c r="B3" s="62" t="s">
        <v>38</v>
      </c>
      <c r="C3" s="62" t="s">
        <v>99</v>
      </c>
      <c r="D3" s="63">
        <v>46014.0</v>
      </c>
      <c r="E3" s="64">
        <v>46029.0</v>
      </c>
      <c r="F3" s="64">
        <v>46031.0</v>
      </c>
      <c r="G3" s="65">
        <f t="shared" si="1"/>
        <v>2</v>
      </c>
      <c r="H3" s="66" t="s">
        <v>100</v>
      </c>
      <c r="I3" s="67">
        <f>IFERROR(__xludf.DUMMYFUNCTION("if($H3="""", """", AVERAGE(split($H3, "";"")))"),565.88)</f>
        <v>565.88</v>
      </c>
      <c r="J3" s="67">
        <f>IFERROR(__xludf.DUMMYFUNCTION("if(H3="""", """", SUM(split(H3, "";"")))"),1131.76)</f>
        <v>1131.76</v>
      </c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</row>
    <row r="4" ht="49.5" customHeight="1">
      <c r="A4" s="61">
        <v>3.0</v>
      </c>
      <c r="B4" s="62" t="s">
        <v>40</v>
      </c>
      <c r="C4" s="62" t="s">
        <v>97</v>
      </c>
      <c r="D4" s="63">
        <v>46014.0</v>
      </c>
      <c r="E4" s="64">
        <v>46033.0</v>
      </c>
      <c r="F4" s="64">
        <v>46036.0</v>
      </c>
      <c r="G4" s="65">
        <f t="shared" si="1"/>
        <v>3</v>
      </c>
      <c r="H4" s="66" t="s">
        <v>101</v>
      </c>
      <c r="I4" s="67">
        <f>IFERROR(__xludf.DUMMYFUNCTION("if($H4="""", """", AVERAGE(split($H4, "";"")))"),556.3266666666667)</f>
        <v>556.3266667</v>
      </c>
      <c r="J4" s="67">
        <f>IFERROR(__xludf.DUMMYFUNCTION("if(H4="""", """", SUM(split(H4, "";"")))"),1668.98)</f>
        <v>1668.98</v>
      </c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</row>
    <row r="5" ht="26.25" customHeight="1">
      <c r="A5" s="61">
        <v>4.0</v>
      </c>
      <c r="B5" s="62" t="s">
        <v>102</v>
      </c>
      <c r="C5" s="62" t="s">
        <v>103</v>
      </c>
      <c r="D5" s="69">
        <v>46031.0</v>
      </c>
      <c r="E5" s="64">
        <v>46033.0</v>
      </c>
      <c r="F5" s="64">
        <v>46035.0</v>
      </c>
      <c r="G5" s="65">
        <f t="shared" si="1"/>
        <v>2</v>
      </c>
      <c r="H5" s="66" t="s">
        <v>104</v>
      </c>
      <c r="I5" s="67">
        <f>IFERROR(__xludf.DUMMYFUNCTION("if($H5="""", """", AVERAGE(split($H5, "";"")))"),445.79)</f>
        <v>445.79</v>
      </c>
      <c r="J5" s="67">
        <f>IFERROR(__xludf.DUMMYFUNCTION("if(H5="""", """", SUM(split(H5, "";"")))"),891.58)</f>
        <v>891.58</v>
      </c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</row>
    <row r="6" ht="26.25" customHeight="1">
      <c r="A6" s="61">
        <v>4.0</v>
      </c>
      <c r="B6" s="62" t="s">
        <v>49</v>
      </c>
      <c r="C6" s="62" t="s">
        <v>103</v>
      </c>
      <c r="D6" s="69">
        <v>46032.0</v>
      </c>
      <c r="E6" s="64">
        <v>46033.0</v>
      </c>
      <c r="F6" s="64">
        <v>46035.0</v>
      </c>
      <c r="G6" s="65">
        <f t="shared" si="1"/>
        <v>2</v>
      </c>
      <c r="H6" s="66" t="s">
        <v>105</v>
      </c>
      <c r="I6" s="67">
        <f>IFERROR(__xludf.DUMMYFUNCTION("if($H6="""", """", AVERAGE(split($H6, "";"")))"),477.0)</f>
        <v>477</v>
      </c>
      <c r="J6" s="67">
        <f>IFERROR(__xludf.DUMMYFUNCTION("if(H6="""", """", SUM(split(H6, "";"")))"),954.0)</f>
        <v>954</v>
      </c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</row>
    <row r="7" ht="26.25" customHeight="1">
      <c r="A7" s="61">
        <v>4.0</v>
      </c>
      <c r="B7" s="62" t="s">
        <v>102</v>
      </c>
      <c r="C7" s="62" t="s">
        <v>103</v>
      </c>
      <c r="D7" s="69">
        <v>46035.0</v>
      </c>
      <c r="E7" s="64">
        <v>46035.0</v>
      </c>
      <c r="F7" s="64">
        <v>46035.0</v>
      </c>
      <c r="G7" s="65">
        <f t="shared" si="1"/>
        <v>1</v>
      </c>
      <c r="H7" s="66">
        <v>385.87</v>
      </c>
      <c r="I7" s="67">
        <f>IFERROR(__xludf.DUMMYFUNCTION("if($H7="""", """", AVERAGE(split($H7, "";"")))"),385.87)</f>
        <v>385.87</v>
      </c>
      <c r="J7" s="67">
        <f>IFERROR(__xludf.DUMMYFUNCTION("if(H7="""", """", SUM(split(H7, "";"")))"),385.87)</f>
        <v>385.87</v>
      </c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</row>
    <row r="8" ht="26.25" customHeight="1">
      <c r="A8" s="61">
        <v>4.0</v>
      </c>
      <c r="B8" s="62" t="s">
        <v>49</v>
      </c>
      <c r="C8" s="62" t="s">
        <v>103</v>
      </c>
      <c r="D8" s="69">
        <v>46035.0</v>
      </c>
      <c r="E8" s="64">
        <v>46035.0</v>
      </c>
      <c r="F8" s="64">
        <v>46035.0</v>
      </c>
      <c r="G8" s="65">
        <f t="shared" si="1"/>
        <v>1</v>
      </c>
      <c r="H8" s="66">
        <v>385.87</v>
      </c>
      <c r="I8" s="67">
        <f>IFERROR(__xludf.DUMMYFUNCTION("if($H8="""", """", AVERAGE(split($H8, "";"")))"),385.87)</f>
        <v>385.87</v>
      </c>
      <c r="J8" s="67">
        <f>IFERROR(__xludf.DUMMYFUNCTION("if(H8="""", """", SUM(split(H8, "";"")))"),385.87)</f>
        <v>385.87</v>
      </c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</row>
    <row r="9" ht="26.25" customHeight="1">
      <c r="A9" s="61">
        <v>7.0</v>
      </c>
      <c r="B9" s="62" t="s">
        <v>59</v>
      </c>
      <c r="C9" s="62" t="s">
        <v>106</v>
      </c>
      <c r="D9" s="69">
        <v>46037.0</v>
      </c>
      <c r="E9" s="64">
        <v>46037.0</v>
      </c>
      <c r="F9" s="64">
        <v>46037.0</v>
      </c>
      <c r="G9" s="65">
        <f t="shared" si="1"/>
        <v>1</v>
      </c>
      <c r="H9" s="66">
        <v>456.0</v>
      </c>
      <c r="I9" s="67">
        <f>IFERROR(__xludf.DUMMYFUNCTION("if($H9="""", """", AVERAGE(split($H9, "";"")))"),456.0)</f>
        <v>456</v>
      </c>
      <c r="J9" s="67">
        <f>IFERROR(__xludf.DUMMYFUNCTION("if(H9="""", """", SUM(split(H9, "";"")))"),456.0)</f>
        <v>456</v>
      </c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</row>
    <row r="10" ht="26.25" customHeight="1">
      <c r="A10" s="61">
        <v>11.0</v>
      </c>
      <c r="B10" s="62" t="s">
        <v>59</v>
      </c>
      <c r="C10" s="62" t="s">
        <v>107</v>
      </c>
      <c r="D10" s="69">
        <v>46075.0</v>
      </c>
      <c r="E10" s="64">
        <v>46076.0</v>
      </c>
      <c r="F10" s="64">
        <v>46078.0</v>
      </c>
      <c r="G10" s="65">
        <f t="shared" si="1"/>
        <v>2</v>
      </c>
      <c r="H10" s="66" t="s">
        <v>108</v>
      </c>
      <c r="I10" s="67">
        <f>IFERROR(__xludf.DUMMYFUNCTION("if($H10="""", """", AVERAGE(split($H10, "";"")))"),607.25)</f>
        <v>607.25</v>
      </c>
      <c r="J10" s="67">
        <f>IFERROR(__xludf.DUMMYFUNCTION("if(H10="""", """", SUM(split(H10, "";"")))"),1214.5)</f>
        <v>1214.5</v>
      </c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</row>
    <row r="11" ht="26.25" customHeight="1">
      <c r="A11" s="61">
        <v>11.0</v>
      </c>
      <c r="B11" s="62" t="s">
        <v>49</v>
      </c>
      <c r="C11" s="62" t="s">
        <v>107</v>
      </c>
      <c r="D11" s="69">
        <v>46075.0</v>
      </c>
      <c r="E11" s="64">
        <v>46076.0</v>
      </c>
      <c r="F11" s="64">
        <v>46078.0</v>
      </c>
      <c r="G11" s="65">
        <f t="shared" si="1"/>
        <v>2</v>
      </c>
      <c r="H11" s="70" t="s">
        <v>108</v>
      </c>
      <c r="I11" s="67">
        <f>IFERROR(__xludf.DUMMYFUNCTION("if($H11="""", """", AVERAGE(split($H11, "";"")))"),607.25)</f>
        <v>607.25</v>
      </c>
      <c r="J11" s="67">
        <f>IFERROR(__xludf.DUMMYFUNCTION("if(H11="""", """", SUM(split(H11, "";"")))"),1214.5)</f>
        <v>1214.5</v>
      </c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</row>
    <row r="12" ht="26.25" customHeight="1">
      <c r="A12" s="61">
        <v>11.0</v>
      </c>
      <c r="B12" s="62" t="s">
        <v>102</v>
      </c>
      <c r="C12" s="62" t="s">
        <v>107</v>
      </c>
      <c r="D12" s="69">
        <v>46075.0</v>
      </c>
      <c r="E12" s="64">
        <v>46076.0</v>
      </c>
      <c r="F12" s="64">
        <v>46078.0</v>
      </c>
      <c r="G12" s="65">
        <f t="shared" si="1"/>
        <v>2</v>
      </c>
      <c r="H12" s="70" t="s">
        <v>108</v>
      </c>
      <c r="I12" s="67">
        <f>IFERROR(__xludf.DUMMYFUNCTION("if($H12="""", """", AVERAGE(split($H12, "";"")))"),607.25)</f>
        <v>607.25</v>
      </c>
      <c r="J12" s="67">
        <f>IFERROR(__xludf.DUMMYFUNCTION("if(H12="""", """", SUM(split(H12, "";"")))"),1214.5)</f>
        <v>1214.5</v>
      </c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</row>
    <row r="13" ht="41.25" customHeight="1">
      <c r="A13" s="61">
        <v>12.0</v>
      </c>
      <c r="B13" s="62" t="s">
        <v>25</v>
      </c>
      <c r="C13" s="62" t="s">
        <v>109</v>
      </c>
      <c r="D13" s="69">
        <v>46076.0</v>
      </c>
      <c r="E13" s="64">
        <v>46082.0</v>
      </c>
      <c r="F13" s="64">
        <v>46085.0</v>
      </c>
      <c r="G13" s="65">
        <f t="shared" si="1"/>
        <v>3</v>
      </c>
      <c r="H13" s="70" t="s">
        <v>110</v>
      </c>
      <c r="I13" s="67">
        <f>IFERROR(__xludf.DUMMYFUNCTION("if($H13="""", """", AVERAGE(split($H13, "";"")))"),337.83)</f>
        <v>337.83</v>
      </c>
      <c r="J13" s="67">
        <f>IFERROR(__xludf.DUMMYFUNCTION("if(H13="""", """", SUM(split(H13, "";"")))"),1013.49)</f>
        <v>1013.49</v>
      </c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</row>
    <row r="14" ht="26.25" customHeight="1">
      <c r="A14" s="61">
        <v>13.0</v>
      </c>
      <c r="B14" s="62" t="s">
        <v>102</v>
      </c>
      <c r="C14" s="62" t="s">
        <v>107</v>
      </c>
      <c r="D14" s="69">
        <v>46081.0</v>
      </c>
      <c r="E14" s="64">
        <v>46083.0</v>
      </c>
      <c r="F14" s="64">
        <v>46084.0</v>
      </c>
      <c r="G14" s="65">
        <f t="shared" si="1"/>
        <v>1</v>
      </c>
      <c r="H14" s="70">
        <v>955.5</v>
      </c>
      <c r="I14" s="67">
        <f>IFERROR(__xludf.DUMMYFUNCTION("if($H14="""", """", AVERAGE(split($H14, "";"")))"),955.5)</f>
        <v>955.5</v>
      </c>
      <c r="J14" s="67">
        <f>IFERROR(__xludf.DUMMYFUNCTION("if(H14="""", """", SUM(split(H14, "";"")))"),955.5)</f>
        <v>955.5</v>
      </c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</row>
    <row r="15" ht="26.25" customHeight="1">
      <c r="A15" s="61">
        <v>13.0</v>
      </c>
      <c r="B15" s="62" t="s">
        <v>102</v>
      </c>
      <c r="C15" s="62" t="s">
        <v>107</v>
      </c>
      <c r="D15" s="69">
        <v>46082.0</v>
      </c>
      <c r="E15" s="64">
        <v>46084.0</v>
      </c>
      <c r="F15" s="64">
        <v>46085.0</v>
      </c>
      <c r="G15" s="65">
        <f t="shared" si="1"/>
        <v>1</v>
      </c>
      <c r="H15" s="70">
        <v>1190.11</v>
      </c>
      <c r="I15" s="67">
        <f>IFERROR(__xludf.DUMMYFUNCTION("if($H15="""", """", AVERAGE(split($H15, "";"")))"),1190.11)</f>
        <v>1190.11</v>
      </c>
      <c r="J15" s="67">
        <f>IFERROR(__xludf.DUMMYFUNCTION("if(H15="""", """", SUM(split(H15, "";"")))"),1190.11)</f>
        <v>1190.11</v>
      </c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</row>
    <row r="16" ht="26.25" customHeight="1">
      <c r="A16" s="61">
        <v>14.0</v>
      </c>
      <c r="B16" s="62" t="s">
        <v>71</v>
      </c>
      <c r="C16" s="62" t="s">
        <v>111</v>
      </c>
      <c r="D16" s="69">
        <v>46108.0</v>
      </c>
      <c r="E16" s="64">
        <v>46084.0</v>
      </c>
      <c r="F16" s="64">
        <v>46086.0</v>
      </c>
      <c r="G16" s="65">
        <f t="shared" si="1"/>
        <v>2</v>
      </c>
      <c r="H16" s="70" t="s">
        <v>112</v>
      </c>
      <c r="I16" s="67">
        <f>IFERROR(__xludf.DUMMYFUNCTION("if($H16="""", """", AVERAGE(split($H16, "";"")))"),251.84)</f>
        <v>251.84</v>
      </c>
      <c r="J16" s="67">
        <f>IFERROR(__xludf.DUMMYFUNCTION("if(H16="""", """", SUM(split(H16, "";"")))"),503.68)</f>
        <v>503.68</v>
      </c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</row>
    <row r="17" ht="26.25" customHeight="1">
      <c r="A17" s="61">
        <v>14.0</v>
      </c>
      <c r="B17" s="62" t="s">
        <v>78</v>
      </c>
      <c r="C17" s="62" t="s">
        <v>111</v>
      </c>
      <c r="D17" s="69">
        <v>46108.0</v>
      </c>
      <c r="E17" s="64">
        <v>46084.0</v>
      </c>
      <c r="F17" s="64">
        <v>46086.0</v>
      </c>
      <c r="G17" s="65">
        <f t="shared" si="1"/>
        <v>2</v>
      </c>
      <c r="H17" s="70" t="s">
        <v>112</v>
      </c>
      <c r="I17" s="67">
        <f>IFERROR(__xludf.DUMMYFUNCTION("if($H17="""", """", AVERAGE(split($H17, "";"")))"),251.84)</f>
        <v>251.84</v>
      </c>
      <c r="J17" s="67">
        <f>IFERROR(__xludf.DUMMYFUNCTION("if(H17="""", """", SUM(split(H17, "";"")))"),503.68)</f>
        <v>503.68</v>
      </c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</row>
    <row r="18" ht="26.25" customHeight="1">
      <c r="A18" s="61">
        <v>16.0</v>
      </c>
      <c r="B18" s="62" t="s">
        <v>102</v>
      </c>
      <c r="C18" s="62" t="s">
        <v>107</v>
      </c>
      <c r="D18" s="69">
        <v>46090.0</v>
      </c>
      <c r="E18" s="64">
        <v>46091.0</v>
      </c>
      <c r="F18" s="64">
        <v>46092.0</v>
      </c>
      <c r="G18" s="65">
        <f t="shared" si="1"/>
        <v>1</v>
      </c>
      <c r="H18" s="70">
        <v>1944.27</v>
      </c>
      <c r="I18" s="67">
        <f>IFERROR(__xludf.DUMMYFUNCTION("if($H18="""", """", AVERAGE(split($H18, "";"")))"),1944.27)</f>
        <v>1944.27</v>
      </c>
      <c r="J18" s="67">
        <f>IFERROR(__xludf.DUMMYFUNCTION("if(H18="""", """", SUM(split(H18, "";"")))"),1944.27)</f>
        <v>1944.27</v>
      </c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</row>
    <row r="19" ht="26.25" customHeight="1">
      <c r="A19" s="61">
        <v>17.0</v>
      </c>
      <c r="B19" s="62" t="s">
        <v>40</v>
      </c>
      <c r="C19" s="62" t="s">
        <v>113</v>
      </c>
      <c r="D19" s="69">
        <v>46078.0</v>
      </c>
      <c r="E19" s="64">
        <v>46093.0</v>
      </c>
      <c r="F19" s="64">
        <v>46095.0</v>
      </c>
      <c r="G19" s="65">
        <f t="shared" si="1"/>
        <v>2</v>
      </c>
      <c r="H19" s="70" t="s">
        <v>114</v>
      </c>
      <c r="I19" s="67">
        <f>IFERROR(__xludf.DUMMYFUNCTION("if($H19="""", """", AVERAGE(split($H19, "";"")))"),288.01)</f>
        <v>288.01</v>
      </c>
      <c r="J19" s="67">
        <f>IFERROR(__xludf.DUMMYFUNCTION("if(H19="""", """", SUM(split(H19, "";"")))"),576.02)</f>
        <v>576.02</v>
      </c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</row>
    <row r="20" ht="26.25" customHeight="1">
      <c r="A20" s="61">
        <v>18.0</v>
      </c>
      <c r="B20" s="62" t="s">
        <v>102</v>
      </c>
      <c r="C20" s="62" t="s">
        <v>115</v>
      </c>
      <c r="D20" s="69">
        <v>46096.0</v>
      </c>
      <c r="E20" s="64">
        <v>46097.0</v>
      </c>
      <c r="F20" s="64">
        <v>46098.0</v>
      </c>
      <c r="G20" s="65">
        <f t="shared" si="1"/>
        <v>1</v>
      </c>
      <c r="H20" s="70">
        <v>700.24</v>
      </c>
      <c r="I20" s="67">
        <f>IFERROR(__xludf.DUMMYFUNCTION("if($H20="""", """", AVERAGE(split($H20, "";"")))"),700.24)</f>
        <v>700.24</v>
      </c>
      <c r="J20" s="67">
        <f>IFERROR(__xludf.DUMMYFUNCTION("if(H20="""", """", SUM(split(H20, "";"")))"),700.24)</f>
        <v>700.24</v>
      </c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</row>
    <row r="21" ht="26.25" customHeight="1">
      <c r="A21" s="61">
        <v>18.0</v>
      </c>
      <c r="B21" s="62" t="s">
        <v>49</v>
      </c>
      <c r="C21" s="62" t="s">
        <v>115</v>
      </c>
      <c r="D21" s="69">
        <v>46096.0</v>
      </c>
      <c r="E21" s="64">
        <v>46097.0</v>
      </c>
      <c r="F21" s="64">
        <v>46098.0</v>
      </c>
      <c r="G21" s="65">
        <f t="shared" si="1"/>
        <v>1</v>
      </c>
      <c r="H21" s="70">
        <v>700.24</v>
      </c>
      <c r="I21" s="67">
        <f>IFERROR(__xludf.DUMMYFUNCTION("if($H21="""", """", AVERAGE(split($H21, "";"")))"),700.24)</f>
        <v>700.24</v>
      </c>
      <c r="J21" s="67">
        <f>IFERROR(__xludf.DUMMYFUNCTION("if(H21="""", """", SUM(split(H21, "";"")))"),700.24)</f>
        <v>700.24</v>
      </c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</row>
    <row r="22" ht="26.25" customHeight="1">
      <c r="A22" s="61">
        <v>18.0</v>
      </c>
      <c r="B22" s="62" t="s">
        <v>59</v>
      </c>
      <c r="C22" s="62" t="s">
        <v>115</v>
      </c>
      <c r="D22" s="69">
        <v>46096.0</v>
      </c>
      <c r="E22" s="64">
        <v>46097.0</v>
      </c>
      <c r="F22" s="64">
        <v>46098.0</v>
      </c>
      <c r="G22" s="65">
        <f t="shared" si="1"/>
        <v>1</v>
      </c>
      <c r="H22" s="70">
        <v>700.24</v>
      </c>
      <c r="I22" s="67">
        <f>IFERROR(__xludf.DUMMYFUNCTION("if($H22="""", """", AVERAGE(split($H22, "";"")))"),700.24)</f>
        <v>700.24</v>
      </c>
      <c r="J22" s="67">
        <f>IFERROR(__xludf.DUMMYFUNCTION("if(H22="""", """", SUM(split(H22, "";"")))"),700.24)</f>
        <v>700.24</v>
      </c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</row>
    <row r="23" ht="26.25" customHeight="1">
      <c r="A23" s="61">
        <v>18.0</v>
      </c>
      <c r="B23" s="62" t="s">
        <v>51</v>
      </c>
      <c r="C23" s="62" t="s">
        <v>115</v>
      </c>
      <c r="D23" s="69">
        <v>46096.0</v>
      </c>
      <c r="E23" s="64">
        <v>46097.0</v>
      </c>
      <c r="F23" s="64">
        <v>46098.0</v>
      </c>
      <c r="G23" s="65">
        <f t="shared" si="1"/>
        <v>1</v>
      </c>
      <c r="H23" s="70">
        <v>700.24</v>
      </c>
      <c r="I23" s="67">
        <f>IFERROR(__xludf.DUMMYFUNCTION("if($H23="""", """", AVERAGE(split($H23, "";"")))"),700.24)</f>
        <v>700.24</v>
      </c>
      <c r="J23" s="67">
        <f>IFERROR(__xludf.DUMMYFUNCTION("if(H23="""", """", SUM(split(H23, "";"")))"),700.24)</f>
        <v>700.24</v>
      </c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</row>
    <row r="24" ht="26.25" customHeight="1">
      <c r="A24" s="61">
        <v>20.0</v>
      </c>
      <c r="B24" s="62" t="s">
        <v>102</v>
      </c>
      <c r="C24" s="62" t="s">
        <v>116</v>
      </c>
      <c r="D24" s="69">
        <v>46096.0</v>
      </c>
      <c r="E24" s="64">
        <v>46098.0</v>
      </c>
      <c r="F24" s="64">
        <v>46099.0</v>
      </c>
      <c r="G24" s="65">
        <f t="shared" si="1"/>
        <v>1</v>
      </c>
      <c r="H24" s="70">
        <v>642.13</v>
      </c>
      <c r="I24" s="67">
        <f>IFERROR(__xludf.DUMMYFUNCTION("if($H24="""", """", AVERAGE(split($H24, "";"")))"),642.13)</f>
        <v>642.13</v>
      </c>
      <c r="J24" s="67">
        <f>IFERROR(__xludf.DUMMYFUNCTION("if(H24="""", """", SUM(split(H24, "";"")))"),642.13)</f>
        <v>642.13</v>
      </c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</row>
    <row r="25" ht="26.25" customHeight="1">
      <c r="A25" s="61">
        <v>20.0</v>
      </c>
      <c r="B25" s="62" t="s">
        <v>49</v>
      </c>
      <c r="C25" s="62" t="s">
        <v>116</v>
      </c>
      <c r="D25" s="69">
        <v>46096.0</v>
      </c>
      <c r="E25" s="64">
        <v>46098.0</v>
      </c>
      <c r="F25" s="64">
        <v>46099.0</v>
      </c>
      <c r="G25" s="65">
        <f t="shared" si="1"/>
        <v>1</v>
      </c>
      <c r="H25" s="70">
        <v>642.13</v>
      </c>
      <c r="I25" s="67">
        <f>IFERROR(__xludf.DUMMYFUNCTION("if($H25="""", """", AVERAGE(split($H25, "";"")))"),642.13)</f>
        <v>642.13</v>
      </c>
      <c r="J25" s="67">
        <f>IFERROR(__xludf.DUMMYFUNCTION("if(H25="""", """", SUM(split(H25, "";"")))"),642.13)</f>
        <v>642.13</v>
      </c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</row>
    <row r="26" ht="26.25" customHeight="1">
      <c r="A26" s="61">
        <v>20.0</v>
      </c>
      <c r="B26" s="62" t="s">
        <v>59</v>
      </c>
      <c r="C26" s="62" t="s">
        <v>116</v>
      </c>
      <c r="D26" s="69">
        <v>46096.0</v>
      </c>
      <c r="E26" s="64">
        <v>46098.0</v>
      </c>
      <c r="F26" s="64">
        <v>46099.0</v>
      </c>
      <c r="G26" s="65">
        <f t="shared" si="1"/>
        <v>1</v>
      </c>
      <c r="H26" s="70">
        <v>642.13</v>
      </c>
      <c r="I26" s="67">
        <f>IFERROR(__xludf.DUMMYFUNCTION("if($H26="""", """", AVERAGE(split($H26, "";"")))"),642.13)</f>
        <v>642.13</v>
      </c>
      <c r="J26" s="67">
        <f>IFERROR(__xludf.DUMMYFUNCTION("if(H26="""", """", SUM(split(H26, "";"")))"),642.13)</f>
        <v>642.13</v>
      </c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</row>
    <row r="27" ht="26.25" customHeight="1">
      <c r="A27" s="61">
        <v>20.0</v>
      </c>
      <c r="B27" s="62" t="s">
        <v>51</v>
      </c>
      <c r="C27" s="62" t="s">
        <v>116</v>
      </c>
      <c r="D27" s="69">
        <v>46096.0</v>
      </c>
      <c r="E27" s="64">
        <v>46098.0</v>
      </c>
      <c r="F27" s="64">
        <v>46099.0</v>
      </c>
      <c r="G27" s="65">
        <f t="shared" si="1"/>
        <v>1</v>
      </c>
      <c r="H27" s="70">
        <v>642.13</v>
      </c>
      <c r="I27" s="67">
        <f>IFERROR(__xludf.DUMMYFUNCTION("if($H27="""", """", AVERAGE(split($H27, "";"")))"),642.13)</f>
        <v>642.13</v>
      </c>
      <c r="J27" s="67">
        <f>IFERROR(__xludf.DUMMYFUNCTION("if(H27="""", """", SUM(split(H27, "";"")))"),642.13)</f>
        <v>642.13</v>
      </c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</row>
    <row r="28" ht="26.25" customHeight="1">
      <c r="A28" s="61">
        <v>21.0</v>
      </c>
      <c r="B28" s="62" t="s">
        <v>85</v>
      </c>
      <c r="C28" s="62" t="s">
        <v>111</v>
      </c>
      <c r="D28" s="69">
        <v>46098.0</v>
      </c>
      <c r="E28" s="64">
        <v>46099.0</v>
      </c>
      <c r="F28" s="64">
        <v>46101.0</v>
      </c>
      <c r="G28" s="65">
        <f t="shared" si="1"/>
        <v>2</v>
      </c>
      <c r="H28" s="70" t="s">
        <v>117</v>
      </c>
      <c r="I28" s="67">
        <f>IFERROR(__xludf.DUMMYFUNCTION("if($H28="""", """", AVERAGE(split($H28, "";"")))"),288.1)</f>
        <v>288.1</v>
      </c>
      <c r="J28" s="67">
        <f>IFERROR(__xludf.DUMMYFUNCTION("if(H28="""", """", SUM(split(H28, "";"")))"),576.2)</f>
        <v>576.2</v>
      </c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</row>
    <row r="29" ht="26.25" customHeight="1">
      <c r="A29" s="61">
        <v>22.0</v>
      </c>
      <c r="B29" s="62" t="s">
        <v>102</v>
      </c>
      <c r="C29" s="62" t="s">
        <v>118</v>
      </c>
      <c r="D29" s="69">
        <v>46096.0</v>
      </c>
      <c r="E29" s="64">
        <v>46099.0</v>
      </c>
      <c r="F29" s="64">
        <v>46101.0</v>
      </c>
      <c r="G29" s="65">
        <f t="shared" si="1"/>
        <v>2</v>
      </c>
      <c r="H29" s="70" t="s">
        <v>119</v>
      </c>
      <c r="I29" s="67">
        <f>IFERROR(__xludf.DUMMYFUNCTION("if($H29="""", """", AVERAGE(split($H29, "";"")))"),646.38)</f>
        <v>646.38</v>
      </c>
      <c r="J29" s="67">
        <f>IFERROR(__xludf.DUMMYFUNCTION("if(H29="""", """", SUM(split(H29, "";"")))"),1292.76)</f>
        <v>1292.76</v>
      </c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</row>
    <row r="30" ht="26.25" customHeight="1">
      <c r="A30" s="61">
        <v>22.0</v>
      </c>
      <c r="B30" s="62" t="s">
        <v>49</v>
      </c>
      <c r="C30" s="62" t="s">
        <v>118</v>
      </c>
      <c r="D30" s="69">
        <v>46096.0</v>
      </c>
      <c r="E30" s="64">
        <v>46099.0</v>
      </c>
      <c r="F30" s="64">
        <v>46101.0</v>
      </c>
      <c r="G30" s="65">
        <f t="shared" si="1"/>
        <v>2</v>
      </c>
      <c r="H30" s="70" t="s">
        <v>119</v>
      </c>
      <c r="I30" s="67">
        <f>IFERROR(__xludf.DUMMYFUNCTION("if($H30="""", """", AVERAGE(split($H30, "";"")))"),646.38)</f>
        <v>646.38</v>
      </c>
      <c r="J30" s="67">
        <f>IFERROR(__xludf.DUMMYFUNCTION("if(H30="""", """", SUM(split(H30, "";"")))"),1292.76)</f>
        <v>1292.76</v>
      </c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</row>
    <row r="31" ht="26.25" customHeight="1">
      <c r="A31" s="61">
        <v>22.0</v>
      </c>
      <c r="B31" s="62" t="s">
        <v>59</v>
      </c>
      <c r="C31" s="62" t="s">
        <v>118</v>
      </c>
      <c r="D31" s="69">
        <v>46096.0</v>
      </c>
      <c r="E31" s="64">
        <v>46099.0</v>
      </c>
      <c r="F31" s="64">
        <v>46101.0</v>
      </c>
      <c r="G31" s="65">
        <f t="shared" si="1"/>
        <v>2</v>
      </c>
      <c r="H31" s="70" t="s">
        <v>119</v>
      </c>
      <c r="I31" s="67">
        <f>IFERROR(__xludf.DUMMYFUNCTION("if($H31="""", """", AVERAGE(split($H31, "";"")))"),646.38)</f>
        <v>646.38</v>
      </c>
      <c r="J31" s="67">
        <f>IFERROR(__xludf.DUMMYFUNCTION("if(H31="""", """", SUM(split(H31, "";"")))"),1292.76)</f>
        <v>1292.76</v>
      </c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</row>
    <row r="32" ht="26.25" customHeight="1">
      <c r="A32" s="61">
        <v>22.0</v>
      </c>
      <c r="B32" s="62" t="s">
        <v>51</v>
      </c>
      <c r="C32" s="62" t="s">
        <v>118</v>
      </c>
      <c r="D32" s="69">
        <v>46096.0</v>
      </c>
      <c r="E32" s="64">
        <v>46099.0</v>
      </c>
      <c r="F32" s="64">
        <v>46101.0</v>
      </c>
      <c r="G32" s="65">
        <f t="shared" si="1"/>
        <v>2</v>
      </c>
      <c r="H32" s="70" t="s">
        <v>119</v>
      </c>
      <c r="I32" s="67">
        <f>IFERROR(__xludf.DUMMYFUNCTION("if($H32="""", """", AVERAGE(split($H32, "";"")))"),646.38)</f>
        <v>646.38</v>
      </c>
      <c r="J32" s="67">
        <f>IFERROR(__xludf.DUMMYFUNCTION("if(H32="""", """", SUM(split(H32, "";"")))"),1292.76)</f>
        <v>1292.76</v>
      </c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</row>
    <row r="33" ht="26.25" customHeight="1">
      <c r="A33" s="61">
        <v>22.0</v>
      </c>
      <c r="B33" s="62" t="s">
        <v>71</v>
      </c>
      <c r="C33" s="62" t="s">
        <v>118</v>
      </c>
      <c r="D33" s="69">
        <v>46097.0</v>
      </c>
      <c r="E33" s="64">
        <v>46100.0</v>
      </c>
      <c r="F33" s="64">
        <v>46101.0</v>
      </c>
      <c r="G33" s="65">
        <f t="shared" si="1"/>
        <v>1</v>
      </c>
      <c r="H33" s="70">
        <v>646.38</v>
      </c>
      <c r="I33" s="67">
        <f>IFERROR(__xludf.DUMMYFUNCTION("if($H33="""", """", AVERAGE(split($H33, "";"")))"),646.38)</f>
        <v>646.38</v>
      </c>
      <c r="J33" s="67">
        <f>IFERROR(__xludf.DUMMYFUNCTION("if(H33="""", """", SUM(split(H33, "";"")))"),646.38)</f>
        <v>646.38</v>
      </c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</row>
    <row r="34" ht="26.25" customHeight="1">
      <c r="A34" s="61">
        <v>22.0</v>
      </c>
      <c r="B34" s="62" t="s">
        <v>78</v>
      </c>
      <c r="C34" s="62" t="s">
        <v>118</v>
      </c>
      <c r="D34" s="69">
        <v>46097.0</v>
      </c>
      <c r="E34" s="64">
        <v>46100.0</v>
      </c>
      <c r="F34" s="64">
        <v>46101.0</v>
      </c>
      <c r="G34" s="65">
        <f t="shared" si="1"/>
        <v>1</v>
      </c>
      <c r="H34" s="70">
        <v>646.38</v>
      </c>
      <c r="I34" s="67">
        <f>IFERROR(__xludf.DUMMYFUNCTION("if($H34="""", """", AVERAGE(split($H34, "";"")))"),646.38)</f>
        <v>646.38</v>
      </c>
      <c r="J34" s="67">
        <f>IFERROR(__xludf.DUMMYFUNCTION("if(H34="""", """", SUM(split(H34, "";"")))"),646.38)</f>
        <v>646.38</v>
      </c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</row>
    <row r="35" ht="26.25" customHeight="1">
      <c r="A35" s="61">
        <v>24.0</v>
      </c>
      <c r="B35" s="62" t="s">
        <v>51</v>
      </c>
      <c r="C35" s="68"/>
      <c r="D35" s="71"/>
      <c r="E35" s="64">
        <v>46101.0</v>
      </c>
      <c r="F35" s="64">
        <v>46108.0</v>
      </c>
      <c r="G35" s="65">
        <f t="shared" si="1"/>
        <v>7</v>
      </c>
      <c r="H35" s="72"/>
      <c r="I35" s="67" t="str">
        <f>IFERROR(__xludf.DUMMYFUNCTION("if($H35="""", """", AVERAGE(split($H35, "";"")))"),"")</f>
        <v/>
      </c>
      <c r="J35" s="67" t="str">
        <f>IFERROR(__xludf.DUMMYFUNCTION("if(H35="""", """", SUM(split(H35, "";"")))"),"")</f>
        <v/>
      </c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</row>
    <row r="36" ht="26.25" customHeight="1">
      <c r="A36" s="61">
        <v>24.0</v>
      </c>
      <c r="B36" s="62" t="s">
        <v>120</v>
      </c>
      <c r="C36" s="68"/>
      <c r="D36" s="71"/>
      <c r="E36" s="64">
        <v>46101.0</v>
      </c>
      <c r="F36" s="64">
        <v>46108.0</v>
      </c>
      <c r="G36" s="65">
        <f t="shared" si="1"/>
        <v>7</v>
      </c>
      <c r="H36" s="72"/>
      <c r="I36" s="67" t="str">
        <f>IFERROR(__xludf.DUMMYFUNCTION("if($H36="""", """", AVERAGE(split($H36, "";"")))"),"")</f>
        <v/>
      </c>
      <c r="J36" s="67" t="str">
        <f>IFERROR(__xludf.DUMMYFUNCTION("if(H36="""", """", SUM(split(H36, "";"")))"),"")</f>
        <v/>
      </c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</row>
    <row r="37" ht="26.25" customHeight="1">
      <c r="A37" s="73"/>
      <c r="B37" s="68"/>
      <c r="C37" s="68"/>
      <c r="D37" s="71"/>
      <c r="E37" s="65"/>
      <c r="F37" s="65"/>
      <c r="G37" s="65" t="str">
        <f t="shared" si="1"/>
        <v/>
      </c>
      <c r="H37" s="72"/>
      <c r="I37" s="67" t="str">
        <f>IFERROR(__xludf.DUMMYFUNCTION("if($H37="""", """", AVERAGE(split($H37, "";"")))"),"")</f>
        <v/>
      </c>
      <c r="J37" s="67" t="str">
        <f>IFERROR(__xludf.DUMMYFUNCTION("if(H37="""", """", SUM(split(H37, "";"")))"),"")</f>
        <v/>
      </c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</row>
    <row r="38" ht="26.25" customHeight="1">
      <c r="A38" s="73"/>
      <c r="B38" s="68"/>
      <c r="C38" s="68"/>
      <c r="D38" s="71"/>
      <c r="E38" s="65"/>
      <c r="F38" s="65"/>
      <c r="G38" s="65" t="str">
        <f t="shared" si="1"/>
        <v/>
      </c>
      <c r="H38" s="72"/>
      <c r="I38" s="67" t="str">
        <f>IFERROR(__xludf.DUMMYFUNCTION("if($H38="""", """", AVERAGE(split($H38, "";"")))"),"")</f>
        <v/>
      </c>
      <c r="J38" s="67" t="str">
        <f>IFERROR(__xludf.DUMMYFUNCTION("if(H38="""", """", SUM(split(H38, "";"")))"),"")</f>
        <v/>
      </c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</row>
    <row r="39" ht="26.25" customHeight="1">
      <c r="A39" s="73"/>
      <c r="B39" s="68"/>
      <c r="C39" s="68"/>
      <c r="D39" s="71"/>
      <c r="E39" s="65"/>
      <c r="F39" s="65"/>
      <c r="G39" s="65" t="str">
        <f t="shared" si="1"/>
        <v/>
      </c>
      <c r="H39" s="72"/>
      <c r="I39" s="67" t="str">
        <f>IFERROR(__xludf.DUMMYFUNCTION("if($H39="""", """", AVERAGE(split($H39, "";"")))"),"")</f>
        <v/>
      </c>
      <c r="J39" s="67" t="str">
        <f>IFERROR(__xludf.DUMMYFUNCTION("if(H39="""", """", SUM(split(H39, "";"")))"),"")</f>
        <v/>
      </c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</row>
    <row r="40" ht="26.25" customHeight="1">
      <c r="A40" s="73"/>
      <c r="B40" s="68"/>
      <c r="C40" s="68"/>
      <c r="D40" s="71"/>
      <c r="E40" s="65"/>
      <c r="F40" s="65"/>
      <c r="G40" s="65" t="str">
        <f t="shared" si="1"/>
        <v/>
      </c>
      <c r="H40" s="72"/>
      <c r="I40" s="67" t="str">
        <f>IFERROR(__xludf.DUMMYFUNCTION("if($H40="""", """", AVERAGE(split($H40, "";"")))"),"")</f>
        <v/>
      </c>
      <c r="J40" s="67" t="str">
        <f>IFERROR(__xludf.DUMMYFUNCTION("if(H40="""", """", SUM(split(H40, "";"")))"),"")</f>
        <v/>
      </c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</row>
    <row r="41" ht="26.25" customHeight="1">
      <c r="A41" s="73"/>
      <c r="B41" s="68"/>
      <c r="C41" s="68"/>
      <c r="D41" s="71"/>
      <c r="E41" s="65"/>
      <c r="F41" s="65"/>
      <c r="G41" s="65" t="str">
        <f t="shared" si="1"/>
        <v/>
      </c>
      <c r="H41" s="72"/>
      <c r="I41" s="67" t="str">
        <f>IFERROR(__xludf.DUMMYFUNCTION("if($H41="""", """", AVERAGE(split($H41, "";"")))"),"")</f>
        <v/>
      </c>
      <c r="J41" s="67" t="str">
        <f>IFERROR(__xludf.DUMMYFUNCTION("if(H41="""", """", SUM(split(H41, "";"")))"),"")</f>
        <v/>
      </c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</row>
    <row r="42" ht="26.25" customHeight="1">
      <c r="A42" s="73"/>
      <c r="B42" s="68"/>
      <c r="C42" s="68"/>
      <c r="D42" s="71"/>
      <c r="E42" s="65"/>
      <c r="F42" s="65"/>
      <c r="G42" s="65" t="str">
        <f t="shared" si="1"/>
        <v/>
      </c>
      <c r="H42" s="72"/>
      <c r="I42" s="67" t="str">
        <f>IFERROR(__xludf.DUMMYFUNCTION("if($H42="""", """", AVERAGE(split($H42, "";"")))"),"")</f>
        <v/>
      </c>
      <c r="J42" s="67" t="str">
        <f>IFERROR(__xludf.DUMMYFUNCTION("if(H42="""", """", SUM(split(H42, "";"")))"),"")</f>
        <v/>
      </c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</row>
    <row r="43" ht="26.25" customHeight="1">
      <c r="A43" s="73"/>
      <c r="B43" s="68"/>
      <c r="C43" s="68"/>
      <c r="D43" s="71"/>
      <c r="E43" s="65"/>
      <c r="F43" s="65"/>
      <c r="G43" s="65" t="str">
        <f t="shared" si="1"/>
        <v/>
      </c>
      <c r="H43" s="72"/>
      <c r="I43" s="67" t="str">
        <f>IFERROR(__xludf.DUMMYFUNCTION("if($H43="""", """", AVERAGE(split($H43, "";"")))"),"")</f>
        <v/>
      </c>
      <c r="J43" s="67" t="str">
        <f>IFERROR(__xludf.DUMMYFUNCTION("if(H43="""", """", SUM(split(H43, "";"")))"),"")</f>
        <v/>
      </c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</row>
    <row r="44" ht="26.25" customHeight="1">
      <c r="A44" s="73"/>
      <c r="B44" s="68"/>
      <c r="C44" s="68"/>
      <c r="D44" s="71"/>
      <c r="E44" s="65"/>
      <c r="F44" s="65"/>
      <c r="G44" s="65" t="str">
        <f t="shared" si="1"/>
        <v/>
      </c>
      <c r="H44" s="72"/>
      <c r="I44" s="67" t="str">
        <f>IFERROR(__xludf.DUMMYFUNCTION("if($H44="""", """", AVERAGE(split($H44, "";"")))"),"")</f>
        <v/>
      </c>
      <c r="J44" s="67" t="str">
        <f>IFERROR(__xludf.DUMMYFUNCTION("if(H44="""", """", SUM(split(H44, "";"")))"),"")</f>
        <v/>
      </c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</row>
    <row r="45" ht="26.25" customHeight="1">
      <c r="A45" s="73"/>
      <c r="B45" s="68"/>
      <c r="C45" s="68"/>
      <c r="D45" s="71"/>
      <c r="E45" s="65"/>
      <c r="F45" s="65"/>
      <c r="G45" s="65" t="str">
        <f t="shared" si="1"/>
        <v/>
      </c>
      <c r="H45" s="72"/>
      <c r="I45" s="67" t="str">
        <f>IFERROR(__xludf.DUMMYFUNCTION("if($H45="""", """", AVERAGE(split($H45, "";"")))"),"")</f>
        <v/>
      </c>
      <c r="J45" s="67" t="str">
        <f>IFERROR(__xludf.DUMMYFUNCTION("if(H45="""", """", SUM(split(H45, "";"")))"),"")</f>
        <v/>
      </c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</row>
    <row r="46" ht="26.25" customHeight="1">
      <c r="A46" s="73"/>
      <c r="B46" s="68"/>
      <c r="C46" s="68"/>
      <c r="D46" s="71"/>
      <c r="E46" s="65"/>
      <c r="F46" s="65"/>
      <c r="G46" s="65" t="str">
        <f t="shared" si="1"/>
        <v/>
      </c>
      <c r="H46" s="72"/>
      <c r="I46" s="67" t="str">
        <f>IFERROR(__xludf.DUMMYFUNCTION("if($H46="""", """", AVERAGE(split($H46, "";"")))"),"")</f>
        <v/>
      </c>
      <c r="J46" s="67" t="str">
        <f>IFERROR(__xludf.DUMMYFUNCTION("if(H46="""", """", SUM(split(H46, "";"")))"),"")</f>
        <v/>
      </c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</row>
    <row r="47" ht="26.25" customHeight="1">
      <c r="A47" s="73"/>
      <c r="B47" s="68"/>
      <c r="C47" s="68"/>
      <c r="D47" s="71"/>
      <c r="E47" s="65"/>
      <c r="F47" s="65"/>
      <c r="G47" s="65" t="str">
        <f t="shared" si="1"/>
        <v/>
      </c>
      <c r="H47" s="72"/>
      <c r="I47" s="67" t="str">
        <f>IFERROR(__xludf.DUMMYFUNCTION("if($H47="""", """", AVERAGE(split($H47, "";"")))"),"")</f>
        <v/>
      </c>
      <c r="J47" s="67" t="str">
        <f>IFERROR(__xludf.DUMMYFUNCTION("if(H47="""", """", SUM(split(H47, "";"")))"),"")</f>
        <v/>
      </c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</row>
    <row r="48" ht="26.25" customHeight="1">
      <c r="A48" s="73"/>
      <c r="B48" s="68"/>
      <c r="C48" s="68"/>
      <c r="D48" s="71"/>
      <c r="E48" s="65"/>
      <c r="F48" s="65"/>
      <c r="G48" s="65" t="str">
        <f t="shared" si="1"/>
        <v/>
      </c>
      <c r="H48" s="72"/>
      <c r="I48" s="67" t="str">
        <f>IFERROR(__xludf.DUMMYFUNCTION("if($H48="""", """", AVERAGE(split($H48, "";"")))"),"")</f>
        <v/>
      </c>
      <c r="J48" s="67" t="str">
        <f>IFERROR(__xludf.DUMMYFUNCTION("if(H48="""", """", SUM(split(H48, "";"")))"),"")</f>
        <v/>
      </c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</row>
    <row r="49" ht="26.25" customHeight="1">
      <c r="A49" s="73"/>
      <c r="B49" s="68"/>
      <c r="C49" s="68"/>
      <c r="D49" s="71"/>
      <c r="E49" s="65"/>
      <c r="F49" s="65"/>
      <c r="G49" s="65" t="str">
        <f t="shared" si="1"/>
        <v/>
      </c>
      <c r="H49" s="72"/>
      <c r="I49" s="67" t="str">
        <f>IFERROR(__xludf.DUMMYFUNCTION("if($H49="""", """", AVERAGE(split($H49, "";"")))"),"")</f>
        <v/>
      </c>
      <c r="J49" s="67" t="str">
        <f>IFERROR(__xludf.DUMMYFUNCTION("if(H49="""", """", SUM(split(H49, "";"")))"),"")</f>
        <v/>
      </c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</row>
    <row r="50" ht="26.25" customHeight="1">
      <c r="A50" s="73"/>
      <c r="B50" s="68"/>
      <c r="C50" s="68"/>
      <c r="D50" s="71"/>
      <c r="E50" s="65"/>
      <c r="F50" s="65"/>
      <c r="G50" s="65" t="str">
        <f t="shared" si="1"/>
        <v/>
      </c>
      <c r="H50" s="72"/>
      <c r="I50" s="67" t="str">
        <f>IFERROR(__xludf.DUMMYFUNCTION("if($H50="""", """", AVERAGE(split($H50, "";"")))"),"")</f>
        <v/>
      </c>
      <c r="J50" s="67" t="str">
        <f>IFERROR(__xludf.DUMMYFUNCTION("if(H50="""", """", SUM(split(H50, "";"")))"),"")</f>
        <v/>
      </c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</row>
    <row r="51" ht="26.25" customHeight="1">
      <c r="A51" s="73"/>
      <c r="B51" s="68"/>
      <c r="C51" s="68"/>
      <c r="D51" s="71"/>
      <c r="E51" s="65"/>
      <c r="F51" s="65"/>
      <c r="G51" s="65" t="str">
        <f t="shared" si="1"/>
        <v/>
      </c>
      <c r="H51" s="72"/>
      <c r="I51" s="67" t="str">
        <f>IFERROR(__xludf.DUMMYFUNCTION("if($H51="""", """", AVERAGE(split($H51, "";"")))"),"")</f>
        <v/>
      </c>
      <c r="J51" s="67" t="str">
        <f>IFERROR(__xludf.DUMMYFUNCTION("if(H51="""", """", SUM(split(H51, "";"")))"),"")</f>
        <v/>
      </c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</row>
    <row r="52" ht="26.25" customHeight="1">
      <c r="A52" s="73"/>
      <c r="B52" s="68"/>
      <c r="C52" s="68"/>
      <c r="D52" s="71"/>
      <c r="E52" s="65"/>
      <c r="F52" s="65"/>
      <c r="G52" s="65" t="str">
        <f t="shared" si="1"/>
        <v/>
      </c>
      <c r="H52" s="72"/>
      <c r="I52" s="67" t="str">
        <f>IFERROR(__xludf.DUMMYFUNCTION("if($H52="""", """", AVERAGE(split($H52, "";"")))"),"")</f>
        <v/>
      </c>
      <c r="J52" s="67" t="str">
        <f>IFERROR(__xludf.DUMMYFUNCTION("if(H52="""", """", SUM(split(H52, "";"")))"),"")</f>
        <v/>
      </c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</row>
    <row r="53" ht="26.25" customHeight="1">
      <c r="A53" s="73"/>
      <c r="B53" s="68"/>
      <c r="C53" s="68"/>
      <c r="D53" s="71"/>
      <c r="E53" s="65"/>
      <c r="F53" s="65"/>
      <c r="G53" s="65" t="str">
        <f t="shared" si="1"/>
        <v/>
      </c>
      <c r="H53" s="72"/>
      <c r="I53" s="67" t="str">
        <f>IFERROR(__xludf.DUMMYFUNCTION("if($H53="""", """", AVERAGE(split($H53, "";"")))"),"")</f>
        <v/>
      </c>
      <c r="J53" s="67" t="str">
        <f>IFERROR(__xludf.DUMMYFUNCTION("if(H53="""", """", SUM(split(H53, "";"")))"),"")</f>
        <v/>
      </c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</row>
    <row r="54" ht="26.25" customHeight="1">
      <c r="A54" s="73"/>
      <c r="B54" s="68"/>
      <c r="C54" s="68"/>
      <c r="D54" s="71"/>
      <c r="E54" s="65"/>
      <c r="F54" s="65"/>
      <c r="G54" s="65" t="str">
        <f t="shared" si="1"/>
        <v/>
      </c>
      <c r="H54" s="72"/>
      <c r="I54" s="67" t="str">
        <f>IFERROR(__xludf.DUMMYFUNCTION("if($H54="""", """", AVERAGE(split($H54, "";"")))"),"")</f>
        <v/>
      </c>
      <c r="J54" s="67" t="str">
        <f>IFERROR(__xludf.DUMMYFUNCTION("if(H54="""", """", SUM(split(H54, "";"")))"),"")</f>
        <v/>
      </c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</row>
    <row r="55" ht="26.25" customHeight="1">
      <c r="A55" s="73"/>
      <c r="B55" s="68"/>
      <c r="C55" s="68"/>
      <c r="D55" s="71"/>
      <c r="E55" s="65"/>
      <c r="F55" s="65"/>
      <c r="G55" s="65" t="str">
        <f t="shared" si="1"/>
        <v/>
      </c>
      <c r="H55" s="72"/>
      <c r="I55" s="67" t="str">
        <f>IFERROR(__xludf.DUMMYFUNCTION("if($H55="""", """", AVERAGE(split($H55, "";"")))"),"")</f>
        <v/>
      </c>
      <c r="J55" s="67" t="str">
        <f>IFERROR(__xludf.DUMMYFUNCTION("if(H55="""", """", SUM(split(H55, "";"")))"),"")</f>
        <v/>
      </c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</row>
    <row r="56" ht="26.25" customHeight="1">
      <c r="A56" s="73"/>
      <c r="B56" s="68"/>
      <c r="C56" s="68"/>
      <c r="D56" s="71"/>
      <c r="E56" s="65"/>
      <c r="F56" s="65"/>
      <c r="G56" s="65" t="str">
        <f t="shared" si="1"/>
        <v/>
      </c>
      <c r="H56" s="72"/>
      <c r="I56" s="67" t="str">
        <f>IFERROR(__xludf.DUMMYFUNCTION("if($H56="""", """", AVERAGE(split($H56, "";"")))"),"")</f>
        <v/>
      </c>
      <c r="J56" s="67" t="str">
        <f>IFERROR(__xludf.DUMMYFUNCTION("if(H56="""", """", SUM(split(H56, "";"")))"),"")</f>
        <v/>
      </c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</row>
    <row r="57" ht="26.25" customHeight="1">
      <c r="A57" s="73"/>
      <c r="B57" s="68"/>
      <c r="C57" s="68"/>
      <c r="D57" s="71"/>
      <c r="E57" s="65"/>
      <c r="F57" s="65"/>
      <c r="G57" s="65" t="str">
        <f t="shared" si="1"/>
        <v/>
      </c>
      <c r="H57" s="72"/>
      <c r="I57" s="67" t="str">
        <f>IFERROR(__xludf.DUMMYFUNCTION("if($H57="""", """", AVERAGE(split($H57, "";"")))"),"")</f>
        <v/>
      </c>
      <c r="J57" s="67" t="str">
        <f>IFERROR(__xludf.DUMMYFUNCTION("if(H57="""", """", SUM(split(H57, "";"")))"),"")</f>
        <v/>
      </c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</row>
    <row r="58" ht="26.25" customHeight="1">
      <c r="A58" s="73"/>
      <c r="B58" s="68"/>
      <c r="C58" s="68"/>
      <c r="D58" s="71"/>
      <c r="E58" s="65"/>
      <c r="F58" s="65"/>
      <c r="G58" s="65" t="str">
        <f t="shared" si="1"/>
        <v/>
      </c>
      <c r="H58" s="72"/>
      <c r="I58" s="67" t="str">
        <f>IFERROR(__xludf.DUMMYFUNCTION("if($H58="""", """", AVERAGE(split($H58, "";"")))"),"")</f>
        <v/>
      </c>
      <c r="J58" s="67" t="str">
        <f>IFERROR(__xludf.DUMMYFUNCTION("if(H58="""", """", SUM(split(H58, "";"")))"),"")</f>
        <v/>
      </c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</row>
    <row r="59" ht="26.25" customHeight="1">
      <c r="A59" s="73"/>
      <c r="B59" s="68"/>
      <c r="C59" s="68"/>
      <c r="D59" s="71"/>
      <c r="E59" s="65"/>
      <c r="F59" s="65"/>
      <c r="G59" s="65" t="str">
        <f t="shared" si="1"/>
        <v/>
      </c>
      <c r="H59" s="72"/>
      <c r="I59" s="67" t="str">
        <f>IFERROR(__xludf.DUMMYFUNCTION("if($H59="""", """", AVERAGE(split($H59, "";"")))"),"")</f>
        <v/>
      </c>
      <c r="J59" s="67" t="str">
        <f>IFERROR(__xludf.DUMMYFUNCTION("if(H59="""", """", SUM(split(H59, "";"")))"),"")</f>
        <v/>
      </c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</row>
    <row r="60" ht="26.25" customHeight="1">
      <c r="A60" s="73"/>
      <c r="B60" s="68"/>
      <c r="C60" s="68"/>
      <c r="D60" s="71"/>
      <c r="E60" s="65"/>
      <c r="F60" s="65"/>
      <c r="G60" s="65" t="str">
        <f t="shared" si="1"/>
        <v/>
      </c>
      <c r="H60" s="72"/>
      <c r="I60" s="67" t="str">
        <f>IFERROR(__xludf.DUMMYFUNCTION("if($H60="""", """", AVERAGE(split($H60, "";"")))"),"")</f>
        <v/>
      </c>
      <c r="J60" s="67" t="str">
        <f>IFERROR(__xludf.DUMMYFUNCTION("if(H60="""", """", SUM(split(H60, "";"")))"),"")</f>
        <v/>
      </c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</row>
    <row r="61" ht="26.25" customHeight="1">
      <c r="A61" s="73"/>
      <c r="B61" s="68"/>
      <c r="C61" s="68"/>
      <c r="D61" s="71"/>
      <c r="E61" s="65"/>
      <c r="F61" s="65"/>
      <c r="G61" s="65" t="str">
        <f t="shared" si="1"/>
        <v/>
      </c>
      <c r="H61" s="72"/>
      <c r="I61" s="67" t="str">
        <f>IFERROR(__xludf.DUMMYFUNCTION("if($H61="""", """", AVERAGE(split($H61, "";"")))"),"")</f>
        <v/>
      </c>
      <c r="J61" s="67" t="str">
        <f>IFERROR(__xludf.DUMMYFUNCTION("if(H61="""", """", SUM(split(H61, "";"")))"),"")</f>
        <v/>
      </c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</row>
    <row r="62" ht="26.25" customHeight="1">
      <c r="A62" s="73"/>
      <c r="B62" s="68"/>
      <c r="C62" s="68"/>
      <c r="D62" s="71"/>
      <c r="E62" s="65"/>
      <c r="F62" s="65"/>
      <c r="G62" s="65" t="str">
        <f t="shared" si="1"/>
        <v/>
      </c>
      <c r="H62" s="72"/>
      <c r="I62" s="67" t="str">
        <f>IFERROR(__xludf.DUMMYFUNCTION("if($H62="""", """", AVERAGE(split($H62, "";"")))"),"")</f>
        <v/>
      </c>
      <c r="J62" s="67" t="str">
        <f>IFERROR(__xludf.DUMMYFUNCTION("if(H62="""", """", SUM(split(H62, "";"")))"),"")</f>
        <v/>
      </c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</row>
    <row r="63" ht="26.25" customHeight="1">
      <c r="A63" s="73"/>
      <c r="B63" s="68"/>
      <c r="C63" s="68"/>
      <c r="D63" s="71"/>
      <c r="E63" s="65"/>
      <c r="F63" s="65"/>
      <c r="G63" s="65" t="str">
        <f t="shared" si="1"/>
        <v/>
      </c>
      <c r="H63" s="72"/>
      <c r="I63" s="67" t="str">
        <f>IFERROR(__xludf.DUMMYFUNCTION("if($H63="""", """", AVERAGE(split($H63, "";"")))"),"")</f>
        <v/>
      </c>
      <c r="J63" s="67" t="str">
        <f>IFERROR(__xludf.DUMMYFUNCTION("if(H63="""", """", SUM(split(H63, "";"")))"),"")</f>
        <v/>
      </c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</row>
    <row r="64" ht="26.25" customHeight="1">
      <c r="A64" s="73"/>
      <c r="B64" s="68"/>
      <c r="C64" s="68"/>
      <c r="D64" s="71"/>
      <c r="E64" s="65"/>
      <c r="F64" s="65"/>
      <c r="G64" s="65" t="str">
        <f t="shared" si="1"/>
        <v/>
      </c>
      <c r="H64" s="72"/>
      <c r="I64" s="67" t="str">
        <f>IFERROR(__xludf.DUMMYFUNCTION("if($H64="""", """", AVERAGE(split($H64, "";"")))"),"")</f>
        <v/>
      </c>
      <c r="J64" s="67" t="str">
        <f>IFERROR(__xludf.DUMMYFUNCTION("if(H64="""", """", SUM(split(H64, "";"")))"),"")</f>
        <v/>
      </c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8"/>
    </row>
    <row r="65" ht="26.25" customHeight="1">
      <c r="A65" s="73"/>
      <c r="B65" s="68"/>
      <c r="C65" s="68"/>
      <c r="D65" s="71"/>
      <c r="E65" s="65"/>
      <c r="F65" s="65"/>
      <c r="G65" s="65" t="str">
        <f t="shared" si="1"/>
        <v/>
      </c>
      <c r="H65" s="72"/>
      <c r="I65" s="67" t="str">
        <f>IFERROR(__xludf.DUMMYFUNCTION("if($H65="""", """", AVERAGE(split($H65, "";"")))"),"")</f>
        <v/>
      </c>
      <c r="J65" s="67" t="str">
        <f>IFERROR(__xludf.DUMMYFUNCTION("if(H65="""", """", SUM(split(H65, "";"")))"),"")</f>
        <v/>
      </c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</row>
    <row r="66" ht="26.25" customHeight="1">
      <c r="A66" s="73"/>
      <c r="B66" s="68"/>
      <c r="C66" s="68"/>
      <c r="D66" s="71"/>
      <c r="E66" s="65"/>
      <c r="F66" s="65"/>
      <c r="G66" s="65" t="str">
        <f t="shared" si="1"/>
        <v/>
      </c>
      <c r="H66" s="72"/>
      <c r="I66" s="67" t="str">
        <f>IFERROR(__xludf.DUMMYFUNCTION("if($H66="""", """", AVERAGE(split($H66, "";"")))"),"")</f>
        <v/>
      </c>
      <c r="J66" s="67" t="str">
        <f>IFERROR(__xludf.DUMMYFUNCTION("if(H66="""", """", SUM(split(H66, "";"")))"),"")</f>
        <v/>
      </c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</row>
    <row r="67" ht="26.25" customHeight="1">
      <c r="A67" s="73"/>
      <c r="B67" s="68"/>
      <c r="C67" s="68"/>
      <c r="D67" s="71"/>
      <c r="E67" s="65"/>
      <c r="F67" s="65"/>
      <c r="G67" s="65" t="str">
        <f t="shared" si="1"/>
        <v/>
      </c>
      <c r="H67" s="72"/>
      <c r="I67" s="67" t="str">
        <f>IFERROR(__xludf.DUMMYFUNCTION("if($H67="""", """", AVERAGE(split($H67, "";"")))"),"")</f>
        <v/>
      </c>
      <c r="J67" s="67" t="str">
        <f>IFERROR(__xludf.DUMMYFUNCTION("if(H67="""", """", SUM(split(H67, "";"")))"),"")</f>
        <v/>
      </c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  <c r="AA67" s="68"/>
    </row>
    <row r="68" ht="26.25" customHeight="1">
      <c r="A68" s="73"/>
      <c r="B68" s="68"/>
      <c r="C68" s="68"/>
      <c r="D68" s="71"/>
      <c r="E68" s="65"/>
      <c r="F68" s="65"/>
      <c r="G68" s="65" t="str">
        <f t="shared" si="1"/>
        <v/>
      </c>
      <c r="H68" s="72"/>
      <c r="I68" s="67" t="str">
        <f>IFERROR(__xludf.DUMMYFUNCTION("if($H68="""", """", AVERAGE(split($H68, "";"")))"),"")</f>
        <v/>
      </c>
      <c r="J68" s="67" t="str">
        <f>IFERROR(__xludf.DUMMYFUNCTION("if(H68="""", """", SUM(split(H68, "";"")))"),"")</f>
        <v/>
      </c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</row>
    <row r="69" ht="26.25" customHeight="1">
      <c r="A69" s="73"/>
      <c r="B69" s="68"/>
      <c r="C69" s="68"/>
      <c r="D69" s="71"/>
      <c r="E69" s="65"/>
      <c r="F69" s="65"/>
      <c r="G69" s="65" t="str">
        <f t="shared" si="1"/>
        <v/>
      </c>
      <c r="H69" s="72"/>
      <c r="I69" s="67" t="str">
        <f>IFERROR(__xludf.DUMMYFUNCTION("if($H69="""", """", AVERAGE(split($H69, "";"")))"),"")</f>
        <v/>
      </c>
      <c r="J69" s="67" t="str">
        <f>IFERROR(__xludf.DUMMYFUNCTION("if(H69="""", """", SUM(split(H69, "";"")))"),"")</f>
        <v/>
      </c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</row>
    <row r="70" ht="26.25" customHeight="1">
      <c r="A70" s="73"/>
      <c r="B70" s="68"/>
      <c r="C70" s="68"/>
      <c r="D70" s="71"/>
      <c r="E70" s="65"/>
      <c r="F70" s="65"/>
      <c r="G70" s="65" t="str">
        <f t="shared" si="1"/>
        <v/>
      </c>
      <c r="H70" s="72"/>
      <c r="I70" s="67" t="str">
        <f>IFERROR(__xludf.DUMMYFUNCTION("if($H70="""", """", AVERAGE(split($H70, "";"")))"),"")</f>
        <v/>
      </c>
      <c r="J70" s="67" t="str">
        <f>IFERROR(__xludf.DUMMYFUNCTION("if(H70="""", """", SUM(split(H70, "";"")))"),"")</f>
        <v/>
      </c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8"/>
    </row>
    <row r="71" ht="26.25" customHeight="1">
      <c r="A71" s="73"/>
      <c r="B71" s="68"/>
      <c r="C71" s="68"/>
      <c r="D71" s="71"/>
      <c r="E71" s="65"/>
      <c r="F71" s="65"/>
      <c r="G71" s="65" t="str">
        <f t="shared" si="1"/>
        <v/>
      </c>
      <c r="H71" s="72"/>
      <c r="I71" s="67" t="str">
        <f>IFERROR(__xludf.DUMMYFUNCTION("if($H71="""", """", AVERAGE(split($H71, "";"")))"),"")</f>
        <v/>
      </c>
      <c r="J71" s="67" t="str">
        <f>IFERROR(__xludf.DUMMYFUNCTION("if(H71="""", """", SUM(split(H71, "";"")))"),"")</f>
        <v/>
      </c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8"/>
    </row>
    <row r="72" ht="26.25" customHeight="1">
      <c r="A72" s="73"/>
      <c r="B72" s="68"/>
      <c r="C72" s="68"/>
      <c r="D72" s="71"/>
      <c r="E72" s="65"/>
      <c r="F72" s="65"/>
      <c r="G72" s="65" t="str">
        <f t="shared" si="1"/>
        <v/>
      </c>
      <c r="H72" s="72"/>
      <c r="I72" s="67" t="str">
        <f>IFERROR(__xludf.DUMMYFUNCTION("if($H72="""", """", AVERAGE(split($H72, "";"")))"),"")</f>
        <v/>
      </c>
      <c r="J72" s="67" t="str">
        <f>IFERROR(__xludf.DUMMYFUNCTION("if(H72="""", """", SUM(split(H72, "";"")))"),"")</f>
        <v/>
      </c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  <c r="AA72" s="68"/>
    </row>
    <row r="73" ht="26.25" customHeight="1">
      <c r="A73" s="73"/>
      <c r="B73" s="68"/>
      <c r="C73" s="68"/>
      <c r="D73" s="71"/>
      <c r="E73" s="65"/>
      <c r="F73" s="65"/>
      <c r="G73" s="65" t="str">
        <f t="shared" si="1"/>
        <v/>
      </c>
      <c r="H73" s="72"/>
      <c r="I73" s="67" t="str">
        <f>IFERROR(__xludf.DUMMYFUNCTION("if($H73="""", """", AVERAGE(split($H73, "";"")))"),"")</f>
        <v/>
      </c>
      <c r="J73" s="67" t="str">
        <f>IFERROR(__xludf.DUMMYFUNCTION("if(H73="""", """", SUM(split(H73, "";"")))"),"")</f>
        <v/>
      </c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</row>
    <row r="74" ht="26.25" customHeight="1">
      <c r="A74" s="73"/>
      <c r="B74" s="68"/>
      <c r="C74" s="68"/>
      <c r="D74" s="71"/>
      <c r="E74" s="65"/>
      <c r="F74" s="65"/>
      <c r="G74" s="65" t="str">
        <f t="shared" si="1"/>
        <v/>
      </c>
      <c r="H74" s="72"/>
      <c r="I74" s="67" t="str">
        <f>IFERROR(__xludf.DUMMYFUNCTION("if($H74="""", """", AVERAGE(split($H74, "";"")))"),"")</f>
        <v/>
      </c>
      <c r="J74" s="67" t="str">
        <f>IFERROR(__xludf.DUMMYFUNCTION("if(H74="""", """", SUM(split(H74, "";"")))"),"")</f>
        <v/>
      </c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  <c r="AA74" s="68"/>
    </row>
    <row r="75" ht="26.25" customHeight="1">
      <c r="A75" s="73"/>
      <c r="B75" s="68"/>
      <c r="C75" s="68"/>
      <c r="D75" s="71"/>
      <c r="E75" s="65"/>
      <c r="F75" s="65"/>
      <c r="G75" s="65" t="str">
        <f t="shared" si="1"/>
        <v/>
      </c>
      <c r="H75" s="72"/>
      <c r="I75" s="67" t="str">
        <f>IFERROR(__xludf.DUMMYFUNCTION("if($H75="""", """", AVERAGE(split($H75, "";"")))"),"")</f>
        <v/>
      </c>
      <c r="J75" s="67" t="str">
        <f>IFERROR(__xludf.DUMMYFUNCTION("if(H75="""", """", SUM(split(H75, "";"")))"),"")</f>
        <v/>
      </c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68"/>
    </row>
    <row r="76" ht="26.25" customHeight="1">
      <c r="A76" s="73"/>
      <c r="B76" s="68"/>
      <c r="C76" s="68"/>
      <c r="D76" s="71"/>
      <c r="E76" s="65"/>
      <c r="F76" s="65"/>
      <c r="G76" s="65" t="str">
        <f t="shared" si="1"/>
        <v/>
      </c>
      <c r="H76" s="72"/>
      <c r="I76" s="67" t="str">
        <f>IFERROR(__xludf.DUMMYFUNCTION("if($H76="""", """", AVERAGE(split($H76, "";"")))"),"")</f>
        <v/>
      </c>
      <c r="J76" s="67" t="str">
        <f>IFERROR(__xludf.DUMMYFUNCTION("if(H76="""", """", SUM(split(H76, "";"")))"),"")</f>
        <v/>
      </c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</row>
    <row r="77" ht="26.25" customHeight="1">
      <c r="A77" s="73"/>
      <c r="B77" s="68"/>
      <c r="C77" s="68"/>
      <c r="D77" s="71"/>
      <c r="E77" s="65"/>
      <c r="F77" s="65"/>
      <c r="G77" s="65" t="str">
        <f t="shared" si="1"/>
        <v/>
      </c>
      <c r="H77" s="72"/>
      <c r="I77" s="67" t="str">
        <f>IFERROR(__xludf.DUMMYFUNCTION("if($H77="""", """", AVERAGE(split($H77, "";"")))"),"")</f>
        <v/>
      </c>
      <c r="J77" s="67" t="str">
        <f>IFERROR(__xludf.DUMMYFUNCTION("if(H77="""", """", SUM(split(H77, "";"")))"),"")</f>
        <v/>
      </c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</row>
    <row r="78" ht="26.25" customHeight="1">
      <c r="A78" s="73"/>
      <c r="B78" s="68"/>
      <c r="C78" s="68"/>
      <c r="D78" s="71"/>
      <c r="E78" s="65"/>
      <c r="F78" s="65"/>
      <c r="G78" s="65" t="str">
        <f t="shared" si="1"/>
        <v/>
      </c>
      <c r="H78" s="72"/>
      <c r="I78" s="67" t="str">
        <f>IFERROR(__xludf.DUMMYFUNCTION("if($H78="""", """", AVERAGE(split($H78, "";"")))"),"")</f>
        <v/>
      </c>
      <c r="J78" s="67" t="str">
        <f>IFERROR(__xludf.DUMMYFUNCTION("if(H78="""", """", SUM(split(H78, "";"")))"),"")</f>
        <v/>
      </c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</row>
    <row r="79" ht="26.25" customHeight="1">
      <c r="A79" s="73"/>
      <c r="B79" s="68"/>
      <c r="C79" s="68"/>
      <c r="D79" s="71"/>
      <c r="E79" s="65"/>
      <c r="F79" s="65"/>
      <c r="G79" s="65" t="str">
        <f t="shared" si="1"/>
        <v/>
      </c>
      <c r="H79" s="72"/>
      <c r="I79" s="67" t="str">
        <f>IFERROR(__xludf.DUMMYFUNCTION("if($H79="""", """", AVERAGE(split($H79, "";"")))"),"")</f>
        <v/>
      </c>
      <c r="J79" s="67" t="str">
        <f>IFERROR(__xludf.DUMMYFUNCTION("if(H79="""", """", SUM(split(H79, "";"")))"),"")</f>
        <v/>
      </c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</row>
    <row r="80" ht="26.25" customHeight="1">
      <c r="A80" s="73"/>
      <c r="B80" s="68"/>
      <c r="C80" s="68"/>
      <c r="D80" s="71"/>
      <c r="E80" s="65"/>
      <c r="F80" s="65"/>
      <c r="G80" s="65" t="str">
        <f t="shared" si="1"/>
        <v/>
      </c>
      <c r="H80" s="72"/>
      <c r="I80" s="67" t="str">
        <f>IFERROR(__xludf.DUMMYFUNCTION("if($H80="""", """", AVERAGE(split($H80, "";"")))"),"")</f>
        <v/>
      </c>
      <c r="J80" s="67" t="str">
        <f>IFERROR(__xludf.DUMMYFUNCTION("if(H80="""", """", SUM(split(H80, "";"")))"),"")</f>
        <v/>
      </c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</row>
    <row r="81" ht="26.25" customHeight="1">
      <c r="A81" s="73"/>
      <c r="B81" s="68"/>
      <c r="C81" s="68"/>
      <c r="D81" s="71"/>
      <c r="E81" s="65"/>
      <c r="F81" s="65"/>
      <c r="G81" s="65" t="str">
        <f t="shared" si="1"/>
        <v/>
      </c>
      <c r="H81" s="72"/>
      <c r="I81" s="67" t="str">
        <f>IFERROR(__xludf.DUMMYFUNCTION("if($H81="""", """", AVERAGE(split($H81, "";"")))"),"")</f>
        <v/>
      </c>
      <c r="J81" s="67" t="str">
        <f>IFERROR(__xludf.DUMMYFUNCTION("if(H81="""", """", SUM(split(H81, "";"")))"),"")</f>
        <v/>
      </c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  <c r="AA81" s="68"/>
    </row>
    <row r="82" ht="26.25" customHeight="1">
      <c r="A82" s="73"/>
      <c r="B82" s="68"/>
      <c r="C82" s="68"/>
      <c r="D82" s="71"/>
      <c r="E82" s="65"/>
      <c r="F82" s="65"/>
      <c r="G82" s="65" t="str">
        <f t="shared" si="1"/>
        <v/>
      </c>
      <c r="H82" s="72"/>
      <c r="I82" s="67" t="str">
        <f>IFERROR(__xludf.DUMMYFUNCTION("if($H82="""", """", AVERAGE(split($H82, "";"")))"),"")</f>
        <v/>
      </c>
      <c r="J82" s="67" t="str">
        <f>IFERROR(__xludf.DUMMYFUNCTION("if(H82="""", """", SUM(split(H82, "";"")))"),"")</f>
        <v/>
      </c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</row>
    <row r="83" ht="26.25" customHeight="1">
      <c r="A83" s="73"/>
      <c r="B83" s="68"/>
      <c r="C83" s="68"/>
      <c r="D83" s="71"/>
      <c r="E83" s="65"/>
      <c r="F83" s="65"/>
      <c r="G83" s="65" t="str">
        <f t="shared" si="1"/>
        <v/>
      </c>
      <c r="H83" s="72"/>
      <c r="I83" s="67" t="str">
        <f>IFERROR(__xludf.DUMMYFUNCTION("if($H83="""", """", AVERAGE(split($H83, "";"")))"),"")</f>
        <v/>
      </c>
      <c r="J83" s="67" t="str">
        <f>IFERROR(__xludf.DUMMYFUNCTION("if(H83="""", """", SUM(split(H83, "";"")))"),"")</f>
        <v/>
      </c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</row>
    <row r="84" ht="26.25" customHeight="1">
      <c r="A84" s="73"/>
      <c r="B84" s="68"/>
      <c r="C84" s="68"/>
      <c r="D84" s="71"/>
      <c r="E84" s="65"/>
      <c r="F84" s="65"/>
      <c r="G84" s="65" t="str">
        <f t="shared" si="1"/>
        <v/>
      </c>
      <c r="H84" s="72"/>
      <c r="I84" s="67" t="str">
        <f>IFERROR(__xludf.DUMMYFUNCTION("if($H84="""", """", AVERAGE(split($H84, "";"")))"),"")</f>
        <v/>
      </c>
      <c r="J84" s="67" t="str">
        <f>IFERROR(__xludf.DUMMYFUNCTION("if(H84="""", """", SUM(split(H84, "";"")))"),"")</f>
        <v/>
      </c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</row>
    <row r="85" ht="26.25" customHeight="1">
      <c r="A85" s="73"/>
      <c r="B85" s="68"/>
      <c r="C85" s="68"/>
      <c r="D85" s="71"/>
      <c r="E85" s="65"/>
      <c r="F85" s="65"/>
      <c r="G85" s="65" t="str">
        <f t="shared" si="1"/>
        <v/>
      </c>
      <c r="H85" s="72"/>
      <c r="I85" s="67" t="str">
        <f>IFERROR(__xludf.DUMMYFUNCTION("if($H85="""", """", AVERAGE(split($H85, "";"")))"),"")</f>
        <v/>
      </c>
      <c r="J85" s="67" t="str">
        <f>IFERROR(__xludf.DUMMYFUNCTION("if(H85="""", """", SUM(split(H85, "";"")))"),"")</f>
        <v/>
      </c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</row>
    <row r="86" ht="26.25" customHeight="1">
      <c r="A86" s="73"/>
      <c r="B86" s="68"/>
      <c r="C86" s="68"/>
      <c r="D86" s="71"/>
      <c r="E86" s="65"/>
      <c r="F86" s="65"/>
      <c r="G86" s="65" t="str">
        <f t="shared" si="1"/>
        <v/>
      </c>
      <c r="H86" s="72"/>
      <c r="I86" s="67" t="str">
        <f>IFERROR(__xludf.DUMMYFUNCTION("if($H86="""", """", AVERAGE(split($H86, "";"")))"),"")</f>
        <v/>
      </c>
      <c r="J86" s="67" t="str">
        <f>IFERROR(__xludf.DUMMYFUNCTION("if(H86="""", """", SUM(split(H86, "";"")))"),"")</f>
        <v/>
      </c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</row>
    <row r="87" ht="26.25" customHeight="1">
      <c r="A87" s="73"/>
      <c r="B87" s="68"/>
      <c r="C87" s="68"/>
      <c r="D87" s="71"/>
      <c r="E87" s="65"/>
      <c r="F87" s="65"/>
      <c r="G87" s="65" t="str">
        <f t="shared" si="1"/>
        <v/>
      </c>
      <c r="H87" s="72"/>
      <c r="I87" s="67" t="str">
        <f>IFERROR(__xludf.DUMMYFUNCTION("if($H87="""", """", AVERAGE(split($H87, "";"")))"),"")</f>
        <v/>
      </c>
      <c r="J87" s="67" t="str">
        <f>IFERROR(__xludf.DUMMYFUNCTION("if(H87="""", """", SUM(split(H87, "";"")))"),"")</f>
        <v/>
      </c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</row>
    <row r="88" ht="26.25" customHeight="1">
      <c r="A88" s="73"/>
      <c r="B88" s="68"/>
      <c r="C88" s="68"/>
      <c r="D88" s="71"/>
      <c r="E88" s="65"/>
      <c r="F88" s="65"/>
      <c r="G88" s="65" t="str">
        <f t="shared" si="1"/>
        <v/>
      </c>
      <c r="H88" s="72"/>
      <c r="I88" s="67" t="str">
        <f>IFERROR(__xludf.DUMMYFUNCTION("if($H88="""", """", AVERAGE(split($H88, "";"")))"),"")</f>
        <v/>
      </c>
      <c r="J88" s="67" t="str">
        <f>IFERROR(__xludf.DUMMYFUNCTION("if(H88="""", """", SUM(split(H88, "";"")))"),"")</f>
        <v/>
      </c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</row>
    <row r="89" ht="26.25" customHeight="1">
      <c r="A89" s="68"/>
      <c r="B89" s="68"/>
      <c r="C89" s="68"/>
      <c r="D89" s="71"/>
      <c r="E89" s="65"/>
      <c r="F89" s="65"/>
      <c r="G89" s="65" t="str">
        <f t="shared" si="1"/>
        <v/>
      </c>
      <c r="H89" s="72"/>
      <c r="I89" s="67" t="str">
        <f>IFERROR(__xludf.DUMMYFUNCTION("if($H89="""", """", AVERAGE(split($H89, "";"")))"),"")</f>
        <v/>
      </c>
      <c r="J89" s="67" t="str">
        <f>IFERROR(__xludf.DUMMYFUNCTION("if(H89="""", """", SUM(split(H89, "";"")))"),"")</f>
        <v/>
      </c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</row>
    <row r="90" ht="26.25" customHeight="1">
      <c r="A90" s="68"/>
      <c r="B90" s="68"/>
      <c r="C90" s="68"/>
      <c r="D90" s="71"/>
      <c r="E90" s="65"/>
      <c r="F90" s="65"/>
      <c r="G90" s="65" t="str">
        <f t="shared" si="1"/>
        <v/>
      </c>
      <c r="H90" s="72"/>
      <c r="I90" s="67" t="str">
        <f>IFERROR(__xludf.DUMMYFUNCTION("if($H90="""", """", AVERAGE(split($H90, "";"")))"),"")</f>
        <v/>
      </c>
      <c r="J90" s="67" t="str">
        <f>IFERROR(__xludf.DUMMYFUNCTION("if(H90="""", """", SUM(split(H90, "";"")))"),"")</f>
        <v/>
      </c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</row>
    <row r="91" ht="26.25" customHeight="1">
      <c r="A91" s="68"/>
      <c r="B91" s="68"/>
      <c r="C91" s="68"/>
      <c r="D91" s="71"/>
      <c r="E91" s="65"/>
      <c r="F91" s="65"/>
      <c r="G91" s="65" t="str">
        <f t="shared" si="1"/>
        <v/>
      </c>
      <c r="H91" s="72"/>
      <c r="I91" s="67" t="str">
        <f>IFERROR(__xludf.DUMMYFUNCTION("if($H91="""", """", AVERAGE(split($H91, "";"")))"),"")</f>
        <v/>
      </c>
      <c r="J91" s="67" t="str">
        <f>IFERROR(__xludf.DUMMYFUNCTION("if(H91="""", """", SUM(split(H91, "";"")))"),"")</f>
        <v/>
      </c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</row>
    <row r="92" ht="26.25" customHeight="1">
      <c r="A92" s="68"/>
      <c r="B92" s="68"/>
      <c r="C92" s="68"/>
      <c r="D92" s="71"/>
      <c r="E92" s="65"/>
      <c r="F92" s="65"/>
      <c r="G92" s="65" t="str">
        <f t="shared" si="1"/>
        <v/>
      </c>
      <c r="H92" s="72"/>
      <c r="I92" s="67" t="str">
        <f>IFERROR(__xludf.DUMMYFUNCTION("if($H92="""", """", AVERAGE(split($H92, "";"")))"),"")</f>
        <v/>
      </c>
      <c r="J92" s="67" t="str">
        <f>IFERROR(__xludf.DUMMYFUNCTION("if(H92="""", """", SUM(split(H92, "";"")))"),"")</f>
        <v/>
      </c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</row>
    <row r="93" ht="26.25" customHeight="1">
      <c r="A93" s="68"/>
      <c r="B93" s="68"/>
      <c r="C93" s="68"/>
      <c r="D93" s="71"/>
      <c r="E93" s="65"/>
      <c r="F93" s="65"/>
      <c r="G93" s="65" t="str">
        <f t="shared" si="1"/>
        <v/>
      </c>
      <c r="H93" s="72"/>
      <c r="I93" s="67" t="str">
        <f>IFERROR(__xludf.DUMMYFUNCTION("if($H93="""", """", AVERAGE(split($H93, "";"")))"),"")</f>
        <v/>
      </c>
      <c r="J93" s="67" t="str">
        <f>IFERROR(__xludf.DUMMYFUNCTION("if(H93="""", """", SUM(split(H93, "";"")))"),"")</f>
        <v/>
      </c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</row>
    <row r="94" ht="26.25" customHeight="1">
      <c r="A94" s="68"/>
      <c r="B94" s="68"/>
      <c r="C94" s="68"/>
      <c r="D94" s="71"/>
      <c r="E94" s="65"/>
      <c r="F94" s="65"/>
      <c r="G94" s="65" t="str">
        <f t="shared" si="1"/>
        <v/>
      </c>
      <c r="H94" s="72"/>
      <c r="I94" s="67" t="str">
        <f>IFERROR(__xludf.DUMMYFUNCTION("if($H94="""", """", AVERAGE(split($H94, "";"")))"),"")</f>
        <v/>
      </c>
      <c r="J94" s="67" t="str">
        <f>IFERROR(__xludf.DUMMYFUNCTION("if(H94="""", """", SUM(split(H94, "";"")))"),"")</f>
        <v/>
      </c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</row>
    <row r="95" ht="26.25" customHeight="1">
      <c r="A95" s="68"/>
      <c r="B95" s="68"/>
      <c r="C95" s="68"/>
      <c r="D95" s="71"/>
      <c r="E95" s="65"/>
      <c r="F95" s="65"/>
      <c r="G95" s="65" t="str">
        <f t="shared" si="1"/>
        <v/>
      </c>
      <c r="H95" s="72"/>
      <c r="I95" s="67" t="str">
        <f>IFERROR(__xludf.DUMMYFUNCTION("if($H95="""", """", AVERAGE(split($H95, "";"")))"),"")</f>
        <v/>
      </c>
      <c r="J95" s="67" t="str">
        <f>IFERROR(__xludf.DUMMYFUNCTION("if(H95="""", """", SUM(split(H95, "";"")))"),"")</f>
        <v/>
      </c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</row>
    <row r="96" ht="26.25" customHeight="1">
      <c r="A96" s="68"/>
      <c r="B96" s="68"/>
      <c r="C96" s="68"/>
      <c r="D96" s="71"/>
      <c r="E96" s="65"/>
      <c r="F96" s="65"/>
      <c r="G96" s="65" t="str">
        <f t="shared" si="1"/>
        <v/>
      </c>
      <c r="H96" s="72"/>
      <c r="I96" s="67" t="str">
        <f>IFERROR(__xludf.DUMMYFUNCTION("if($H96="""", """", AVERAGE(split($H96, "";"")))"),"")</f>
        <v/>
      </c>
      <c r="J96" s="67" t="str">
        <f>IFERROR(__xludf.DUMMYFUNCTION("if(H96="""", """", SUM(split(H96, "";"")))"),"")</f>
        <v/>
      </c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</row>
    <row r="97" ht="26.25" customHeight="1">
      <c r="A97" s="68"/>
      <c r="B97" s="68"/>
      <c r="C97" s="68"/>
      <c r="D97" s="71"/>
      <c r="E97" s="65"/>
      <c r="F97" s="65"/>
      <c r="G97" s="65" t="str">
        <f t="shared" si="1"/>
        <v/>
      </c>
      <c r="H97" s="74"/>
      <c r="I97" s="67" t="str">
        <f>IFERROR(__xludf.DUMMYFUNCTION("if($H97="""", """", AVERAGE(split($H97, "";"")))"),"")</f>
        <v/>
      </c>
      <c r="J97" s="67" t="str">
        <f>IFERROR(__xludf.DUMMYFUNCTION("if(H97="""", """", SUM(split(H97, "";"")))"),"")</f>
        <v/>
      </c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</row>
    <row r="98" ht="26.25" customHeight="1">
      <c r="A98" s="68"/>
      <c r="B98" s="68"/>
      <c r="C98" s="68"/>
      <c r="D98" s="71"/>
      <c r="E98" s="65"/>
      <c r="F98" s="65"/>
      <c r="G98" s="65" t="str">
        <f t="shared" si="1"/>
        <v/>
      </c>
      <c r="H98" s="74"/>
      <c r="I98" s="67" t="str">
        <f>IFERROR(__xludf.DUMMYFUNCTION("if($H98="""", """", AVERAGE(split($H98, "";"")))"),"")</f>
        <v/>
      </c>
      <c r="J98" s="67" t="str">
        <f>IFERROR(__xludf.DUMMYFUNCTION("if(H98="""", """", SUM(split(H98, "";"")))"),"")</f>
        <v/>
      </c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</row>
    <row r="99" ht="26.25" customHeight="1">
      <c r="A99" s="68"/>
      <c r="B99" s="68"/>
      <c r="C99" s="68"/>
      <c r="D99" s="71"/>
      <c r="E99" s="71"/>
      <c r="F99" s="71"/>
      <c r="G99" s="65" t="str">
        <f t="shared" si="1"/>
        <v/>
      </c>
      <c r="H99" s="74"/>
      <c r="I99" s="67" t="str">
        <f>IFERROR(__xludf.DUMMYFUNCTION("if($H99="""", """", AVERAGE(split($H99, "";"")))"),"")</f>
        <v/>
      </c>
      <c r="J99" s="67" t="str">
        <f>IFERROR(__xludf.DUMMYFUNCTION("if(H99="""", """", SUM(split(H99, "";"")))"),"")</f>
        <v/>
      </c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</row>
    <row r="100" ht="26.25" customHeight="1">
      <c r="A100" s="68"/>
      <c r="B100" s="68"/>
      <c r="C100" s="68"/>
      <c r="D100" s="71"/>
      <c r="E100" s="71"/>
      <c r="F100" s="71"/>
      <c r="G100" s="65" t="str">
        <f t="shared" si="1"/>
        <v/>
      </c>
      <c r="H100" s="74"/>
      <c r="I100" s="67" t="str">
        <f>IFERROR(__xludf.DUMMYFUNCTION("if($H100="""", """", AVERAGE(split($H100, "";"")))"),"")</f>
        <v/>
      </c>
      <c r="J100" s="67" t="str">
        <f>IFERROR(__xludf.DUMMYFUNCTION("if(H100="""", """", SUM(split(H100, "";"")))"),"")</f>
        <v/>
      </c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</row>
    <row r="101" ht="26.25" customHeight="1">
      <c r="A101" s="68"/>
      <c r="B101" s="68"/>
      <c r="C101" s="68"/>
      <c r="D101" s="71"/>
      <c r="E101" s="71"/>
      <c r="F101" s="71"/>
      <c r="G101" s="65" t="str">
        <f t="shared" si="1"/>
        <v/>
      </c>
      <c r="H101" s="74"/>
      <c r="I101" s="67" t="str">
        <f>IFERROR(__xludf.DUMMYFUNCTION("if($H101="""", """", AVERAGE(split($H101, "";"")))"),"")</f>
        <v/>
      </c>
      <c r="J101" s="67" t="str">
        <f>IFERROR(__xludf.DUMMYFUNCTION("if(H101="""", """", SUM(split(H101, "";"")))"),"")</f>
        <v/>
      </c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</row>
    <row r="102" ht="26.25" customHeight="1">
      <c r="A102" s="68"/>
      <c r="B102" s="68"/>
      <c r="C102" s="68"/>
      <c r="D102" s="71"/>
      <c r="E102" s="71"/>
      <c r="F102" s="71"/>
      <c r="G102" s="65" t="str">
        <f t="shared" si="1"/>
        <v/>
      </c>
      <c r="H102" s="74"/>
      <c r="I102" s="67" t="str">
        <f>IFERROR(__xludf.DUMMYFUNCTION("if($H102="""", """", AVERAGE(split($H102, "";"")))"),"")</f>
        <v/>
      </c>
      <c r="J102" s="67" t="str">
        <f>IFERROR(__xludf.DUMMYFUNCTION("if(H102="""", """", SUM(split(H102, "";"")))"),"")</f>
        <v/>
      </c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</row>
    <row r="103" ht="26.25" customHeight="1">
      <c r="A103" s="68"/>
      <c r="B103" s="68"/>
      <c r="C103" s="68"/>
      <c r="D103" s="71"/>
      <c r="E103" s="71"/>
      <c r="F103" s="71"/>
      <c r="G103" s="65" t="str">
        <f t="shared" si="1"/>
        <v/>
      </c>
      <c r="H103" s="74"/>
      <c r="I103" s="67" t="str">
        <f>IFERROR(__xludf.DUMMYFUNCTION("if($H103="""", """", AVERAGE(split($H103, "";"")))"),"")</f>
        <v/>
      </c>
      <c r="J103" s="67" t="str">
        <f>IFERROR(__xludf.DUMMYFUNCTION("if(H103="""", """", SUM(split(H103, "";"")))"),"")</f>
        <v/>
      </c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</row>
    <row r="104" ht="26.25" customHeight="1">
      <c r="A104" s="68"/>
      <c r="B104" s="68"/>
      <c r="C104" s="68"/>
      <c r="D104" s="71"/>
      <c r="E104" s="71"/>
      <c r="F104" s="71"/>
      <c r="G104" s="65" t="str">
        <f t="shared" si="1"/>
        <v/>
      </c>
      <c r="H104" s="74"/>
      <c r="I104" s="67" t="str">
        <f>IFERROR(__xludf.DUMMYFUNCTION("if($H104="""", """", AVERAGE(split($H104, "";"")))"),"")</f>
        <v/>
      </c>
      <c r="J104" s="67" t="str">
        <f>IFERROR(__xludf.DUMMYFUNCTION("if(H104="""", """", SUM(split(H104, "";"")))"),"")</f>
        <v/>
      </c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</row>
    <row r="105" ht="26.25" customHeight="1">
      <c r="A105" s="68"/>
      <c r="B105" s="68"/>
      <c r="C105" s="68"/>
      <c r="D105" s="71"/>
      <c r="E105" s="71"/>
      <c r="F105" s="71"/>
      <c r="G105" s="65" t="str">
        <f t="shared" si="1"/>
        <v/>
      </c>
      <c r="H105" s="74"/>
      <c r="I105" s="67" t="str">
        <f>IFERROR(__xludf.DUMMYFUNCTION("if($H105="""", """", AVERAGE(split($H105, "";"")))"),"")</f>
        <v/>
      </c>
      <c r="J105" s="67" t="str">
        <f>IFERROR(__xludf.DUMMYFUNCTION("if(H105="""", """", SUM(split(H105, "";"")))"),"")</f>
        <v/>
      </c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</row>
    <row r="106" ht="26.25" customHeight="1">
      <c r="A106" s="68"/>
      <c r="B106" s="68"/>
      <c r="C106" s="68"/>
      <c r="D106" s="71"/>
      <c r="E106" s="71"/>
      <c r="F106" s="71"/>
      <c r="G106" s="65" t="str">
        <f t="shared" si="1"/>
        <v/>
      </c>
      <c r="H106" s="74"/>
      <c r="I106" s="67" t="str">
        <f>IFERROR(__xludf.DUMMYFUNCTION("if($H106="""", """", AVERAGE(split($H106, "";"")))"),"")</f>
        <v/>
      </c>
      <c r="J106" s="67" t="str">
        <f>IFERROR(__xludf.DUMMYFUNCTION("if(H106="""", """", SUM(split(H106, "";"")))"),"")</f>
        <v/>
      </c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</row>
    <row r="107" ht="26.25" customHeight="1">
      <c r="A107" s="68"/>
      <c r="B107" s="68"/>
      <c r="C107" s="68"/>
      <c r="D107" s="71"/>
      <c r="E107" s="71"/>
      <c r="F107" s="71"/>
      <c r="G107" s="65" t="str">
        <f t="shared" si="1"/>
        <v/>
      </c>
      <c r="H107" s="74"/>
      <c r="I107" s="67" t="str">
        <f>IFERROR(__xludf.DUMMYFUNCTION("if($H107="""", """", AVERAGE(split($H107, "";"")))"),"")</f>
        <v/>
      </c>
      <c r="J107" s="67" t="str">
        <f>IFERROR(__xludf.DUMMYFUNCTION("if(H107="""", """", SUM(split(H107, "";"")))"),"")</f>
        <v/>
      </c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</row>
    <row r="108" ht="26.25" customHeight="1">
      <c r="A108" s="68"/>
      <c r="B108" s="68"/>
      <c r="C108" s="68"/>
      <c r="D108" s="71"/>
      <c r="E108" s="71"/>
      <c r="F108" s="71"/>
      <c r="G108" s="65" t="str">
        <f t="shared" si="1"/>
        <v/>
      </c>
      <c r="H108" s="74"/>
      <c r="I108" s="67" t="str">
        <f>IFERROR(__xludf.DUMMYFUNCTION("if($H108="""", """", AVERAGE(split($H108, "";"")))"),"")</f>
        <v/>
      </c>
      <c r="J108" s="67" t="str">
        <f>IFERROR(__xludf.DUMMYFUNCTION("if(H108="""", """", SUM(split(H108, "";"")))"),"")</f>
        <v/>
      </c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</row>
    <row r="109" ht="26.25" customHeight="1">
      <c r="A109" s="68"/>
      <c r="B109" s="68"/>
      <c r="C109" s="68"/>
      <c r="D109" s="71"/>
      <c r="E109" s="71"/>
      <c r="F109" s="71"/>
      <c r="G109" s="65" t="str">
        <f t="shared" si="1"/>
        <v/>
      </c>
      <c r="H109" s="74"/>
      <c r="I109" s="67" t="str">
        <f>IFERROR(__xludf.DUMMYFUNCTION("if($H109="""", """", AVERAGE(split($H109, "";"")))"),"")</f>
        <v/>
      </c>
      <c r="J109" s="67" t="str">
        <f>IFERROR(__xludf.DUMMYFUNCTION("if(H109="""", """", SUM(split(H109, "";"")))"),"")</f>
        <v/>
      </c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</row>
    <row r="110" ht="26.25" customHeight="1">
      <c r="A110" s="68"/>
      <c r="B110" s="68"/>
      <c r="C110" s="68"/>
      <c r="D110" s="71"/>
      <c r="E110" s="71"/>
      <c r="F110" s="71"/>
      <c r="G110" s="65" t="str">
        <f t="shared" si="1"/>
        <v/>
      </c>
      <c r="H110" s="74"/>
      <c r="I110" s="67" t="str">
        <f>IFERROR(__xludf.DUMMYFUNCTION("if($H110="""", """", AVERAGE(split($H110, "";"")))"),"")</f>
        <v/>
      </c>
      <c r="J110" s="67" t="str">
        <f>IFERROR(__xludf.DUMMYFUNCTION("if(H110="""", """", SUM(split(H110, "";"")))"),"")</f>
        <v/>
      </c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  <c r="AA110" s="68"/>
    </row>
    <row r="111" ht="26.25" customHeight="1">
      <c r="A111" s="68"/>
      <c r="B111" s="68"/>
      <c r="C111" s="68"/>
      <c r="D111" s="71"/>
      <c r="E111" s="71"/>
      <c r="F111" s="71"/>
      <c r="G111" s="65" t="str">
        <f t="shared" si="1"/>
        <v/>
      </c>
      <c r="H111" s="74"/>
      <c r="I111" s="67" t="str">
        <f>IFERROR(__xludf.DUMMYFUNCTION("if($H111="""", """", AVERAGE(split($H111, "";"")))"),"")</f>
        <v/>
      </c>
      <c r="J111" s="67" t="str">
        <f>IFERROR(__xludf.DUMMYFUNCTION("if(H111="""", """", SUM(split(H111, "";"")))"),"")</f>
        <v/>
      </c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</row>
    <row r="112" ht="26.25" customHeight="1">
      <c r="A112" s="68"/>
      <c r="B112" s="68"/>
      <c r="C112" s="68"/>
      <c r="D112" s="71"/>
      <c r="E112" s="71"/>
      <c r="F112" s="71"/>
      <c r="G112" s="65" t="str">
        <f t="shared" si="1"/>
        <v/>
      </c>
      <c r="H112" s="74"/>
      <c r="I112" s="67" t="str">
        <f>IFERROR(__xludf.DUMMYFUNCTION("if($H112="""", """", AVERAGE(split($H112, "";"")))"),"")</f>
        <v/>
      </c>
      <c r="J112" s="67" t="str">
        <f>IFERROR(__xludf.DUMMYFUNCTION("if(H112="""", """", SUM(split(H112, "";"")))"),"")</f>
        <v/>
      </c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  <c r="AA112" s="68"/>
    </row>
    <row r="113" ht="26.25" customHeight="1">
      <c r="A113" s="68"/>
      <c r="B113" s="68"/>
      <c r="C113" s="68"/>
      <c r="D113" s="71"/>
      <c r="E113" s="71"/>
      <c r="F113" s="71"/>
      <c r="G113" s="65" t="str">
        <f t="shared" si="1"/>
        <v/>
      </c>
      <c r="H113" s="74"/>
      <c r="I113" s="67" t="str">
        <f>IFERROR(__xludf.DUMMYFUNCTION("if($H113="""", """", AVERAGE(split($H113, "";"")))"),"")</f>
        <v/>
      </c>
      <c r="J113" s="67" t="str">
        <f>IFERROR(__xludf.DUMMYFUNCTION("if(H113="""", """", SUM(split(H113, "";"")))"),"")</f>
        <v/>
      </c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  <c r="AA113" s="68"/>
    </row>
    <row r="114" ht="26.25" customHeight="1">
      <c r="A114" s="68"/>
      <c r="B114" s="68"/>
      <c r="C114" s="68"/>
      <c r="D114" s="71"/>
      <c r="E114" s="71"/>
      <c r="F114" s="71"/>
      <c r="G114" s="65" t="str">
        <f t="shared" si="1"/>
        <v/>
      </c>
      <c r="H114" s="74"/>
      <c r="I114" s="67" t="str">
        <f>IFERROR(__xludf.DUMMYFUNCTION("if($H114="""", """", AVERAGE(split($H114, "";"")))"),"")</f>
        <v/>
      </c>
      <c r="J114" s="67" t="str">
        <f>IFERROR(__xludf.DUMMYFUNCTION("if(H114="""", """", SUM(split(H114, "";"")))"),"")</f>
        <v/>
      </c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  <c r="AA114" s="68"/>
    </row>
    <row r="115" ht="26.25" customHeight="1">
      <c r="A115" s="68"/>
      <c r="B115" s="68"/>
      <c r="C115" s="68"/>
      <c r="D115" s="71"/>
      <c r="E115" s="71"/>
      <c r="F115" s="71"/>
      <c r="G115" s="65" t="str">
        <f t="shared" si="1"/>
        <v/>
      </c>
      <c r="H115" s="74"/>
      <c r="I115" s="67" t="str">
        <f>IFERROR(__xludf.DUMMYFUNCTION("if($H115="""", """", AVERAGE(split($H115, "";"")))"),"")</f>
        <v/>
      </c>
      <c r="J115" s="67" t="str">
        <f>IFERROR(__xludf.DUMMYFUNCTION("if(H115="""", """", SUM(split(H115, "";"")))"),"")</f>
        <v/>
      </c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  <c r="AA115" s="68"/>
    </row>
    <row r="116" ht="26.25" customHeight="1">
      <c r="A116" s="68"/>
      <c r="B116" s="68"/>
      <c r="C116" s="68"/>
      <c r="D116" s="71"/>
      <c r="E116" s="71"/>
      <c r="F116" s="71"/>
      <c r="G116" s="65" t="str">
        <f t="shared" si="1"/>
        <v/>
      </c>
      <c r="H116" s="74"/>
      <c r="I116" s="67" t="str">
        <f>IFERROR(__xludf.DUMMYFUNCTION("if($H116="""", """", AVERAGE(split($H116, "";"")))"),"")</f>
        <v/>
      </c>
      <c r="J116" s="67" t="str">
        <f>IFERROR(__xludf.DUMMYFUNCTION("if(H116="""", """", SUM(split(H116, "";"")))"),"")</f>
        <v/>
      </c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  <c r="AA116" s="68"/>
    </row>
    <row r="117" ht="26.25" customHeight="1">
      <c r="A117" s="68"/>
      <c r="B117" s="68"/>
      <c r="C117" s="68"/>
      <c r="D117" s="71"/>
      <c r="E117" s="71"/>
      <c r="F117" s="71"/>
      <c r="G117" s="65" t="str">
        <f t="shared" si="1"/>
        <v/>
      </c>
      <c r="H117" s="74"/>
      <c r="I117" s="67" t="str">
        <f>IFERROR(__xludf.DUMMYFUNCTION("if($H117="""", """", AVERAGE(split($H117, "";"")))"),"")</f>
        <v/>
      </c>
      <c r="J117" s="67" t="str">
        <f>IFERROR(__xludf.DUMMYFUNCTION("if(H117="""", """", SUM(split(H117, "";"")))"),"")</f>
        <v/>
      </c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</row>
    <row r="118" ht="26.25" customHeight="1">
      <c r="A118" s="68"/>
      <c r="B118" s="68"/>
      <c r="C118" s="68"/>
      <c r="D118" s="71"/>
      <c r="E118" s="71"/>
      <c r="F118" s="71"/>
      <c r="G118" s="65" t="str">
        <f t="shared" si="1"/>
        <v/>
      </c>
      <c r="H118" s="74"/>
      <c r="I118" s="67" t="str">
        <f>IFERROR(__xludf.DUMMYFUNCTION("if($H118="""", """", AVERAGE(split($H118, "";"")))"),"")</f>
        <v/>
      </c>
      <c r="J118" s="67" t="str">
        <f>IFERROR(__xludf.DUMMYFUNCTION("if(H118="""", """", SUM(split(H118, "";"")))"),"")</f>
        <v/>
      </c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  <c r="AA118" s="68"/>
    </row>
    <row r="119" ht="26.25" customHeight="1">
      <c r="A119" s="68"/>
      <c r="B119" s="68"/>
      <c r="C119" s="68"/>
      <c r="D119" s="71"/>
      <c r="E119" s="71"/>
      <c r="F119" s="71"/>
      <c r="G119" s="65" t="str">
        <f t="shared" si="1"/>
        <v/>
      </c>
      <c r="H119" s="74"/>
      <c r="I119" s="67" t="str">
        <f>IFERROR(__xludf.DUMMYFUNCTION("if($H119="""", """", AVERAGE(split($H119, "";"")))"),"")</f>
        <v/>
      </c>
      <c r="J119" s="67" t="str">
        <f>IFERROR(__xludf.DUMMYFUNCTION("if(H119="""", """", SUM(split(H119, "";"")))"),"")</f>
        <v/>
      </c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  <c r="AA119" s="68"/>
    </row>
    <row r="120" ht="26.25" customHeight="1">
      <c r="A120" s="68"/>
      <c r="B120" s="68"/>
      <c r="C120" s="68"/>
      <c r="D120" s="71"/>
      <c r="E120" s="71"/>
      <c r="F120" s="71"/>
      <c r="G120" s="65" t="str">
        <f t="shared" si="1"/>
        <v/>
      </c>
      <c r="H120" s="74"/>
      <c r="I120" s="67" t="str">
        <f>IFERROR(__xludf.DUMMYFUNCTION("if($H120="""", """", AVERAGE(split($H120, "";"")))"),"")</f>
        <v/>
      </c>
      <c r="J120" s="67" t="str">
        <f>IFERROR(__xludf.DUMMYFUNCTION("if(H120="""", """", SUM(split(H120, "";"")))"),"")</f>
        <v/>
      </c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  <c r="AA120" s="68"/>
    </row>
    <row r="121" ht="26.25" customHeight="1">
      <c r="A121" s="68"/>
      <c r="B121" s="68"/>
      <c r="C121" s="68"/>
      <c r="D121" s="71"/>
      <c r="E121" s="71"/>
      <c r="F121" s="71"/>
      <c r="G121" s="65" t="str">
        <f t="shared" si="1"/>
        <v/>
      </c>
      <c r="H121" s="74"/>
      <c r="I121" s="67" t="str">
        <f>IFERROR(__xludf.DUMMYFUNCTION("if($H121="""", """", AVERAGE(split($H121, "";"")))"),"")</f>
        <v/>
      </c>
      <c r="J121" s="67" t="str">
        <f>IFERROR(__xludf.DUMMYFUNCTION("if(H121="""", """", SUM(split(H121, "";"")))"),"")</f>
        <v/>
      </c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  <c r="AA121" s="68"/>
    </row>
    <row r="122" ht="26.25" customHeight="1">
      <c r="A122" s="68"/>
      <c r="B122" s="68"/>
      <c r="C122" s="68"/>
      <c r="D122" s="71"/>
      <c r="E122" s="71"/>
      <c r="F122" s="71"/>
      <c r="G122" s="65" t="str">
        <f t="shared" si="1"/>
        <v/>
      </c>
      <c r="H122" s="74"/>
      <c r="I122" s="67" t="str">
        <f>IFERROR(__xludf.DUMMYFUNCTION("if($H122="""", """", AVERAGE(split($H122, "";"")))"),"")</f>
        <v/>
      </c>
      <c r="J122" s="67" t="str">
        <f>IFERROR(__xludf.DUMMYFUNCTION("if(H122="""", """", SUM(split(H122, "";"")))"),"")</f>
        <v/>
      </c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</row>
    <row r="123" ht="26.25" customHeight="1">
      <c r="A123" s="68"/>
      <c r="B123" s="68"/>
      <c r="C123" s="68"/>
      <c r="D123" s="71"/>
      <c r="E123" s="71"/>
      <c r="F123" s="71"/>
      <c r="G123" s="65" t="str">
        <f t="shared" si="1"/>
        <v/>
      </c>
      <c r="H123" s="74"/>
      <c r="I123" s="67" t="str">
        <f>IFERROR(__xludf.DUMMYFUNCTION("if($H123="""", """", AVERAGE(split($H123, "";"")))"),"")</f>
        <v/>
      </c>
      <c r="J123" s="67" t="str">
        <f>IFERROR(__xludf.DUMMYFUNCTION("if(H123="""", """", SUM(split(H123, "";"")))"),"")</f>
        <v/>
      </c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  <c r="AA123" s="68"/>
    </row>
    <row r="124" ht="26.25" customHeight="1">
      <c r="A124" s="68"/>
      <c r="B124" s="68"/>
      <c r="C124" s="68"/>
      <c r="D124" s="71"/>
      <c r="E124" s="71"/>
      <c r="F124" s="71"/>
      <c r="G124" s="65" t="str">
        <f t="shared" si="1"/>
        <v/>
      </c>
      <c r="H124" s="74"/>
      <c r="I124" s="67" t="str">
        <f>IFERROR(__xludf.DUMMYFUNCTION("if($H124="""", """", AVERAGE(split($H124, "";"")))"),"")</f>
        <v/>
      </c>
      <c r="J124" s="67" t="str">
        <f>IFERROR(__xludf.DUMMYFUNCTION("if(H124="""", """", SUM(split(H124, "";"")))"),"")</f>
        <v/>
      </c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  <c r="AA124" s="68"/>
    </row>
    <row r="125" ht="26.25" customHeight="1">
      <c r="A125" s="68"/>
      <c r="B125" s="68"/>
      <c r="C125" s="68"/>
      <c r="D125" s="71"/>
      <c r="E125" s="71"/>
      <c r="F125" s="71"/>
      <c r="G125" s="65" t="str">
        <f t="shared" si="1"/>
        <v/>
      </c>
      <c r="H125" s="74"/>
      <c r="I125" s="67" t="str">
        <f>IFERROR(__xludf.DUMMYFUNCTION("if($H125="""", """", AVERAGE(split($H125, "";"")))"),"")</f>
        <v/>
      </c>
      <c r="J125" s="67" t="str">
        <f>IFERROR(__xludf.DUMMYFUNCTION("if(H125="""", """", SUM(split(H125, "";"")))"),"")</f>
        <v/>
      </c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  <c r="AA125" s="68"/>
    </row>
    <row r="126" ht="26.25" customHeight="1">
      <c r="A126" s="68"/>
      <c r="B126" s="68"/>
      <c r="C126" s="68"/>
      <c r="D126" s="71"/>
      <c r="E126" s="71"/>
      <c r="F126" s="71"/>
      <c r="G126" s="65" t="str">
        <f t="shared" si="1"/>
        <v/>
      </c>
      <c r="H126" s="74"/>
      <c r="I126" s="67" t="str">
        <f>IFERROR(__xludf.DUMMYFUNCTION("if($H126="""", """", AVERAGE(split($H126, "";"")))"),"")</f>
        <v/>
      </c>
      <c r="J126" s="67" t="str">
        <f>IFERROR(__xludf.DUMMYFUNCTION("if(H126="""", """", SUM(split(H126, "";"")))"),"")</f>
        <v/>
      </c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  <c r="AA126" s="68"/>
    </row>
    <row r="127" ht="26.25" customHeight="1">
      <c r="A127" s="68"/>
      <c r="B127" s="68"/>
      <c r="C127" s="68"/>
      <c r="D127" s="71"/>
      <c r="E127" s="71"/>
      <c r="F127" s="71"/>
      <c r="G127" s="65" t="str">
        <f t="shared" si="1"/>
        <v/>
      </c>
      <c r="H127" s="74"/>
      <c r="I127" s="67" t="str">
        <f>IFERROR(__xludf.DUMMYFUNCTION("if($H127="""", """", AVERAGE(split($H127, "";"")))"),"")</f>
        <v/>
      </c>
      <c r="J127" s="67" t="str">
        <f>IFERROR(__xludf.DUMMYFUNCTION("if(H127="""", """", SUM(split(H127, "";"")))"),"")</f>
        <v/>
      </c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  <c r="AA127" s="68"/>
    </row>
    <row r="128" ht="26.25" customHeight="1">
      <c r="A128" s="68"/>
      <c r="B128" s="68"/>
      <c r="C128" s="68"/>
      <c r="D128" s="71"/>
      <c r="E128" s="71"/>
      <c r="F128" s="71"/>
      <c r="G128" s="65" t="str">
        <f t="shared" si="1"/>
        <v/>
      </c>
      <c r="H128" s="74"/>
      <c r="I128" s="67" t="str">
        <f>IFERROR(__xludf.DUMMYFUNCTION("if($H128="""", """", AVERAGE(split($H128, "";"")))"),"")</f>
        <v/>
      </c>
      <c r="J128" s="67" t="str">
        <f>IFERROR(__xludf.DUMMYFUNCTION("if(H128="""", """", SUM(split(H128, "";"")))"),"")</f>
        <v/>
      </c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  <c r="AA128" s="68"/>
    </row>
    <row r="129" ht="26.25" customHeight="1">
      <c r="A129" s="68"/>
      <c r="B129" s="68"/>
      <c r="C129" s="68"/>
      <c r="D129" s="71"/>
      <c r="E129" s="71"/>
      <c r="F129" s="71"/>
      <c r="G129" s="65" t="str">
        <f t="shared" si="1"/>
        <v/>
      </c>
      <c r="H129" s="74"/>
      <c r="I129" s="67" t="str">
        <f>IFERROR(__xludf.DUMMYFUNCTION("if($H129="""", """", AVERAGE(split($H129, "";"")))"),"")</f>
        <v/>
      </c>
      <c r="J129" s="67" t="str">
        <f>IFERROR(__xludf.DUMMYFUNCTION("if(H129="""", """", SUM(split(H129, "";"")))"),"")</f>
        <v/>
      </c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  <c r="AA129" s="68"/>
    </row>
    <row r="130" ht="26.25" customHeight="1">
      <c r="A130" s="68"/>
      <c r="B130" s="68"/>
      <c r="C130" s="68"/>
      <c r="D130" s="71"/>
      <c r="E130" s="71"/>
      <c r="F130" s="71"/>
      <c r="G130" s="65" t="str">
        <f t="shared" si="1"/>
        <v/>
      </c>
      <c r="H130" s="74"/>
      <c r="I130" s="67" t="str">
        <f>IFERROR(__xludf.DUMMYFUNCTION("if($H130="""", """", AVERAGE(split($H130, "";"")))"),"")</f>
        <v/>
      </c>
      <c r="J130" s="67" t="str">
        <f>IFERROR(__xludf.DUMMYFUNCTION("if(H130="""", """", SUM(split(H130, "";"")))"),"")</f>
        <v/>
      </c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  <c r="AA130" s="68"/>
    </row>
    <row r="131" ht="26.25" customHeight="1">
      <c r="A131" s="68"/>
      <c r="B131" s="68"/>
      <c r="C131" s="68"/>
      <c r="D131" s="71"/>
      <c r="E131" s="71"/>
      <c r="F131" s="71"/>
      <c r="G131" s="65" t="str">
        <f t="shared" si="1"/>
        <v/>
      </c>
      <c r="H131" s="74"/>
      <c r="I131" s="67" t="str">
        <f>IFERROR(__xludf.DUMMYFUNCTION("if($H131="""", """", AVERAGE(split($H131, "";"")))"),"")</f>
        <v/>
      </c>
      <c r="J131" s="67" t="str">
        <f>IFERROR(__xludf.DUMMYFUNCTION("if(H131="""", """", SUM(split(H131, "";"")))"),"")</f>
        <v/>
      </c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  <c r="AA131" s="68"/>
    </row>
    <row r="132" ht="26.25" customHeight="1">
      <c r="A132" s="68"/>
      <c r="B132" s="68"/>
      <c r="C132" s="68"/>
      <c r="D132" s="71"/>
      <c r="E132" s="71"/>
      <c r="F132" s="71"/>
      <c r="G132" s="65" t="str">
        <f t="shared" si="1"/>
        <v/>
      </c>
      <c r="H132" s="74"/>
      <c r="I132" s="67" t="str">
        <f>IFERROR(__xludf.DUMMYFUNCTION("if($H132="""", """", AVERAGE(split($H132, "";"")))"),"")</f>
        <v/>
      </c>
      <c r="J132" s="67" t="str">
        <f>IFERROR(__xludf.DUMMYFUNCTION("if(H132="""", """", SUM(split(H132, "";"")))"),"")</f>
        <v/>
      </c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  <c r="AA132" s="68"/>
    </row>
    <row r="133" ht="26.25" customHeight="1">
      <c r="A133" s="68"/>
      <c r="B133" s="68"/>
      <c r="C133" s="68"/>
      <c r="D133" s="71"/>
      <c r="E133" s="71"/>
      <c r="F133" s="71"/>
      <c r="G133" s="65" t="str">
        <f t="shared" si="1"/>
        <v/>
      </c>
      <c r="H133" s="74"/>
      <c r="I133" s="67" t="str">
        <f>IFERROR(__xludf.DUMMYFUNCTION("if($H133="""", """", AVERAGE(split($H133, "";"")))"),"")</f>
        <v/>
      </c>
      <c r="J133" s="67" t="str">
        <f>IFERROR(__xludf.DUMMYFUNCTION("if(H133="""", """", SUM(split(H133, "";"")))"),"")</f>
        <v/>
      </c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  <c r="AA133" s="68"/>
    </row>
    <row r="134" ht="26.25" customHeight="1">
      <c r="A134" s="68"/>
      <c r="B134" s="68"/>
      <c r="C134" s="68"/>
      <c r="D134" s="71"/>
      <c r="E134" s="71"/>
      <c r="F134" s="71"/>
      <c r="G134" s="65" t="str">
        <f t="shared" si="1"/>
        <v/>
      </c>
      <c r="H134" s="74"/>
      <c r="I134" s="67" t="str">
        <f>IFERROR(__xludf.DUMMYFUNCTION("if($H134="""", """", AVERAGE(split($H134, "";"")))"),"")</f>
        <v/>
      </c>
      <c r="J134" s="67" t="str">
        <f>IFERROR(__xludf.DUMMYFUNCTION("if(H134="""", """", SUM(split(H134, "";"")))"),"")</f>
        <v/>
      </c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</row>
    <row r="135" ht="26.25" customHeight="1">
      <c r="A135" s="68"/>
      <c r="B135" s="68"/>
      <c r="C135" s="68"/>
      <c r="D135" s="71"/>
      <c r="E135" s="71"/>
      <c r="F135" s="71"/>
      <c r="G135" s="65" t="str">
        <f t="shared" si="1"/>
        <v/>
      </c>
      <c r="H135" s="74"/>
      <c r="I135" s="67" t="str">
        <f>IFERROR(__xludf.DUMMYFUNCTION("if($H135="""", """", AVERAGE(split($H135, "";"")))"),"")</f>
        <v/>
      </c>
      <c r="J135" s="67" t="str">
        <f>IFERROR(__xludf.DUMMYFUNCTION("if(H135="""", """", SUM(split(H135, "";"")))"),"")</f>
        <v/>
      </c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</row>
    <row r="136" ht="26.25" customHeight="1">
      <c r="A136" s="68"/>
      <c r="B136" s="68"/>
      <c r="C136" s="68"/>
      <c r="D136" s="71"/>
      <c r="E136" s="71"/>
      <c r="F136" s="71"/>
      <c r="G136" s="65" t="str">
        <f t="shared" si="1"/>
        <v/>
      </c>
      <c r="H136" s="74"/>
      <c r="I136" s="67" t="str">
        <f>IFERROR(__xludf.DUMMYFUNCTION("if($H136="""", """", AVERAGE(split($H136, "";"")))"),"")</f>
        <v/>
      </c>
      <c r="J136" s="67" t="str">
        <f>IFERROR(__xludf.DUMMYFUNCTION("if(H136="""", """", SUM(split(H136, "";"")))"),"")</f>
        <v/>
      </c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</row>
    <row r="137" ht="26.25" customHeight="1">
      <c r="A137" s="68"/>
      <c r="B137" s="68"/>
      <c r="C137" s="68"/>
      <c r="D137" s="71"/>
      <c r="E137" s="71"/>
      <c r="F137" s="71"/>
      <c r="G137" s="65" t="str">
        <f t="shared" si="1"/>
        <v/>
      </c>
      <c r="H137" s="74"/>
      <c r="I137" s="67" t="str">
        <f>IFERROR(__xludf.DUMMYFUNCTION("if($H137="""", """", AVERAGE(split($H137, "";"")))"),"")</f>
        <v/>
      </c>
      <c r="J137" s="67" t="str">
        <f>IFERROR(__xludf.DUMMYFUNCTION("if(H137="""", """", SUM(split(H137, "";"")))"),"")</f>
        <v/>
      </c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  <c r="AA137" s="68"/>
    </row>
    <row r="138" ht="26.25" customHeight="1">
      <c r="A138" s="68"/>
      <c r="B138" s="68"/>
      <c r="C138" s="68"/>
      <c r="D138" s="71"/>
      <c r="E138" s="71"/>
      <c r="F138" s="71"/>
      <c r="G138" s="65" t="str">
        <f t="shared" si="1"/>
        <v/>
      </c>
      <c r="H138" s="74"/>
      <c r="I138" s="67" t="str">
        <f>IFERROR(__xludf.DUMMYFUNCTION("if($H138="""", """", AVERAGE(split($H138, "";"")))"),"")</f>
        <v/>
      </c>
      <c r="J138" s="67" t="str">
        <f>IFERROR(__xludf.DUMMYFUNCTION("if(H138="""", """", SUM(split(H138, "";"")))"),"")</f>
        <v/>
      </c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  <c r="AA138" s="68"/>
    </row>
    <row r="139" ht="26.25" customHeight="1">
      <c r="A139" s="68"/>
      <c r="B139" s="68"/>
      <c r="C139" s="68"/>
      <c r="D139" s="71"/>
      <c r="E139" s="71"/>
      <c r="F139" s="71"/>
      <c r="G139" s="65" t="str">
        <f t="shared" si="1"/>
        <v/>
      </c>
      <c r="H139" s="74"/>
      <c r="I139" s="67" t="str">
        <f>IFERROR(__xludf.DUMMYFUNCTION("if($H139="""", """", AVERAGE(split($H139, "";"")))"),"")</f>
        <v/>
      </c>
      <c r="J139" s="67" t="str">
        <f>IFERROR(__xludf.DUMMYFUNCTION("if(H139="""", """", SUM(split(H139, "";"")))"),"")</f>
        <v/>
      </c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  <c r="AA139" s="68"/>
    </row>
    <row r="140" ht="26.25" customHeight="1">
      <c r="A140" s="68"/>
      <c r="B140" s="68"/>
      <c r="C140" s="68"/>
      <c r="D140" s="71"/>
      <c r="E140" s="71"/>
      <c r="F140" s="71"/>
      <c r="G140" s="65" t="str">
        <f t="shared" si="1"/>
        <v/>
      </c>
      <c r="H140" s="74"/>
      <c r="I140" s="67" t="str">
        <f>IFERROR(__xludf.DUMMYFUNCTION("if($H140="""", """", AVERAGE(split($H140, "";"")))"),"")</f>
        <v/>
      </c>
      <c r="J140" s="67" t="str">
        <f>IFERROR(__xludf.DUMMYFUNCTION("if(H140="""", """", SUM(split(H140, "";"")))"),"")</f>
        <v/>
      </c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  <c r="AA140" s="68"/>
    </row>
    <row r="141" ht="26.25" customHeight="1">
      <c r="A141" s="68"/>
      <c r="B141" s="68"/>
      <c r="C141" s="68"/>
      <c r="D141" s="71"/>
      <c r="E141" s="71"/>
      <c r="F141" s="71"/>
      <c r="G141" s="65" t="str">
        <f t="shared" si="1"/>
        <v/>
      </c>
      <c r="H141" s="74"/>
      <c r="I141" s="67" t="str">
        <f>IFERROR(__xludf.DUMMYFUNCTION("if($H141="""", """", AVERAGE(split($H141, "";"")))"),"")</f>
        <v/>
      </c>
      <c r="J141" s="67" t="str">
        <f>IFERROR(__xludf.DUMMYFUNCTION("if(H141="""", """", SUM(split(H141, "";"")))"),"")</f>
        <v/>
      </c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  <c r="AA141" s="68"/>
    </row>
    <row r="142" ht="26.25" customHeight="1">
      <c r="A142" s="68"/>
      <c r="B142" s="68"/>
      <c r="C142" s="68"/>
      <c r="D142" s="71"/>
      <c r="E142" s="71"/>
      <c r="F142" s="71"/>
      <c r="G142" s="65" t="str">
        <f t="shared" si="1"/>
        <v/>
      </c>
      <c r="H142" s="74"/>
      <c r="I142" s="67" t="str">
        <f>IFERROR(__xludf.DUMMYFUNCTION("if($H142="""", """", AVERAGE(split($H142, "";"")))"),"")</f>
        <v/>
      </c>
      <c r="J142" s="67" t="str">
        <f>IFERROR(__xludf.DUMMYFUNCTION("if(H142="""", """", SUM(split(H142, "";"")))"),"")</f>
        <v/>
      </c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  <c r="AA142" s="68"/>
    </row>
    <row r="143" ht="26.25" customHeight="1">
      <c r="A143" s="68"/>
      <c r="B143" s="68"/>
      <c r="C143" s="68"/>
      <c r="D143" s="71"/>
      <c r="E143" s="71"/>
      <c r="F143" s="71"/>
      <c r="G143" s="65" t="str">
        <f t="shared" si="1"/>
        <v/>
      </c>
      <c r="H143" s="74"/>
      <c r="I143" s="67" t="str">
        <f>IFERROR(__xludf.DUMMYFUNCTION("if($H143="""", """", AVERAGE(split($H143, "";"")))"),"")</f>
        <v/>
      </c>
      <c r="J143" s="67" t="str">
        <f>IFERROR(__xludf.DUMMYFUNCTION("if(H143="""", """", SUM(split(H143, "";"")))"),"")</f>
        <v/>
      </c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  <c r="AA143" s="68"/>
    </row>
    <row r="144" ht="26.25" customHeight="1">
      <c r="A144" s="68"/>
      <c r="B144" s="68"/>
      <c r="C144" s="68"/>
      <c r="D144" s="71"/>
      <c r="E144" s="71"/>
      <c r="F144" s="71"/>
      <c r="G144" s="65" t="str">
        <f t="shared" si="1"/>
        <v/>
      </c>
      <c r="H144" s="74"/>
      <c r="I144" s="67" t="str">
        <f>IFERROR(__xludf.DUMMYFUNCTION("if($H144="""", """", AVERAGE(split($H144, "";"")))"),"")</f>
        <v/>
      </c>
      <c r="J144" s="67" t="str">
        <f>IFERROR(__xludf.DUMMYFUNCTION("if(H144="""", """", SUM(split(H144, "";"")))"),"")</f>
        <v/>
      </c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  <c r="AA144" s="68"/>
    </row>
    <row r="145" ht="26.25" customHeight="1">
      <c r="A145" s="68"/>
      <c r="B145" s="68"/>
      <c r="C145" s="68"/>
      <c r="D145" s="71"/>
      <c r="E145" s="71"/>
      <c r="F145" s="71"/>
      <c r="G145" s="65" t="str">
        <f t="shared" si="1"/>
        <v/>
      </c>
      <c r="H145" s="74"/>
      <c r="I145" s="67" t="str">
        <f>IFERROR(__xludf.DUMMYFUNCTION("if($H145="""", """", AVERAGE(split($H145, "";"")))"),"")</f>
        <v/>
      </c>
      <c r="J145" s="67" t="str">
        <f>IFERROR(__xludf.DUMMYFUNCTION("if(H145="""", """", SUM(split(H145, "";"")))"),"")</f>
        <v/>
      </c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  <c r="AA145" s="68"/>
    </row>
    <row r="146" ht="26.25" customHeight="1">
      <c r="A146" s="68"/>
      <c r="B146" s="68"/>
      <c r="C146" s="68"/>
      <c r="D146" s="71"/>
      <c r="E146" s="71"/>
      <c r="F146" s="71"/>
      <c r="G146" s="65" t="str">
        <f t="shared" si="1"/>
        <v/>
      </c>
      <c r="H146" s="74"/>
      <c r="I146" s="67" t="str">
        <f>IFERROR(__xludf.DUMMYFUNCTION("if($H146="""", """", AVERAGE(split($H146, "";"")))"),"")</f>
        <v/>
      </c>
      <c r="J146" s="67" t="str">
        <f>IFERROR(__xludf.DUMMYFUNCTION("if(H146="""", """", SUM(split(H146, "";"")))"),"")</f>
        <v/>
      </c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  <c r="AA146" s="68"/>
    </row>
    <row r="147" ht="26.25" customHeight="1">
      <c r="A147" s="68"/>
      <c r="B147" s="68"/>
      <c r="C147" s="68"/>
      <c r="D147" s="71"/>
      <c r="E147" s="71"/>
      <c r="F147" s="71"/>
      <c r="G147" s="65" t="str">
        <f t="shared" si="1"/>
        <v/>
      </c>
      <c r="H147" s="74"/>
      <c r="I147" s="67" t="str">
        <f>IFERROR(__xludf.DUMMYFUNCTION("if($H147="""", """", AVERAGE(split($H147, "";"")))"),"")</f>
        <v/>
      </c>
      <c r="J147" s="67" t="str">
        <f>IFERROR(__xludf.DUMMYFUNCTION("if(H147="""", """", SUM(split(H147, "";"")))"),"")</f>
        <v/>
      </c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</row>
    <row r="148" ht="26.25" customHeight="1">
      <c r="A148" s="68"/>
      <c r="B148" s="68"/>
      <c r="C148" s="68"/>
      <c r="D148" s="71"/>
      <c r="E148" s="71"/>
      <c r="F148" s="71"/>
      <c r="G148" s="65" t="str">
        <f t="shared" si="1"/>
        <v/>
      </c>
      <c r="H148" s="74"/>
      <c r="I148" s="67" t="str">
        <f>IFERROR(__xludf.DUMMYFUNCTION("if($H148="""", """", AVERAGE(split($H148, "";"")))"),"")</f>
        <v/>
      </c>
      <c r="J148" s="67" t="str">
        <f>IFERROR(__xludf.DUMMYFUNCTION("if(H148="""", """", SUM(split(H148, "";"")))"),"")</f>
        <v/>
      </c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  <c r="AA148" s="68"/>
    </row>
    <row r="149" ht="26.25" customHeight="1">
      <c r="A149" s="68"/>
      <c r="B149" s="68"/>
      <c r="C149" s="68"/>
      <c r="D149" s="71"/>
      <c r="E149" s="71"/>
      <c r="F149" s="71"/>
      <c r="G149" s="65" t="str">
        <f t="shared" si="1"/>
        <v/>
      </c>
      <c r="H149" s="74"/>
      <c r="I149" s="67" t="str">
        <f>IFERROR(__xludf.DUMMYFUNCTION("if($H149="""", """", AVERAGE(split($H149, "";"")))"),"")</f>
        <v/>
      </c>
      <c r="J149" s="67" t="str">
        <f>IFERROR(__xludf.DUMMYFUNCTION("if(H149="""", """", SUM(split(H149, "";"")))"),"")</f>
        <v/>
      </c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  <c r="AA149" s="68"/>
    </row>
    <row r="150" ht="26.25" customHeight="1">
      <c r="A150" s="68"/>
      <c r="B150" s="68"/>
      <c r="C150" s="68"/>
      <c r="D150" s="71"/>
      <c r="E150" s="71"/>
      <c r="F150" s="71"/>
      <c r="G150" s="65" t="str">
        <f t="shared" si="1"/>
        <v/>
      </c>
      <c r="H150" s="74"/>
      <c r="I150" s="67" t="str">
        <f>IFERROR(__xludf.DUMMYFUNCTION("if($H150="""", """", AVERAGE(split($H150, "";"")))"),"")</f>
        <v/>
      </c>
      <c r="J150" s="67" t="str">
        <f>IFERROR(__xludf.DUMMYFUNCTION("if(H150="""", """", SUM(split(H150, "";"")))"),"")</f>
        <v/>
      </c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  <c r="AA150" s="68"/>
    </row>
    <row r="151" ht="26.25" customHeight="1">
      <c r="A151" s="68"/>
      <c r="B151" s="68"/>
      <c r="C151" s="68"/>
      <c r="D151" s="71"/>
      <c r="E151" s="71"/>
      <c r="F151" s="71"/>
      <c r="G151" s="65" t="str">
        <f t="shared" si="1"/>
        <v/>
      </c>
      <c r="H151" s="74"/>
      <c r="I151" s="67" t="str">
        <f>IFERROR(__xludf.DUMMYFUNCTION("if($H151="""", """", AVERAGE(split($H151, "";"")))"),"")</f>
        <v/>
      </c>
      <c r="J151" s="67" t="str">
        <f>IFERROR(__xludf.DUMMYFUNCTION("if(H151="""", """", SUM(split(H151, "";"")))"),"")</f>
        <v/>
      </c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  <c r="AA151" s="68"/>
    </row>
    <row r="152" ht="26.25" customHeight="1">
      <c r="A152" s="68"/>
      <c r="B152" s="68"/>
      <c r="C152" s="68"/>
      <c r="D152" s="71"/>
      <c r="E152" s="71"/>
      <c r="F152" s="71"/>
      <c r="G152" s="65" t="str">
        <f t="shared" si="1"/>
        <v/>
      </c>
      <c r="H152" s="74"/>
      <c r="I152" s="67" t="str">
        <f>IFERROR(__xludf.DUMMYFUNCTION("if($H152="""", """", AVERAGE(split($H152, "";"")))"),"")</f>
        <v/>
      </c>
      <c r="J152" s="67" t="str">
        <f>IFERROR(__xludf.DUMMYFUNCTION("if(H152="""", """", SUM(split(H152, "";"")))"),"")</f>
        <v/>
      </c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  <c r="AA152" s="68"/>
    </row>
    <row r="153" ht="26.25" customHeight="1">
      <c r="A153" s="68"/>
      <c r="B153" s="68"/>
      <c r="C153" s="68"/>
      <c r="D153" s="71"/>
      <c r="E153" s="71"/>
      <c r="F153" s="71"/>
      <c r="G153" s="65" t="str">
        <f t="shared" si="1"/>
        <v/>
      </c>
      <c r="H153" s="74"/>
      <c r="I153" s="67" t="str">
        <f>IFERROR(__xludf.DUMMYFUNCTION("if($H153="""", """", AVERAGE(split($H153, "";"")))"),"")</f>
        <v/>
      </c>
      <c r="J153" s="67" t="str">
        <f>IFERROR(__xludf.DUMMYFUNCTION("if(H153="""", """", SUM(split(H153, "";"")))"),"")</f>
        <v/>
      </c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  <c r="AA153" s="68"/>
    </row>
    <row r="154" ht="26.25" customHeight="1">
      <c r="A154" s="68"/>
      <c r="B154" s="68"/>
      <c r="C154" s="68"/>
      <c r="D154" s="71"/>
      <c r="E154" s="71"/>
      <c r="F154" s="71"/>
      <c r="G154" s="65" t="str">
        <f t="shared" si="1"/>
        <v/>
      </c>
      <c r="H154" s="74"/>
      <c r="I154" s="67" t="str">
        <f>IFERROR(__xludf.DUMMYFUNCTION("if($H154="""", """", AVERAGE(split($H154, "";"")))"),"")</f>
        <v/>
      </c>
      <c r="J154" s="67" t="str">
        <f>IFERROR(__xludf.DUMMYFUNCTION("if(H154="""", """", SUM(split(H154, "";"")))"),"")</f>
        <v/>
      </c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  <c r="AA154" s="68"/>
    </row>
    <row r="155" ht="26.25" customHeight="1">
      <c r="A155" s="68"/>
      <c r="B155" s="68"/>
      <c r="C155" s="68"/>
      <c r="D155" s="71"/>
      <c r="E155" s="71"/>
      <c r="F155" s="71"/>
      <c r="G155" s="65" t="str">
        <f t="shared" si="1"/>
        <v/>
      </c>
      <c r="H155" s="74"/>
      <c r="I155" s="67" t="str">
        <f>IFERROR(__xludf.DUMMYFUNCTION("if($H155="""", """", AVERAGE(split($H155, "";"")))"),"")</f>
        <v/>
      </c>
      <c r="J155" s="67" t="str">
        <f>IFERROR(__xludf.DUMMYFUNCTION("if(H155="""", """", SUM(split(H155, "";"")))"),"")</f>
        <v/>
      </c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8"/>
    </row>
    <row r="156" ht="26.25" customHeight="1">
      <c r="A156" s="68"/>
      <c r="B156" s="68"/>
      <c r="C156" s="68"/>
      <c r="D156" s="71"/>
      <c r="E156" s="71"/>
      <c r="F156" s="71"/>
      <c r="G156" s="65" t="str">
        <f t="shared" si="1"/>
        <v/>
      </c>
      <c r="H156" s="74"/>
      <c r="I156" s="67" t="str">
        <f>IFERROR(__xludf.DUMMYFUNCTION("if($H156="""", """", AVERAGE(split($H156, "";"")))"),"")</f>
        <v/>
      </c>
      <c r="J156" s="67" t="str">
        <f>IFERROR(__xludf.DUMMYFUNCTION("if(H156="""", """", SUM(split(H156, "";"")))"),"")</f>
        <v/>
      </c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  <c r="AA156" s="68"/>
    </row>
    <row r="157" ht="26.25" customHeight="1">
      <c r="A157" s="68"/>
      <c r="B157" s="68"/>
      <c r="C157" s="68"/>
      <c r="D157" s="71"/>
      <c r="E157" s="71"/>
      <c r="F157" s="71"/>
      <c r="G157" s="65" t="str">
        <f t="shared" si="1"/>
        <v/>
      </c>
      <c r="H157" s="74"/>
      <c r="I157" s="67" t="str">
        <f>IFERROR(__xludf.DUMMYFUNCTION("if($H157="""", """", AVERAGE(split($H157, "";"")))"),"")</f>
        <v/>
      </c>
      <c r="J157" s="67" t="str">
        <f>IFERROR(__xludf.DUMMYFUNCTION("if(H157="""", """", SUM(split(H157, "";"")))"),"")</f>
        <v/>
      </c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  <c r="AA157" s="68"/>
    </row>
    <row r="158" ht="26.25" customHeight="1">
      <c r="A158" s="68"/>
      <c r="B158" s="68"/>
      <c r="C158" s="68"/>
      <c r="D158" s="71"/>
      <c r="E158" s="71"/>
      <c r="F158" s="71"/>
      <c r="G158" s="65" t="str">
        <f t="shared" si="1"/>
        <v/>
      </c>
      <c r="H158" s="74"/>
      <c r="I158" s="67" t="str">
        <f>IFERROR(__xludf.DUMMYFUNCTION("if($H158="""", """", AVERAGE(split($H158, "";"")))"),"")</f>
        <v/>
      </c>
      <c r="J158" s="67" t="str">
        <f>IFERROR(__xludf.DUMMYFUNCTION("if(H158="""", """", SUM(split(H158, "";"")))"),"")</f>
        <v/>
      </c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</row>
    <row r="159" ht="26.25" customHeight="1">
      <c r="A159" s="68"/>
      <c r="B159" s="68"/>
      <c r="C159" s="68"/>
      <c r="D159" s="71"/>
      <c r="E159" s="71"/>
      <c r="F159" s="71"/>
      <c r="G159" s="65" t="str">
        <f t="shared" si="1"/>
        <v/>
      </c>
      <c r="H159" s="74"/>
      <c r="I159" s="67" t="str">
        <f>IFERROR(__xludf.DUMMYFUNCTION("if($H159="""", """", AVERAGE(split($H159, "";"")))"),"")</f>
        <v/>
      </c>
      <c r="J159" s="67" t="str">
        <f>IFERROR(__xludf.DUMMYFUNCTION("if(H159="""", """", SUM(split(H159, "";"")))"),"")</f>
        <v/>
      </c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  <c r="AA159" s="68"/>
    </row>
    <row r="160" ht="26.25" customHeight="1">
      <c r="A160" s="68"/>
      <c r="B160" s="68"/>
      <c r="C160" s="68"/>
      <c r="D160" s="71"/>
      <c r="E160" s="71"/>
      <c r="F160" s="71"/>
      <c r="G160" s="65" t="str">
        <f t="shared" si="1"/>
        <v/>
      </c>
      <c r="H160" s="74"/>
      <c r="I160" s="67" t="str">
        <f>IFERROR(__xludf.DUMMYFUNCTION("if($H160="""", """", AVERAGE(split($H160, "";"")))"),"")</f>
        <v/>
      </c>
      <c r="J160" s="67" t="str">
        <f>IFERROR(__xludf.DUMMYFUNCTION("if(H160="""", """", SUM(split(H160, "";"")))"),"")</f>
        <v/>
      </c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  <c r="AA160" s="68"/>
    </row>
    <row r="161" ht="26.25" customHeight="1">
      <c r="A161" s="68"/>
      <c r="B161" s="68"/>
      <c r="C161" s="68"/>
      <c r="D161" s="71"/>
      <c r="E161" s="71"/>
      <c r="F161" s="71"/>
      <c r="G161" s="65" t="str">
        <f t="shared" si="1"/>
        <v/>
      </c>
      <c r="H161" s="74"/>
      <c r="I161" s="67" t="str">
        <f>IFERROR(__xludf.DUMMYFUNCTION("if($H161="""", """", AVERAGE(split($H161, "";"")))"),"")</f>
        <v/>
      </c>
      <c r="J161" s="67" t="str">
        <f>IFERROR(__xludf.DUMMYFUNCTION("if(H161="""", """", SUM(split(H161, "";"")))"),"")</f>
        <v/>
      </c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  <c r="AA161" s="68"/>
    </row>
    <row r="162" ht="26.25" customHeight="1">
      <c r="A162" s="68"/>
      <c r="B162" s="68"/>
      <c r="C162" s="68"/>
      <c r="D162" s="71"/>
      <c r="E162" s="71"/>
      <c r="F162" s="71"/>
      <c r="G162" s="65" t="str">
        <f t="shared" si="1"/>
        <v/>
      </c>
      <c r="H162" s="74"/>
      <c r="I162" s="67" t="str">
        <f>IFERROR(__xludf.DUMMYFUNCTION("if($H162="""", """", AVERAGE(split($H162, "";"")))"),"")</f>
        <v/>
      </c>
      <c r="J162" s="67" t="str">
        <f>IFERROR(__xludf.DUMMYFUNCTION("if(H162="""", """", SUM(split(H162, "";"")))"),"")</f>
        <v/>
      </c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  <c r="AA162" s="68"/>
    </row>
    <row r="163" ht="26.25" customHeight="1">
      <c r="A163" s="68"/>
      <c r="B163" s="68"/>
      <c r="C163" s="68"/>
      <c r="D163" s="71"/>
      <c r="E163" s="71"/>
      <c r="F163" s="71"/>
      <c r="G163" s="65" t="str">
        <f t="shared" si="1"/>
        <v/>
      </c>
      <c r="H163" s="74"/>
      <c r="I163" s="67" t="str">
        <f>IFERROR(__xludf.DUMMYFUNCTION("if($H163="""", """", AVERAGE(split($H163, "";"")))"),"")</f>
        <v/>
      </c>
      <c r="J163" s="67" t="str">
        <f>IFERROR(__xludf.DUMMYFUNCTION("if(H163="""", """", SUM(split(H163, "";"")))"),"")</f>
        <v/>
      </c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  <c r="AA163" s="68"/>
    </row>
    <row r="164" ht="26.25" customHeight="1">
      <c r="A164" s="68"/>
      <c r="B164" s="68"/>
      <c r="C164" s="68"/>
      <c r="D164" s="71"/>
      <c r="E164" s="71"/>
      <c r="F164" s="71"/>
      <c r="G164" s="65" t="str">
        <f t="shared" si="1"/>
        <v/>
      </c>
      <c r="H164" s="74"/>
      <c r="I164" s="67" t="str">
        <f>IFERROR(__xludf.DUMMYFUNCTION("if($H164="""", """", AVERAGE(split($H164, "";"")))"),"")</f>
        <v/>
      </c>
      <c r="J164" s="67" t="str">
        <f>IFERROR(__xludf.DUMMYFUNCTION("if(H164="""", """", SUM(split(H164, "";"")))"),"")</f>
        <v/>
      </c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  <c r="AA164" s="68"/>
    </row>
    <row r="165" ht="26.25" customHeight="1">
      <c r="A165" s="68"/>
      <c r="B165" s="68"/>
      <c r="C165" s="68"/>
      <c r="D165" s="71"/>
      <c r="E165" s="71"/>
      <c r="F165" s="71"/>
      <c r="G165" s="65" t="str">
        <f t="shared" si="1"/>
        <v/>
      </c>
      <c r="H165" s="74"/>
      <c r="I165" s="67" t="str">
        <f>IFERROR(__xludf.DUMMYFUNCTION("if($H165="""", """", AVERAGE(split($H165, "";"")))"),"")</f>
        <v/>
      </c>
      <c r="J165" s="67" t="str">
        <f>IFERROR(__xludf.DUMMYFUNCTION("if(H165="""", """", SUM(split(H165, "";"")))"),"")</f>
        <v/>
      </c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  <c r="AA165" s="68"/>
    </row>
    <row r="166" ht="26.25" customHeight="1">
      <c r="A166" s="68"/>
      <c r="B166" s="68"/>
      <c r="C166" s="68"/>
      <c r="D166" s="71"/>
      <c r="E166" s="71"/>
      <c r="F166" s="71"/>
      <c r="G166" s="65" t="str">
        <f t="shared" si="1"/>
        <v/>
      </c>
      <c r="H166" s="74"/>
      <c r="I166" s="67" t="str">
        <f>IFERROR(__xludf.DUMMYFUNCTION("if($H166="""", """", AVERAGE(split($H166, "";"")))"),"")</f>
        <v/>
      </c>
      <c r="J166" s="67" t="str">
        <f>IFERROR(__xludf.DUMMYFUNCTION("if(H166="""", """", SUM(split(H166, "";"")))"),"")</f>
        <v/>
      </c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  <c r="AA166" s="68"/>
    </row>
    <row r="167" ht="26.25" customHeight="1">
      <c r="A167" s="68"/>
      <c r="B167" s="68"/>
      <c r="C167" s="68"/>
      <c r="D167" s="71"/>
      <c r="E167" s="71"/>
      <c r="F167" s="71"/>
      <c r="G167" s="65" t="str">
        <f t="shared" si="1"/>
        <v/>
      </c>
      <c r="H167" s="74"/>
      <c r="I167" s="67" t="str">
        <f>IFERROR(__xludf.DUMMYFUNCTION("if($H167="""", """", AVERAGE(split($H167, "";"")))"),"")</f>
        <v/>
      </c>
      <c r="J167" s="67" t="str">
        <f>IFERROR(__xludf.DUMMYFUNCTION("if(H167="""", """", SUM(split(H167, "";"")))"),"")</f>
        <v/>
      </c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  <c r="AA167" s="68"/>
    </row>
    <row r="168" ht="26.25" customHeight="1">
      <c r="A168" s="68"/>
      <c r="B168" s="68"/>
      <c r="C168" s="68"/>
      <c r="D168" s="71"/>
      <c r="E168" s="71"/>
      <c r="F168" s="71"/>
      <c r="G168" s="65" t="str">
        <f t="shared" si="1"/>
        <v/>
      </c>
      <c r="H168" s="74"/>
      <c r="I168" s="67" t="str">
        <f>IFERROR(__xludf.DUMMYFUNCTION("if($H168="""", """", AVERAGE(split($H168, "";"")))"),"")</f>
        <v/>
      </c>
      <c r="J168" s="67" t="str">
        <f>IFERROR(__xludf.DUMMYFUNCTION("if(H168="""", """", SUM(split(H168, "";"")))"),"")</f>
        <v/>
      </c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  <c r="AA168" s="68"/>
    </row>
    <row r="169" ht="26.25" customHeight="1">
      <c r="A169" s="68"/>
      <c r="B169" s="68"/>
      <c r="C169" s="68"/>
      <c r="D169" s="71"/>
      <c r="E169" s="71"/>
      <c r="F169" s="71"/>
      <c r="G169" s="65" t="str">
        <f t="shared" si="1"/>
        <v/>
      </c>
      <c r="H169" s="74"/>
      <c r="I169" s="67" t="str">
        <f>IFERROR(__xludf.DUMMYFUNCTION("if($H169="""", """", AVERAGE(split($H169, "";"")))"),"")</f>
        <v/>
      </c>
      <c r="J169" s="67" t="str">
        <f>IFERROR(__xludf.DUMMYFUNCTION("if(H169="""", """", SUM(split(H169, "";"")))"),"")</f>
        <v/>
      </c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  <c r="AA169" s="68"/>
    </row>
    <row r="170" ht="26.25" customHeight="1">
      <c r="A170" s="68"/>
      <c r="B170" s="68"/>
      <c r="C170" s="68"/>
      <c r="D170" s="71"/>
      <c r="E170" s="71"/>
      <c r="F170" s="71"/>
      <c r="G170" s="65" t="str">
        <f t="shared" si="1"/>
        <v/>
      </c>
      <c r="H170" s="74"/>
      <c r="I170" s="67" t="str">
        <f>IFERROR(__xludf.DUMMYFUNCTION("if($H170="""", """", AVERAGE(split($H170, "";"")))"),"")</f>
        <v/>
      </c>
      <c r="J170" s="67" t="str">
        <f>IFERROR(__xludf.DUMMYFUNCTION("if(H170="""", """", SUM(split(H170, "";"")))"),"")</f>
        <v/>
      </c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</row>
    <row r="171" ht="26.25" customHeight="1">
      <c r="A171" s="68"/>
      <c r="B171" s="68"/>
      <c r="C171" s="68"/>
      <c r="D171" s="71"/>
      <c r="E171" s="71"/>
      <c r="F171" s="71"/>
      <c r="G171" s="65" t="str">
        <f t="shared" si="1"/>
        <v/>
      </c>
      <c r="H171" s="74"/>
      <c r="I171" s="67" t="str">
        <f>IFERROR(__xludf.DUMMYFUNCTION("if($H171="""", """", AVERAGE(split($H171, "";"")))"),"")</f>
        <v/>
      </c>
      <c r="J171" s="67" t="str">
        <f>IFERROR(__xludf.DUMMYFUNCTION("if(H171="""", """", SUM(split(H171, "";"")))"),"")</f>
        <v/>
      </c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</row>
    <row r="172" ht="26.25" customHeight="1">
      <c r="A172" s="68"/>
      <c r="B172" s="68"/>
      <c r="C172" s="68"/>
      <c r="D172" s="71"/>
      <c r="E172" s="71"/>
      <c r="F172" s="71"/>
      <c r="G172" s="65" t="str">
        <f t="shared" si="1"/>
        <v/>
      </c>
      <c r="H172" s="74"/>
      <c r="I172" s="67" t="str">
        <f>IFERROR(__xludf.DUMMYFUNCTION("if($H172="""", """", AVERAGE(split($H172, "";"")))"),"")</f>
        <v/>
      </c>
      <c r="J172" s="67" t="str">
        <f>IFERROR(__xludf.DUMMYFUNCTION("if(H172="""", """", SUM(split(H172, "";"")))"),"")</f>
        <v/>
      </c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</row>
    <row r="173" ht="26.25" customHeight="1">
      <c r="A173" s="68"/>
      <c r="B173" s="68"/>
      <c r="C173" s="68"/>
      <c r="D173" s="71"/>
      <c r="E173" s="71"/>
      <c r="F173" s="71"/>
      <c r="G173" s="65" t="str">
        <f t="shared" si="1"/>
        <v/>
      </c>
      <c r="H173" s="74"/>
      <c r="I173" s="67" t="str">
        <f>IFERROR(__xludf.DUMMYFUNCTION("if($H173="""", """", AVERAGE(split($H173, "";"")))"),"")</f>
        <v/>
      </c>
      <c r="J173" s="67" t="str">
        <f>IFERROR(__xludf.DUMMYFUNCTION("if(H173="""", """", SUM(split(H173, "";"")))"),"")</f>
        <v/>
      </c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</row>
    <row r="174" ht="26.25" customHeight="1">
      <c r="A174" s="68"/>
      <c r="B174" s="68"/>
      <c r="C174" s="68"/>
      <c r="D174" s="71"/>
      <c r="E174" s="71"/>
      <c r="F174" s="71"/>
      <c r="G174" s="65" t="str">
        <f t="shared" si="1"/>
        <v/>
      </c>
      <c r="H174" s="74"/>
      <c r="I174" s="67" t="str">
        <f>IFERROR(__xludf.DUMMYFUNCTION("if($H174="""", """", AVERAGE(split($H174, "";"")))"),"")</f>
        <v/>
      </c>
      <c r="J174" s="67" t="str">
        <f>IFERROR(__xludf.DUMMYFUNCTION("if(H174="""", """", SUM(split(H174, "";"")))"),"")</f>
        <v/>
      </c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</row>
    <row r="175" ht="26.25" customHeight="1">
      <c r="A175" s="68"/>
      <c r="B175" s="68"/>
      <c r="C175" s="68"/>
      <c r="D175" s="71"/>
      <c r="E175" s="71"/>
      <c r="F175" s="71"/>
      <c r="G175" s="65" t="str">
        <f t="shared" si="1"/>
        <v/>
      </c>
      <c r="H175" s="74"/>
      <c r="I175" s="67" t="str">
        <f>IFERROR(__xludf.DUMMYFUNCTION("if($H175="""", """", AVERAGE(split($H175, "";"")))"),"")</f>
        <v/>
      </c>
      <c r="J175" s="67" t="str">
        <f>IFERROR(__xludf.DUMMYFUNCTION("if(H175="""", """", SUM(split(H175, "";"")))"),"")</f>
        <v/>
      </c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  <c r="AA175" s="68"/>
    </row>
    <row r="176" ht="26.25" customHeight="1">
      <c r="A176" s="68"/>
      <c r="B176" s="68"/>
      <c r="C176" s="68"/>
      <c r="D176" s="71"/>
      <c r="E176" s="71"/>
      <c r="F176" s="71"/>
      <c r="G176" s="65" t="str">
        <f t="shared" si="1"/>
        <v/>
      </c>
      <c r="H176" s="74"/>
      <c r="I176" s="67" t="str">
        <f>IFERROR(__xludf.DUMMYFUNCTION("if($H176="""", """", AVERAGE(split($H176, "";"")))"),"")</f>
        <v/>
      </c>
      <c r="J176" s="67" t="str">
        <f>IFERROR(__xludf.DUMMYFUNCTION("if(H176="""", """", SUM(split(H176, "";"")))"),"")</f>
        <v/>
      </c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  <c r="AA176" s="68"/>
    </row>
    <row r="177" ht="26.25" customHeight="1">
      <c r="A177" s="68"/>
      <c r="B177" s="68"/>
      <c r="C177" s="68"/>
      <c r="D177" s="71"/>
      <c r="E177" s="71"/>
      <c r="F177" s="71"/>
      <c r="G177" s="65" t="str">
        <f t="shared" si="1"/>
        <v/>
      </c>
      <c r="H177" s="74"/>
      <c r="I177" s="67" t="str">
        <f>IFERROR(__xludf.DUMMYFUNCTION("if($H177="""", """", AVERAGE(split($H177, "";"")))"),"")</f>
        <v/>
      </c>
      <c r="J177" s="67" t="str">
        <f>IFERROR(__xludf.DUMMYFUNCTION("if(H177="""", """", SUM(split(H177, "";"")))"),"")</f>
        <v/>
      </c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  <c r="AA177" s="68"/>
    </row>
    <row r="178" ht="26.25" customHeight="1">
      <c r="A178" s="68"/>
      <c r="B178" s="68"/>
      <c r="C178" s="68"/>
      <c r="D178" s="71"/>
      <c r="E178" s="71"/>
      <c r="F178" s="71"/>
      <c r="G178" s="65" t="str">
        <f t="shared" si="1"/>
        <v/>
      </c>
      <c r="H178" s="74"/>
      <c r="I178" s="67" t="str">
        <f>IFERROR(__xludf.DUMMYFUNCTION("if($H178="""", """", AVERAGE(split($H178, "";"")))"),"")</f>
        <v/>
      </c>
      <c r="J178" s="67" t="str">
        <f>IFERROR(__xludf.DUMMYFUNCTION("if(H178="""", """", SUM(split(H178, "";"")))"),"")</f>
        <v/>
      </c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  <c r="AA178" s="68"/>
    </row>
    <row r="179" ht="26.25" customHeight="1">
      <c r="A179" s="68"/>
      <c r="B179" s="68"/>
      <c r="C179" s="68"/>
      <c r="D179" s="71"/>
      <c r="E179" s="71"/>
      <c r="F179" s="71"/>
      <c r="G179" s="65" t="str">
        <f t="shared" si="1"/>
        <v/>
      </c>
      <c r="H179" s="74"/>
      <c r="I179" s="67" t="str">
        <f>IFERROR(__xludf.DUMMYFUNCTION("if($H179="""", """", AVERAGE(split($H179, "";"")))"),"")</f>
        <v/>
      </c>
      <c r="J179" s="67" t="str">
        <f>IFERROR(__xludf.DUMMYFUNCTION("if(H179="""", """", SUM(split(H179, "";"")))"),"")</f>
        <v/>
      </c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  <c r="AA179" s="68"/>
    </row>
    <row r="180" ht="26.25" customHeight="1">
      <c r="A180" s="68"/>
      <c r="B180" s="68"/>
      <c r="C180" s="68"/>
      <c r="D180" s="71"/>
      <c r="E180" s="71"/>
      <c r="F180" s="71"/>
      <c r="G180" s="65" t="str">
        <f t="shared" si="1"/>
        <v/>
      </c>
      <c r="H180" s="74"/>
      <c r="I180" s="67" t="str">
        <f>IFERROR(__xludf.DUMMYFUNCTION("if($H180="""", """", AVERAGE(split($H180, "";"")))"),"")</f>
        <v/>
      </c>
      <c r="J180" s="67" t="str">
        <f>IFERROR(__xludf.DUMMYFUNCTION("if(H180="""", """", SUM(split(H180, "";"")))"),"")</f>
        <v/>
      </c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  <c r="AA180" s="68"/>
    </row>
    <row r="181" ht="26.25" customHeight="1">
      <c r="A181" s="68"/>
      <c r="B181" s="68"/>
      <c r="C181" s="68"/>
      <c r="D181" s="71"/>
      <c r="E181" s="71"/>
      <c r="F181" s="71"/>
      <c r="G181" s="65" t="str">
        <f t="shared" si="1"/>
        <v/>
      </c>
      <c r="H181" s="74"/>
      <c r="I181" s="67" t="str">
        <f>IFERROR(__xludf.DUMMYFUNCTION("if($H181="""", """", AVERAGE(split($H181, "";"")))"),"")</f>
        <v/>
      </c>
      <c r="J181" s="67" t="str">
        <f>IFERROR(__xludf.DUMMYFUNCTION("if(H181="""", """", SUM(split(H181, "";"")))"),"")</f>
        <v/>
      </c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  <c r="AA181" s="68"/>
    </row>
    <row r="182" ht="26.25" customHeight="1">
      <c r="A182" s="68"/>
      <c r="B182" s="68"/>
      <c r="C182" s="68"/>
      <c r="D182" s="71"/>
      <c r="E182" s="71"/>
      <c r="F182" s="71"/>
      <c r="G182" s="65" t="str">
        <f t="shared" si="1"/>
        <v/>
      </c>
      <c r="H182" s="74"/>
      <c r="I182" s="67" t="str">
        <f>IFERROR(__xludf.DUMMYFUNCTION("if($H182="""", """", AVERAGE(split($H182, "";"")))"),"")</f>
        <v/>
      </c>
      <c r="J182" s="67" t="str">
        <f>IFERROR(__xludf.DUMMYFUNCTION("if(H182="""", """", SUM(split(H182, "";"")))"),"")</f>
        <v/>
      </c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  <c r="AA182" s="68"/>
    </row>
    <row r="183" ht="26.25" customHeight="1">
      <c r="A183" s="68"/>
      <c r="B183" s="68"/>
      <c r="C183" s="68"/>
      <c r="D183" s="71"/>
      <c r="E183" s="71"/>
      <c r="F183" s="71"/>
      <c r="G183" s="65" t="str">
        <f t="shared" si="1"/>
        <v/>
      </c>
      <c r="H183" s="74"/>
      <c r="I183" s="67" t="str">
        <f>IFERROR(__xludf.DUMMYFUNCTION("if($H183="""", """", AVERAGE(split($H183, "";"")))"),"")</f>
        <v/>
      </c>
      <c r="J183" s="67" t="str">
        <f>IFERROR(__xludf.DUMMYFUNCTION("if(H183="""", """", SUM(split(H183, "";"")))"),"")</f>
        <v/>
      </c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  <c r="AA183" s="68"/>
    </row>
    <row r="184" ht="26.25" customHeight="1">
      <c r="A184" s="68"/>
      <c r="B184" s="68"/>
      <c r="C184" s="68"/>
      <c r="D184" s="71"/>
      <c r="E184" s="71"/>
      <c r="F184" s="71"/>
      <c r="G184" s="65" t="str">
        <f t="shared" si="1"/>
        <v/>
      </c>
      <c r="H184" s="74"/>
      <c r="I184" s="67" t="str">
        <f>IFERROR(__xludf.DUMMYFUNCTION("if($H184="""", """", AVERAGE(split($H184, "";"")))"),"")</f>
        <v/>
      </c>
      <c r="J184" s="67" t="str">
        <f>IFERROR(__xludf.DUMMYFUNCTION("if(H184="""", """", SUM(split(H184, "";"")))"),"")</f>
        <v/>
      </c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  <c r="AA184" s="68"/>
    </row>
    <row r="185" ht="26.25" customHeight="1">
      <c r="A185" s="68"/>
      <c r="B185" s="68"/>
      <c r="C185" s="68"/>
      <c r="D185" s="71"/>
      <c r="E185" s="71"/>
      <c r="F185" s="71"/>
      <c r="G185" s="65" t="str">
        <f t="shared" si="1"/>
        <v/>
      </c>
      <c r="H185" s="74"/>
      <c r="I185" s="67" t="str">
        <f>IFERROR(__xludf.DUMMYFUNCTION("if($H185="""", """", AVERAGE(split($H185, "";"")))"),"")</f>
        <v/>
      </c>
      <c r="J185" s="67" t="str">
        <f>IFERROR(__xludf.DUMMYFUNCTION("if(H185="""", """", SUM(split(H185, "";"")))"),"")</f>
        <v/>
      </c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</row>
    <row r="186" ht="26.25" customHeight="1">
      <c r="A186" s="68"/>
      <c r="B186" s="68"/>
      <c r="C186" s="68"/>
      <c r="D186" s="71"/>
      <c r="E186" s="71"/>
      <c r="F186" s="71"/>
      <c r="G186" s="65" t="str">
        <f t="shared" si="1"/>
        <v/>
      </c>
      <c r="H186" s="74"/>
      <c r="I186" s="67" t="str">
        <f>IFERROR(__xludf.DUMMYFUNCTION("if($H186="""", """", AVERAGE(split($H186, "";"")))"),"")</f>
        <v/>
      </c>
      <c r="J186" s="67" t="str">
        <f>IFERROR(__xludf.DUMMYFUNCTION("if(H186="""", """", SUM(split(H186, "";"")))"),"")</f>
        <v/>
      </c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  <c r="AA186" s="68"/>
    </row>
    <row r="187" ht="26.25" customHeight="1">
      <c r="A187" s="68"/>
      <c r="B187" s="68"/>
      <c r="C187" s="68"/>
      <c r="D187" s="71"/>
      <c r="E187" s="71"/>
      <c r="F187" s="71"/>
      <c r="G187" s="65" t="str">
        <f t="shared" si="1"/>
        <v/>
      </c>
      <c r="H187" s="74"/>
      <c r="I187" s="67" t="str">
        <f>IFERROR(__xludf.DUMMYFUNCTION("if($H187="""", """", AVERAGE(split($H187, "";"")))"),"")</f>
        <v/>
      </c>
      <c r="J187" s="67" t="str">
        <f>IFERROR(__xludf.DUMMYFUNCTION("if(H187="""", """", SUM(split(H187, "";"")))"),"")</f>
        <v/>
      </c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  <c r="AA187" s="68"/>
    </row>
    <row r="188" ht="26.25" customHeight="1">
      <c r="A188" s="68"/>
      <c r="B188" s="68"/>
      <c r="C188" s="68"/>
      <c r="D188" s="71"/>
      <c r="E188" s="71"/>
      <c r="F188" s="71"/>
      <c r="G188" s="65" t="str">
        <f t="shared" si="1"/>
        <v/>
      </c>
      <c r="H188" s="74"/>
      <c r="I188" s="67" t="str">
        <f>IFERROR(__xludf.DUMMYFUNCTION("if($H188="""", """", AVERAGE(split($H188, "";"")))"),"")</f>
        <v/>
      </c>
      <c r="J188" s="67" t="str">
        <f>IFERROR(__xludf.DUMMYFUNCTION("if(H188="""", """", SUM(split(H188, "";"")))"),"")</f>
        <v/>
      </c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  <c r="AA188" s="68"/>
    </row>
    <row r="189" ht="26.25" customHeight="1">
      <c r="A189" s="68"/>
      <c r="B189" s="68"/>
      <c r="C189" s="68"/>
      <c r="D189" s="71"/>
      <c r="E189" s="71"/>
      <c r="F189" s="71"/>
      <c r="G189" s="65" t="str">
        <f t="shared" si="1"/>
        <v/>
      </c>
      <c r="H189" s="74"/>
      <c r="I189" s="67" t="str">
        <f>IFERROR(__xludf.DUMMYFUNCTION("if($H189="""", """", AVERAGE(split($H189, "";"")))"),"")</f>
        <v/>
      </c>
      <c r="J189" s="67" t="str">
        <f>IFERROR(__xludf.DUMMYFUNCTION("if(H189="""", """", SUM(split(H189, "";"")))"),"")</f>
        <v/>
      </c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  <c r="AA189" s="68"/>
    </row>
    <row r="190" ht="26.25" customHeight="1">
      <c r="A190" s="68"/>
      <c r="B190" s="68"/>
      <c r="C190" s="68"/>
      <c r="D190" s="71"/>
      <c r="E190" s="71"/>
      <c r="F190" s="71"/>
      <c r="G190" s="65" t="str">
        <f t="shared" si="1"/>
        <v/>
      </c>
      <c r="H190" s="74"/>
      <c r="I190" s="67" t="str">
        <f>IFERROR(__xludf.DUMMYFUNCTION("if($H190="""", """", AVERAGE(split($H190, "";"")))"),"")</f>
        <v/>
      </c>
      <c r="J190" s="67" t="str">
        <f>IFERROR(__xludf.DUMMYFUNCTION("if(H190="""", """", SUM(split(H190, "";"")))"),"")</f>
        <v/>
      </c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  <c r="AA190" s="68"/>
    </row>
    <row r="191" ht="26.25" customHeight="1">
      <c r="A191" s="68"/>
      <c r="B191" s="68"/>
      <c r="C191" s="68"/>
      <c r="D191" s="71"/>
      <c r="E191" s="71"/>
      <c r="F191" s="71"/>
      <c r="G191" s="65" t="str">
        <f t="shared" si="1"/>
        <v/>
      </c>
      <c r="H191" s="74"/>
      <c r="I191" s="67" t="str">
        <f>IFERROR(__xludf.DUMMYFUNCTION("if($H191="""", """", AVERAGE(split($H191, "";"")))"),"")</f>
        <v/>
      </c>
      <c r="J191" s="67" t="str">
        <f>IFERROR(__xludf.DUMMYFUNCTION("if(H191="""", """", SUM(split(H191, "";"")))"),"")</f>
        <v/>
      </c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  <c r="AA191" s="68"/>
    </row>
    <row r="192" ht="26.25" customHeight="1">
      <c r="A192" s="68"/>
      <c r="B192" s="68"/>
      <c r="C192" s="68"/>
      <c r="D192" s="71"/>
      <c r="E192" s="71"/>
      <c r="F192" s="71"/>
      <c r="G192" s="65" t="str">
        <f t="shared" si="1"/>
        <v/>
      </c>
      <c r="H192" s="74"/>
      <c r="I192" s="67" t="str">
        <f>IFERROR(__xludf.DUMMYFUNCTION("if($H192="""", """", AVERAGE(split($H192, "";"")))"),"")</f>
        <v/>
      </c>
      <c r="J192" s="67" t="str">
        <f>IFERROR(__xludf.DUMMYFUNCTION("if(H192="""", """", SUM(split(H192, "";"")))"),"")</f>
        <v/>
      </c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  <c r="AA192" s="68"/>
    </row>
    <row r="193" ht="26.25" customHeight="1">
      <c r="A193" s="68"/>
      <c r="B193" s="68"/>
      <c r="C193" s="68"/>
      <c r="D193" s="71"/>
      <c r="E193" s="71"/>
      <c r="F193" s="71"/>
      <c r="G193" s="65" t="str">
        <f t="shared" si="1"/>
        <v/>
      </c>
      <c r="H193" s="74"/>
      <c r="I193" s="67" t="str">
        <f>IFERROR(__xludf.DUMMYFUNCTION("if($H193="""", """", AVERAGE(split($H193, "";"")))"),"")</f>
        <v/>
      </c>
      <c r="J193" s="67" t="str">
        <f>IFERROR(__xludf.DUMMYFUNCTION("if(H193="""", """", SUM(split(H193, "";"")))"),"")</f>
        <v/>
      </c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8"/>
    </row>
    <row r="194" ht="26.25" customHeight="1">
      <c r="A194" s="68"/>
      <c r="B194" s="68"/>
      <c r="C194" s="68"/>
      <c r="D194" s="71"/>
      <c r="E194" s="71"/>
      <c r="F194" s="71"/>
      <c r="G194" s="65" t="str">
        <f t="shared" si="1"/>
        <v/>
      </c>
      <c r="H194" s="74"/>
      <c r="I194" s="67" t="str">
        <f>IFERROR(__xludf.DUMMYFUNCTION("if($H194="""", """", AVERAGE(split($H194, "";"")))"),"")</f>
        <v/>
      </c>
      <c r="J194" s="67" t="str">
        <f>IFERROR(__xludf.DUMMYFUNCTION("if(H194="""", """", SUM(split(H194, "";"")))"),"")</f>
        <v/>
      </c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  <c r="AA194" s="68"/>
    </row>
    <row r="195" ht="26.25" customHeight="1">
      <c r="A195" s="68"/>
      <c r="B195" s="68"/>
      <c r="C195" s="68"/>
      <c r="D195" s="71"/>
      <c r="E195" s="71"/>
      <c r="F195" s="71"/>
      <c r="G195" s="65" t="str">
        <f t="shared" si="1"/>
        <v/>
      </c>
      <c r="H195" s="74"/>
      <c r="I195" s="67" t="str">
        <f>IFERROR(__xludf.DUMMYFUNCTION("if($H195="""", """", AVERAGE(split($H195, "";"")))"),"")</f>
        <v/>
      </c>
      <c r="J195" s="67" t="str">
        <f>IFERROR(__xludf.DUMMYFUNCTION("if(H195="""", """", SUM(split(H195, "";"")))"),"")</f>
        <v/>
      </c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  <c r="AA195" s="68"/>
    </row>
    <row r="196" ht="26.25" customHeight="1">
      <c r="A196" s="68"/>
      <c r="B196" s="68"/>
      <c r="C196" s="68"/>
      <c r="D196" s="71"/>
      <c r="E196" s="71"/>
      <c r="F196" s="71"/>
      <c r="G196" s="65" t="str">
        <f t="shared" si="1"/>
        <v/>
      </c>
      <c r="H196" s="74"/>
      <c r="I196" s="67" t="str">
        <f>IFERROR(__xludf.DUMMYFUNCTION("if($H196="""", """", AVERAGE(split($H196, "";"")))"),"")</f>
        <v/>
      </c>
      <c r="J196" s="67" t="str">
        <f>IFERROR(__xludf.DUMMYFUNCTION("if(H196="""", """", SUM(split(H196, "";"")))"),"")</f>
        <v/>
      </c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</row>
    <row r="197" ht="26.25" customHeight="1">
      <c r="A197" s="68"/>
      <c r="B197" s="68"/>
      <c r="C197" s="68"/>
      <c r="D197" s="71"/>
      <c r="E197" s="71"/>
      <c r="F197" s="71"/>
      <c r="G197" s="65" t="str">
        <f t="shared" si="1"/>
        <v/>
      </c>
      <c r="H197" s="74"/>
      <c r="I197" s="67" t="str">
        <f>IFERROR(__xludf.DUMMYFUNCTION("if($H197="""", """", AVERAGE(split($H197, "";"")))"),"")</f>
        <v/>
      </c>
      <c r="J197" s="67" t="str">
        <f>IFERROR(__xludf.DUMMYFUNCTION("if(H197="""", """", SUM(split(H197, "";"")))"),"")</f>
        <v/>
      </c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  <c r="AA197" s="68"/>
    </row>
    <row r="198" ht="26.25" customHeight="1">
      <c r="A198" s="68"/>
      <c r="B198" s="68"/>
      <c r="C198" s="68"/>
      <c r="D198" s="71"/>
      <c r="E198" s="71"/>
      <c r="F198" s="71"/>
      <c r="G198" s="65" t="str">
        <f t="shared" si="1"/>
        <v/>
      </c>
      <c r="H198" s="74"/>
      <c r="I198" s="67" t="str">
        <f>IFERROR(__xludf.DUMMYFUNCTION("if($H198="""", """", AVERAGE(split($H198, "";"")))"),"")</f>
        <v/>
      </c>
      <c r="J198" s="67" t="str">
        <f>IFERROR(__xludf.DUMMYFUNCTION("if(H198="""", """", SUM(split(H198, "";"")))"),"")</f>
        <v/>
      </c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  <c r="AA198" s="68"/>
    </row>
    <row r="199" ht="26.25" customHeight="1">
      <c r="A199" s="68"/>
      <c r="B199" s="68"/>
      <c r="C199" s="68"/>
      <c r="D199" s="71"/>
      <c r="E199" s="71"/>
      <c r="F199" s="71"/>
      <c r="G199" s="65" t="str">
        <f t="shared" si="1"/>
        <v/>
      </c>
      <c r="H199" s="74"/>
      <c r="I199" s="67" t="str">
        <f>IFERROR(__xludf.DUMMYFUNCTION("if($H199="""", """", AVERAGE(split($H199, "";"")))"),"")</f>
        <v/>
      </c>
      <c r="J199" s="67" t="str">
        <f>IFERROR(__xludf.DUMMYFUNCTION("if(H199="""", """", SUM(split(H199, "";"")))"),"")</f>
        <v/>
      </c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  <c r="AA199" s="68"/>
    </row>
    <row r="200" ht="26.25" customHeight="1">
      <c r="A200" s="68"/>
      <c r="B200" s="68"/>
      <c r="C200" s="68"/>
      <c r="D200" s="71"/>
      <c r="E200" s="71"/>
      <c r="F200" s="71"/>
      <c r="G200" s="65" t="str">
        <f t="shared" si="1"/>
        <v/>
      </c>
      <c r="H200" s="74"/>
      <c r="I200" s="67" t="str">
        <f>IFERROR(__xludf.DUMMYFUNCTION("if($H200="""", """", AVERAGE(split($H200, "";"")))"),"")</f>
        <v/>
      </c>
      <c r="J200" s="67" t="str">
        <f>IFERROR(__xludf.DUMMYFUNCTION("if(H200="""", """", SUM(split(H200, "";"")))"),"")</f>
        <v/>
      </c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  <c r="AA200" s="68"/>
    </row>
    <row r="201" ht="26.25" customHeight="1">
      <c r="A201" s="68"/>
      <c r="B201" s="68"/>
      <c r="C201" s="68"/>
      <c r="D201" s="71"/>
      <c r="E201" s="71"/>
      <c r="F201" s="71"/>
      <c r="G201" s="65" t="str">
        <f t="shared" si="1"/>
        <v/>
      </c>
      <c r="H201" s="74"/>
      <c r="I201" s="67" t="str">
        <f>IFERROR(__xludf.DUMMYFUNCTION("if($H201="""", """", AVERAGE(split($H201, "";"")))"),"")</f>
        <v/>
      </c>
      <c r="J201" s="67" t="str">
        <f>IFERROR(__xludf.DUMMYFUNCTION("if(H201="""", """", SUM(split(H201, "";"")))"),"")</f>
        <v/>
      </c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  <c r="AA201" s="68"/>
    </row>
    <row r="202" ht="26.25" customHeight="1">
      <c r="A202" s="68"/>
      <c r="B202" s="68"/>
      <c r="C202" s="68"/>
      <c r="D202" s="71"/>
      <c r="E202" s="71"/>
      <c r="F202" s="71"/>
      <c r="G202" s="65" t="str">
        <f t="shared" si="1"/>
        <v/>
      </c>
      <c r="H202" s="74"/>
      <c r="I202" s="67" t="str">
        <f>IFERROR(__xludf.DUMMYFUNCTION("if($H202="""", """", AVERAGE(split($H202, "";"")))"),"")</f>
        <v/>
      </c>
      <c r="J202" s="67" t="str">
        <f>IFERROR(__xludf.DUMMYFUNCTION("if(H202="""", """", SUM(split(H202, "";"")))"),"")</f>
        <v/>
      </c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  <c r="AA202" s="68"/>
    </row>
    <row r="203" ht="26.25" customHeight="1">
      <c r="A203" s="68"/>
      <c r="B203" s="68"/>
      <c r="C203" s="68"/>
      <c r="D203" s="71"/>
      <c r="E203" s="71"/>
      <c r="F203" s="71"/>
      <c r="G203" s="65" t="str">
        <f t="shared" si="1"/>
        <v/>
      </c>
      <c r="H203" s="74"/>
      <c r="I203" s="67" t="str">
        <f>IFERROR(__xludf.DUMMYFUNCTION("if($H203="""", """", AVERAGE(split($H203, "";"")))"),"")</f>
        <v/>
      </c>
      <c r="J203" s="67" t="str">
        <f>IFERROR(__xludf.DUMMYFUNCTION("if(H203="""", """", SUM(split(H203, "";"")))"),"")</f>
        <v/>
      </c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  <c r="AA203" s="68"/>
    </row>
    <row r="204" ht="26.25" customHeight="1">
      <c r="A204" s="68"/>
      <c r="B204" s="68"/>
      <c r="C204" s="68"/>
      <c r="D204" s="71"/>
      <c r="E204" s="71"/>
      <c r="F204" s="71"/>
      <c r="G204" s="65" t="str">
        <f t="shared" si="1"/>
        <v/>
      </c>
      <c r="H204" s="74"/>
      <c r="I204" s="67" t="str">
        <f>IFERROR(__xludf.DUMMYFUNCTION("if($H204="""", """", AVERAGE(split($H204, "";"")))"),"")</f>
        <v/>
      </c>
      <c r="J204" s="67" t="str">
        <f>IFERROR(__xludf.DUMMYFUNCTION("if(H204="""", """", SUM(split(H204, "";"")))"),"")</f>
        <v/>
      </c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  <c r="AA204" s="68"/>
    </row>
    <row r="205" ht="26.25" customHeight="1">
      <c r="A205" s="68"/>
      <c r="B205" s="68"/>
      <c r="C205" s="68"/>
      <c r="D205" s="71"/>
      <c r="E205" s="71"/>
      <c r="F205" s="71"/>
      <c r="G205" s="65" t="str">
        <f t="shared" si="1"/>
        <v/>
      </c>
      <c r="H205" s="74"/>
      <c r="I205" s="67" t="str">
        <f>IFERROR(__xludf.DUMMYFUNCTION("if($H205="""", """", AVERAGE(split($H205, "";"")))"),"")</f>
        <v/>
      </c>
      <c r="J205" s="67" t="str">
        <f>IFERROR(__xludf.DUMMYFUNCTION("if(H205="""", """", SUM(split(H205, "";"")))"),"")</f>
        <v/>
      </c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  <c r="AA205" s="68"/>
    </row>
    <row r="206" ht="26.25" customHeight="1">
      <c r="A206" s="68"/>
      <c r="B206" s="68"/>
      <c r="C206" s="68"/>
      <c r="D206" s="71"/>
      <c r="E206" s="71"/>
      <c r="F206" s="71"/>
      <c r="G206" s="65" t="str">
        <f t="shared" si="1"/>
        <v/>
      </c>
      <c r="H206" s="74"/>
      <c r="I206" s="67" t="str">
        <f>IFERROR(__xludf.DUMMYFUNCTION("if($H206="""", """", AVERAGE(split($H206, "";"")))"),"")</f>
        <v/>
      </c>
      <c r="J206" s="67" t="str">
        <f>IFERROR(__xludf.DUMMYFUNCTION("if(H206="""", """", SUM(split(H206, "";"")))"),"")</f>
        <v/>
      </c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  <c r="AA206" s="68"/>
    </row>
    <row r="207" ht="26.25" customHeight="1">
      <c r="A207" s="68"/>
      <c r="B207" s="68"/>
      <c r="C207" s="68"/>
      <c r="D207" s="71"/>
      <c r="E207" s="71"/>
      <c r="F207" s="71"/>
      <c r="G207" s="65" t="str">
        <f t="shared" si="1"/>
        <v/>
      </c>
      <c r="H207" s="74"/>
      <c r="I207" s="67" t="str">
        <f>IFERROR(__xludf.DUMMYFUNCTION("if($H207="""", """", AVERAGE(split($H207, "";"")))"),"")</f>
        <v/>
      </c>
      <c r="J207" s="67" t="str">
        <f>IFERROR(__xludf.DUMMYFUNCTION("if(H207="""", """", SUM(split(H207, "";"")))"),"")</f>
        <v/>
      </c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  <c r="AA207" s="68"/>
    </row>
    <row r="208" ht="26.25" customHeight="1">
      <c r="A208" s="68"/>
      <c r="B208" s="68"/>
      <c r="C208" s="68"/>
      <c r="D208" s="71"/>
      <c r="E208" s="71"/>
      <c r="F208" s="71"/>
      <c r="G208" s="65" t="str">
        <f t="shared" si="1"/>
        <v/>
      </c>
      <c r="H208" s="74"/>
      <c r="I208" s="67" t="str">
        <f>IFERROR(__xludf.DUMMYFUNCTION("if($H208="""", """", AVERAGE(split($H208, "";"")))"),"")</f>
        <v/>
      </c>
      <c r="J208" s="67" t="str">
        <f>IFERROR(__xludf.DUMMYFUNCTION("if(H208="""", """", SUM(split(H208, "";"")))"),"")</f>
        <v/>
      </c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</row>
    <row r="209" ht="26.25" customHeight="1">
      <c r="A209" s="68"/>
      <c r="B209" s="68"/>
      <c r="C209" s="68"/>
      <c r="D209" s="71"/>
      <c r="E209" s="71"/>
      <c r="F209" s="71"/>
      <c r="G209" s="65" t="str">
        <f t="shared" si="1"/>
        <v/>
      </c>
      <c r="H209" s="74"/>
      <c r="I209" s="67" t="str">
        <f>IFERROR(__xludf.DUMMYFUNCTION("if($H209="""", """", AVERAGE(split($H209, "";"")))"),"")</f>
        <v/>
      </c>
      <c r="J209" s="67" t="str">
        <f>IFERROR(__xludf.DUMMYFUNCTION("if(H209="""", """", SUM(split(H209, "";"")))"),"")</f>
        <v/>
      </c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</row>
    <row r="210" ht="26.25" customHeight="1">
      <c r="A210" s="68"/>
      <c r="B210" s="68"/>
      <c r="C210" s="68"/>
      <c r="D210" s="71"/>
      <c r="E210" s="71"/>
      <c r="F210" s="71"/>
      <c r="G210" s="65" t="str">
        <f t="shared" si="1"/>
        <v/>
      </c>
      <c r="H210" s="74"/>
      <c r="I210" s="67" t="str">
        <f>IFERROR(__xludf.DUMMYFUNCTION("if($H210="""", """", AVERAGE(split($H210, "";"")))"),"")</f>
        <v/>
      </c>
      <c r="J210" s="67" t="str">
        <f>IFERROR(__xludf.DUMMYFUNCTION("if(H210="""", """", SUM(split(H210, "";"")))"),"")</f>
        <v/>
      </c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</row>
    <row r="211" ht="26.25" customHeight="1">
      <c r="A211" s="68"/>
      <c r="B211" s="68"/>
      <c r="C211" s="68"/>
      <c r="D211" s="71"/>
      <c r="E211" s="71"/>
      <c r="F211" s="71"/>
      <c r="G211" s="65" t="str">
        <f t="shared" si="1"/>
        <v/>
      </c>
      <c r="H211" s="74"/>
      <c r="I211" s="67" t="str">
        <f>IFERROR(__xludf.DUMMYFUNCTION("if($H211="""", """", AVERAGE(split($H211, "";"")))"),"")</f>
        <v/>
      </c>
      <c r="J211" s="67" t="str">
        <f>IFERROR(__xludf.DUMMYFUNCTION("if(H211="""", """", SUM(split(H211, "";"")))"),"")</f>
        <v/>
      </c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  <c r="AA211" s="68"/>
    </row>
    <row r="212" ht="26.25" customHeight="1">
      <c r="A212" s="68"/>
      <c r="B212" s="68"/>
      <c r="C212" s="68"/>
      <c r="D212" s="71"/>
      <c r="E212" s="71"/>
      <c r="F212" s="71"/>
      <c r="G212" s="65" t="str">
        <f t="shared" si="1"/>
        <v/>
      </c>
      <c r="H212" s="74"/>
      <c r="I212" s="67" t="str">
        <f>IFERROR(__xludf.DUMMYFUNCTION("if($H212="""", """", AVERAGE(split($H212, "";"")))"),"")</f>
        <v/>
      </c>
      <c r="J212" s="67" t="str">
        <f>IFERROR(__xludf.DUMMYFUNCTION("if(H212="""", """", SUM(split(H212, "";"")))"),"")</f>
        <v/>
      </c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  <c r="AA212" s="68"/>
    </row>
    <row r="213" ht="26.25" customHeight="1">
      <c r="A213" s="68"/>
      <c r="B213" s="68"/>
      <c r="C213" s="68"/>
      <c r="D213" s="71"/>
      <c r="E213" s="71"/>
      <c r="F213" s="71"/>
      <c r="G213" s="65" t="str">
        <f t="shared" si="1"/>
        <v/>
      </c>
      <c r="H213" s="74"/>
      <c r="I213" s="67" t="str">
        <f>IFERROR(__xludf.DUMMYFUNCTION("if($H213="""", """", AVERAGE(split($H213, "";"")))"),"")</f>
        <v/>
      </c>
      <c r="J213" s="67" t="str">
        <f>IFERROR(__xludf.DUMMYFUNCTION("if(H213="""", """", SUM(split(H213, "";"")))"),"")</f>
        <v/>
      </c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  <c r="AA213" s="68"/>
    </row>
    <row r="214" ht="26.25" customHeight="1">
      <c r="A214" s="68"/>
      <c r="B214" s="68"/>
      <c r="C214" s="68"/>
      <c r="D214" s="71"/>
      <c r="E214" s="71"/>
      <c r="F214" s="71"/>
      <c r="G214" s="65" t="str">
        <f t="shared" si="1"/>
        <v/>
      </c>
      <c r="H214" s="74"/>
      <c r="I214" s="67" t="str">
        <f>IFERROR(__xludf.DUMMYFUNCTION("if($H214="""", """", AVERAGE(split($H214, "";"")))"),"")</f>
        <v/>
      </c>
      <c r="J214" s="67" t="str">
        <f>IFERROR(__xludf.DUMMYFUNCTION("if(H214="""", """", SUM(split(H214, "";"")))"),"")</f>
        <v/>
      </c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  <c r="AA214" s="68"/>
    </row>
    <row r="215" ht="26.25" customHeight="1">
      <c r="A215" s="68"/>
      <c r="B215" s="68"/>
      <c r="C215" s="68"/>
      <c r="D215" s="71"/>
      <c r="E215" s="71"/>
      <c r="F215" s="71"/>
      <c r="G215" s="65" t="str">
        <f t="shared" si="1"/>
        <v/>
      </c>
      <c r="H215" s="74"/>
      <c r="I215" s="67" t="str">
        <f>IFERROR(__xludf.DUMMYFUNCTION("if($H215="""", """", AVERAGE(split($H215, "";"")))"),"")</f>
        <v/>
      </c>
      <c r="J215" s="67" t="str">
        <f>IFERROR(__xludf.DUMMYFUNCTION("if(H215="""", """", SUM(split(H215, "";"")))"),"")</f>
        <v/>
      </c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  <c r="AA215" s="68"/>
    </row>
    <row r="216" ht="26.25" customHeight="1">
      <c r="A216" s="68"/>
      <c r="B216" s="68"/>
      <c r="C216" s="68"/>
      <c r="D216" s="71"/>
      <c r="E216" s="71"/>
      <c r="F216" s="71"/>
      <c r="G216" s="65" t="str">
        <f t="shared" si="1"/>
        <v/>
      </c>
      <c r="H216" s="74"/>
      <c r="I216" s="67" t="str">
        <f>IFERROR(__xludf.DUMMYFUNCTION("if($H216="""", """", AVERAGE(split($H216, "";"")))"),"")</f>
        <v/>
      </c>
      <c r="J216" s="67" t="str">
        <f>IFERROR(__xludf.DUMMYFUNCTION("if(H216="""", """", SUM(split(H216, "";"")))"),"")</f>
        <v/>
      </c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  <c r="AA216" s="68"/>
    </row>
    <row r="217" ht="26.25" customHeight="1">
      <c r="A217" s="68"/>
      <c r="B217" s="68"/>
      <c r="C217" s="68"/>
      <c r="D217" s="71"/>
      <c r="E217" s="71"/>
      <c r="F217" s="71"/>
      <c r="G217" s="65" t="str">
        <f t="shared" si="1"/>
        <v/>
      </c>
      <c r="H217" s="74"/>
      <c r="I217" s="67" t="str">
        <f>IFERROR(__xludf.DUMMYFUNCTION("if($H217="""", """", AVERAGE(split($H217, "";"")))"),"")</f>
        <v/>
      </c>
      <c r="J217" s="67" t="str">
        <f>IFERROR(__xludf.DUMMYFUNCTION("if(H217="""", """", SUM(split(H217, "";"")))"),"")</f>
        <v/>
      </c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  <c r="AA217" s="68"/>
    </row>
    <row r="218" ht="26.25" customHeight="1">
      <c r="A218" s="68"/>
      <c r="B218" s="68"/>
      <c r="C218" s="68"/>
      <c r="D218" s="71"/>
      <c r="E218" s="71"/>
      <c r="F218" s="71"/>
      <c r="G218" s="65" t="str">
        <f t="shared" si="1"/>
        <v/>
      </c>
      <c r="H218" s="74"/>
      <c r="I218" s="67" t="str">
        <f>IFERROR(__xludf.DUMMYFUNCTION("if($H218="""", """", AVERAGE(split($H218, "";"")))"),"")</f>
        <v/>
      </c>
      <c r="J218" s="67" t="str">
        <f>IFERROR(__xludf.DUMMYFUNCTION("if(H218="""", """", SUM(split(H218, "";"")))"),"")</f>
        <v/>
      </c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  <c r="AA218" s="68"/>
    </row>
    <row r="219" ht="26.25" customHeight="1">
      <c r="A219" s="68"/>
      <c r="B219" s="68"/>
      <c r="C219" s="68"/>
      <c r="D219" s="71"/>
      <c r="E219" s="71"/>
      <c r="F219" s="71"/>
      <c r="G219" s="65" t="str">
        <f t="shared" si="1"/>
        <v/>
      </c>
      <c r="H219" s="74"/>
      <c r="I219" s="67" t="str">
        <f>IFERROR(__xludf.DUMMYFUNCTION("if($H219="""", """", AVERAGE(split($H219, "";"")))"),"")</f>
        <v/>
      </c>
      <c r="J219" s="67" t="str">
        <f>IFERROR(__xludf.DUMMYFUNCTION("if(H219="""", """", SUM(split(H219, "";"")))"),"")</f>
        <v/>
      </c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  <c r="AA219" s="68"/>
    </row>
    <row r="220" ht="26.25" customHeight="1">
      <c r="A220" s="68"/>
      <c r="B220" s="68"/>
      <c r="C220" s="68"/>
      <c r="D220" s="71"/>
      <c r="E220" s="71"/>
      <c r="F220" s="71"/>
      <c r="G220" s="65" t="str">
        <f t="shared" si="1"/>
        <v/>
      </c>
      <c r="H220" s="74"/>
      <c r="I220" s="67" t="str">
        <f>IFERROR(__xludf.DUMMYFUNCTION("if($H220="""", """", AVERAGE(split($H220, "";"")))"),"")</f>
        <v/>
      </c>
      <c r="J220" s="67" t="str">
        <f>IFERROR(__xludf.DUMMYFUNCTION("if(H220="""", """", SUM(split(H220, "";"")))"),"")</f>
        <v/>
      </c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  <c r="AA220" s="68"/>
    </row>
    <row r="221" ht="26.25" customHeight="1">
      <c r="A221" s="68"/>
      <c r="B221" s="68"/>
      <c r="C221" s="68"/>
      <c r="D221" s="71"/>
      <c r="E221" s="71"/>
      <c r="F221" s="71"/>
      <c r="G221" s="65" t="str">
        <f t="shared" si="1"/>
        <v/>
      </c>
      <c r="H221" s="74"/>
      <c r="I221" s="67" t="str">
        <f>IFERROR(__xludf.DUMMYFUNCTION("if($H221="""", """", AVERAGE(split($H221, "";"")))"),"")</f>
        <v/>
      </c>
      <c r="J221" s="67" t="str">
        <f>IFERROR(__xludf.DUMMYFUNCTION("if(H221="""", """", SUM(split(H221, "";"")))"),"")</f>
        <v/>
      </c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</row>
    <row r="222" ht="26.25" customHeight="1">
      <c r="A222" s="68"/>
      <c r="B222" s="68"/>
      <c r="C222" s="68"/>
      <c r="D222" s="71"/>
      <c r="E222" s="71"/>
      <c r="F222" s="71"/>
      <c r="G222" s="65" t="str">
        <f t="shared" si="1"/>
        <v/>
      </c>
      <c r="H222" s="74"/>
      <c r="I222" s="67" t="str">
        <f>IFERROR(__xludf.DUMMYFUNCTION("if($H222="""", """", AVERAGE(split($H222, "";"")))"),"")</f>
        <v/>
      </c>
      <c r="J222" s="67" t="str">
        <f>IFERROR(__xludf.DUMMYFUNCTION("if(H222="""", """", SUM(split(H222, "";"")))"),"")</f>
        <v/>
      </c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  <c r="AA222" s="68"/>
    </row>
    <row r="223" ht="26.25" customHeight="1">
      <c r="A223" s="68"/>
      <c r="B223" s="68"/>
      <c r="C223" s="68"/>
      <c r="D223" s="71"/>
      <c r="E223" s="71"/>
      <c r="F223" s="71"/>
      <c r="G223" s="65" t="str">
        <f t="shared" si="1"/>
        <v/>
      </c>
      <c r="H223" s="74"/>
      <c r="I223" s="67" t="str">
        <f>IFERROR(__xludf.DUMMYFUNCTION("if($H223="""", """", AVERAGE(split($H223, "";"")))"),"")</f>
        <v/>
      </c>
      <c r="J223" s="67" t="str">
        <f>IFERROR(__xludf.DUMMYFUNCTION("if(H223="""", """", SUM(split(H223, "";"")))"),"")</f>
        <v/>
      </c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  <c r="AA223" s="68"/>
    </row>
    <row r="224" ht="26.25" customHeight="1">
      <c r="A224" s="68"/>
      <c r="B224" s="68"/>
      <c r="C224" s="68"/>
      <c r="D224" s="71"/>
      <c r="E224" s="71"/>
      <c r="F224" s="71"/>
      <c r="G224" s="65" t="str">
        <f t="shared" si="1"/>
        <v/>
      </c>
      <c r="H224" s="74"/>
      <c r="I224" s="67" t="str">
        <f>IFERROR(__xludf.DUMMYFUNCTION("if($H224="""", """", AVERAGE(split($H224, "";"")))"),"")</f>
        <v/>
      </c>
      <c r="J224" s="67" t="str">
        <f>IFERROR(__xludf.DUMMYFUNCTION("if(H224="""", """", SUM(split(H224, "";"")))"),"")</f>
        <v/>
      </c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  <c r="AA224" s="68"/>
    </row>
    <row r="225" ht="26.25" customHeight="1">
      <c r="A225" s="68"/>
      <c r="B225" s="68"/>
      <c r="C225" s="68"/>
      <c r="D225" s="71"/>
      <c r="E225" s="71"/>
      <c r="F225" s="71"/>
      <c r="G225" s="65" t="str">
        <f t="shared" si="1"/>
        <v/>
      </c>
      <c r="H225" s="74"/>
      <c r="I225" s="67" t="str">
        <f>IFERROR(__xludf.DUMMYFUNCTION("if($H225="""", """", AVERAGE(split($H225, "";"")))"),"")</f>
        <v/>
      </c>
      <c r="J225" s="67" t="str">
        <f>IFERROR(__xludf.DUMMYFUNCTION("if(H225="""", """", SUM(split(H225, "";"")))"),"")</f>
        <v/>
      </c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  <c r="AA225" s="68"/>
    </row>
    <row r="226" ht="26.25" customHeight="1">
      <c r="A226" s="68"/>
      <c r="B226" s="68"/>
      <c r="C226" s="68"/>
      <c r="D226" s="71"/>
      <c r="E226" s="71"/>
      <c r="F226" s="71"/>
      <c r="G226" s="65" t="str">
        <f t="shared" si="1"/>
        <v/>
      </c>
      <c r="H226" s="74"/>
      <c r="I226" s="67" t="str">
        <f>IFERROR(__xludf.DUMMYFUNCTION("if($H226="""", """", AVERAGE(split($H226, "";"")))"),"")</f>
        <v/>
      </c>
      <c r="J226" s="67" t="str">
        <f>IFERROR(__xludf.DUMMYFUNCTION("if(H226="""", """", SUM(split(H226, "";"")))"),"")</f>
        <v/>
      </c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  <c r="AA226" s="68"/>
    </row>
    <row r="227" ht="26.25" customHeight="1">
      <c r="A227" s="68"/>
      <c r="B227" s="68"/>
      <c r="C227" s="68"/>
      <c r="D227" s="71"/>
      <c r="E227" s="71"/>
      <c r="F227" s="71"/>
      <c r="G227" s="65" t="str">
        <f t="shared" si="1"/>
        <v/>
      </c>
      <c r="H227" s="74"/>
      <c r="I227" s="67" t="str">
        <f>IFERROR(__xludf.DUMMYFUNCTION("if($H227="""", """", AVERAGE(split($H227, "";"")))"),"")</f>
        <v/>
      </c>
      <c r="J227" s="67" t="str">
        <f>IFERROR(__xludf.DUMMYFUNCTION("if(H227="""", """", SUM(split(H227, "";"")))"),"")</f>
        <v/>
      </c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  <c r="AA227" s="68"/>
    </row>
    <row r="228" ht="26.25" customHeight="1">
      <c r="A228" s="68"/>
      <c r="B228" s="68"/>
      <c r="C228" s="68"/>
      <c r="D228" s="71"/>
      <c r="E228" s="71"/>
      <c r="F228" s="71"/>
      <c r="G228" s="65" t="str">
        <f t="shared" si="1"/>
        <v/>
      </c>
      <c r="H228" s="74"/>
      <c r="I228" s="67" t="str">
        <f>IFERROR(__xludf.DUMMYFUNCTION("if($H228="""", """", AVERAGE(split($H228, "";"")))"),"")</f>
        <v/>
      </c>
      <c r="J228" s="67" t="str">
        <f>IFERROR(__xludf.DUMMYFUNCTION("if(H228="""", """", SUM(split(H228, "";"")))"),"")</f>
        <v/>
      </c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  <c r="AA228" s="68"/>
    </row>
    <row r="229" ht="26.25" customHeight="1">
      <c r="A229" s="68"/>
      <c r="B229" s="68"/>
      <c r="C229" s="68"/>
      <c r="D229" s="71"/>
      <c r="E229" s="71"/>
      <c r="F229" s="71"/>
      <c r="G229" s="65" t="str">
        <f t="shared" si="1"/>
        <v/>
      </c>
      <c r="H229" s="74"/>
      <c r="I229" s="67" t="str">
        <f>IFERROR(__xludf.DUMMYFUNCTION("if($H229="""", """", AVERAGE(split($H229, "";"")))"),"")</f>
        <v/>
      </c>
      <c r="J229" s="67" t="str">
        <f>IFERROR(__xludf.DUMMYFUNCTION("if(H229="""", """", SUM(split(H229, "";"")))"),"")</f>
        <v/>
      </c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  <c r="AA229" s="68"/>
    </row>
    <row r="230" ht="26.25" customHeight="1">
      <c r="A230" s="68"/>
      <c r="B230" s="68"/>
      <c r="C230" s="68"/>
      <c r="D230" s="71"/>
      <c r="E230" s="71"/>
      <c r="F230" s="71"/>
      <c r="G230" s="65" t="str">
        <f t="shared" si="1"/>
        <v/>
      </c>
      <c r="H230" s="74"/>
      <c r="I230" s="67" t="str">
        <f>IFERROR(__xludf.DUMMYFUNCTION("if($H230="""", """", AVERAGE(split($H230, "";"")))"),"")</f>
        <v/>
      </c>
      <c r="J230" s="67" t="str">
        <f>IFERROR(__xludf.DUMMYFUNCTION("if(H230="""", """", SUM(split(H230, "";"")))"),"")</f>
        <v/>
      </c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  <c r="AA230" s="68"/>
    </row>
    <row r="231" ht="26.25" customHeight="1">
      <c r="A231" s="68"/>
      <c r="B231" s="68"/>
      <c r="C231" s="68"/>
      <c r="D231" s="71"/>
      <c r="E231" s="71"/>
      <c r="F231" s="71"/>
      <c r="G231" s="65" t="str">
        <f t="shared" si="1"/>
        <v/>
      </c>
      <c r="H231" s="74"/>
      <c r="I231" s="67" t="str">
        <f>IFERROR(__xludf.DUMMYFUNCTION("if($H231="""", """", AVERAGE(split($H231, "";"")))"),"")</f>
        <v/>
      </c>
      <c r="J231" s="67" t="str">
        <f>IFERROR(__xludf.DUMMYFUNCTION("if(H231="""", """", SUM(split(H231, "";"")))"),"")</f>
        <v/>
      </c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  <c r="AA231" s="68"/>
    </row>
    <row r="232" ht="26.25" customHeight="1">
      <c r="A232" s="68"/>
      <c r="B232" s="68"/>
      <c r="C232" s="68"/>
      <c r="D232" s="71"/>
      <c r="E232" s="71"/>
      <c r="F232" s="71"/>
      <c r="G232" s="65" t="str">
        <f t="shared" si="1"/>
        <v/>
      </c>
      <c r="H232" s="74"/>
      <c r="I232" s="67" t="str">
        <f>IFERROR(__xludf.DUMMYFUNCTION("if($H232="""", """", AVERAGE(split($H232, "";"")))"),"")</f>
        <v/>
      </c>
      <c r="J232" s="67" t="str">
        <f>IFERROR(__xludf.DUMMYFUNCTION("if(H232="""", """", SUM(split(H232, "";"")))"),"")</f>
        <v/>
      </c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</row>
    <row r="233" ht="26.25" customHeight="1">
      <c r="A233" s="68"/>
      <c r="B233" s="68"/>
      <c r="C233" s="68"/>
      <c r="D233" s="71"/>
      <c r="E233" s="71"/>
      <c r="F233" s="71"/>
      <c r="G233" s="65" t="str">
        <f t="shared" si="1"/>
        <v/>
      </c>
      <c r="H233" s="74"/>
      <c r="I233" s="67" t="str">
        <f>IFERROR(__xludf.DUMMYFUNCTION("if($H233="""", """", AVERAGE(split($H233, "";"")))"),"")</f>
        <v/>
      </c>
      <c r="J233" s="67" t="str">
        <f>IFERROR(__xludf.DUMMYFUNCTION("if(H233="""", """", SUM(split(H233, "";"")))"),"")</f>
        <v/>
      </c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  <c r="AA233" s="68"/>
    </row>
    <row r="234" ht="26.25" customHeight="1">
      <c r="A234" s="68"/>
      <c r="B234" s="68"/>
      <c r="C234" s="68"/>
      <c r="D234" s="71"/>
      <c r="E234" s="71"/>
      <c r="F234" s="71"/>
      <c r="G234" s="65" t="str">
        <f t="shared" si="1"/>
        <v/>
      </c>
      <c r="H234" s="74"/>
      <c r="I234" s="67" t="str">
        <f>IFERROR(__xludf.DUMMYFUNCTION("if($H234="""", """", AVERAGE(split($H234, "";"")))"),"")</f>
        <v/>
      </c>
      <c r="J234" s="67" t="str">
        <f>IFERROR(__xludf.DUMMYFUNCTION("if(H234="""", """", SUM(split(H234, "";"")))"),"")</f>
        <v/>
      </c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  <c r="AA234" s="68"/>
    </row>
    <row r="235" ht="26.25" customHeight="1">
      <c r="A235" s="68"/>
      <c r="B235" s="68"/>
      <c r="C235" s="68"/>
      <c r="D235" s="71"/>
      <c r="E235" s="71"/>
      <c r="F235" s="71"/>
      <c r="G235" s="65" t="str">
        <f t="shared" si="1"/>
        <v/>
      </c>
      <c r="H235" s="74"/>
      <c r="I235" s="67" t="str">
        <f>IFERROR(__xludf.DUMMYFUNCTION("if($H235="""", """", AVERAGE(split($H235, "";"")))"),"")</f>
        <v/>
      </c>
      <c r="J235" s="67" t="str">
        <f>IFERROR(__xludf.DUMMYFUNCTION("if(H235="""", """", SUM(split(H235, "";"")))"),"")</f>
        <v/>
      </c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  <c r="AA235" s="68"/>
    </row>
    <row r="236" ht="26.25" customHeight="1">
      <c r="A236" s="68"/>
      <c r="B236" s="68"/>
      <c r="C236" s="68"/>
      <c r="D236" s="71"/>
      <c r="E236" s="71"/>
      <c r="F236" s="71"/>
      <c r="G236" s="65" t="str">
        <f t="shared" si="1"/>
        <v/>
      </c>
      <c r="H236" s="74"/>
      <c r="I236" s="67" t="str">
        <f>IFERROR(__xludf.DUMMYFUNCTION("if($H236="""", """", AVERAGE(split($H236, "";"")))"),"")</f>
        <v/>
      </c>
      <c r="J236" s="67" t="str">
        <f>IFERROR(__xludf.DUMMYFUNCTION("if(H236="""", """", SUM(split(H236, "";"")))"),"")</f>
        <v/>
      </c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  <c r="AA236" s="68"/>
    </row>
    <row r="237" ht="26.25" customHeight="1">
      <c r="A237" s="68"/>
      <c r="B237" s="68"/>
      <c r="C237" s="68"/>
      <c r="D237" s="71"/>
      <c r="E237" s="71"/>
      <c r="F237" s="71"/>
      <c r="G237" s="65" t="str">
        <f t="shared" si="1"/>
        <v/>
      </c>
      <c r="H237" s="74"/>
      <c r="I237" s="67" t="str">
        <f>IFERROR(__xludf.DUMMYFUNCTION("if($H237="""", """", AVERAGE(split($H237, "";"")))"),"")</f>
        <v/>
      </c>
      <c r="J237" s="67" t="str">
        <f>IFERROR(__xludf.DUMMYFUNCTION("if(H237="""", """", SUM(split(H237, "";"")))"),"")</f>
        <v/>
      </c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  <c r="AA237" s="68"/>
    </row>
    <row r="238" ht="26.25" customHeight="1">
      <c r="A238" s="68"/>
      <c r="B238" s="68"/>
      <c r="C238" s="68"/>
      <c r="D238" s="71"/>
      <c r="E238" s="71"/>
      <c r="F238" s="71"/>
      <c r="G238" s="65" t="str">
        <f t="shared" si="1"/>
        <v/>
      </c>
      <c r="H238" s="74"/>
      <c r="I238" s="67" t="str">
        <f>IFERROR(__xludf.DUMMYFUNCTION("if($H238="""", """", AVERAGE(split($H238, "";"")))"),"")</f>
        <v/>
      </c>
      <c r="J238" s="67" t="str">
        <f>IFERROR(__xludf.DUMMYFUNCTION("if(H238="""", """", SUM(split(H238, "";"")))"),"")</f>
        <v/>
      </c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  <c r="AA238" s="68"/>
    </row>
    <row r="239" ht="26.25" customHeight="1">
      <c r="A239" s="68"/>
      <c r="B239" s="68"/>
      <c r="C239" s="68"/>
      <c r="D239" s="71"/>
      <c r="E239" s="71"/>
      <c r="F239" s="71"/>
      <c r="G239" s="65" t="str">
        <f t="shared" si="1"/>
        <v/>
      </c>
      <c r="H239" s="74"/>
      <c r="I239" s="67" t="str">
        <f>IFERROR(__xludf.DUMMYFUNCTION("if($H239="""", """", AVERAGE(split($H239, "";"")))"),"")</f>
        <v/>
      </c>
      <c r="J239" s="67" t="str">
        <f>IFERROR(__xludf.DUMMYFUNCTION("if(H239="""", """", SUM(split(H239, "";"")))"),"")</f>
        <v/>
      </c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  <c r="AA239" s="68"/>
    </row>
    <row r="240" ht="26.25" customHeight="1">
      <c r="A240" s="68"/>
      <c r="B240" s="68"/>
      <c r="C240" s="68"/>
      <c r="D240" s="71"/>
      <c r="E240" s="71"/>
      <c r="F240" s="71"/>
      <c r="G240" s="65" t="str">
        <f t="shared" si="1"/>
        <v/>
      </c>
      <c r="H240" s="74"/>
      <c r="I240" s="67" t="str">
        <f>IFERROR(__xludf.DUMMYFUNCTION("if($H240="""", """", AVERAGE(split($H240, "";"")))"),"")</f>
        <v/>
      </c>
      <c r="J240" s="67" t="str">
        <f>IFERROR(__xludf.DUMMYFUNCTION("if(H240="""", """", SUM(split(H240, "";"")))"),"")</f>
        <v/>
      </c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  <c r="AA240" s="68"/>
    </row>
    <row r="241" ht="26.25" customHeight="1">
      <c r="A241" s="68"/>
      <c r="B241" s="68"/>
      <c r="C241" s="68"/>
      <c r="D241" s="71"/>
      <c r="E241" s="71"/>
      <c r="F241" s="71"/>
      <c r="G241" s="65" t="str">
        <f t="shared" si="1"/>
        <v/>
      </c>
      <c r="H241" s="74"/>
      <c r="I241" s="67" t="str">
        <f>IFERROR(__xludf.DUMMYFUNCTION("if($H241="""", """", AVERAGE(split($H241, "";"")))"),"")</f>
        <v/>
      </c>
      <c r="J241" s="67" t="str">
        <f>IFERROR(__xludf.DUMMYFUNCTION("if(H241="""", """", SUM(split(H241, "";"")))"),"")</f>
        <v/>
      </c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  <c r="AA241" s="68"/>
    </row>
    <row r="242" ht="26.25" customHeight="1">
      <c r="A242" s="68"/>
      <c r="B242" s="68"/>
      <c r="C242" s="68"/>
      <c r="D242" s="71"/>
      <c r="E242" s="71"/>
      <c r="F242" s="71"/>
      <c r="G242" s="65" t="str">
        <f t="shared" si="1"/>
        <v/>
      </c>
      <c r="H242" s="74"/>
      <c r="I242" s="67" t="str">
        <f>IFERROR(__xludf.DUMMYFUNCTION("if($H242="""", """", AVERAGE(split($H242, "";"")))"),"")</f>
        <v/>
      </c>
      <c r="J242" s="67" t="str">
        <f>IFERROR(__xludf.DUMMYFUNCTION("if(H242="""", """", SUM(split(H242, "";"")))"),"")</f>
        <v/>
      </c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  <c r="AA242" s="68"/>
    </row>
    <row r="243" ht="26.25" customHeight="1">
      <c r="A243" s="68"/>
      <c r="B243" s="68"/>
      <c r="C243" s="68"/>
      <c r="D243" s="71"/>
      <c r="E243" s="71"/>
      <c r="F243" s="71"/>
      <c r="G243" s="65" t="str">
        <f t="shared" si="1"/>
        <v/>
      </c>
      <c r="H243" s="74"/>
      <c r="I243" s="67" t="str">
        <f>IFERROR(__xludf.DUMMYFUNCTION("if($H243="""", """", AVERAGE(split($H243, "";"")))"),"")</f>
        <v/>
      </c>
      <c r="J243" s="67" t="str">
        <f>IFERROR(__xludf.DUMMYFUNCTION("if(H243="""", """", SUM(split(H243, "";"")))"),"")</f>
        <v/>
      </c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  <c r="AA243" s="68"/>
    </row>
    <row r="244" ht="26.25" customHeight="1">
      <c r="A244" s="68"/>
      <c r="B244" s="68"/>
      <c r="C244" s="68"/>
      <c r="D244" s="71"/>
      <c r="E244" s="71"/>
      <c r="F244" s="71"/>
      <c r="G244" s="65" t="str">
        <f t="shared" si="1"/>
        <v/>
      </c>
      <c r="H244" s="74"/>
      <c r="I244" s="67" t="str">
        <f>IFERROR(__xludf.DUMMYFUNCTION("if($H244="""", """", AVERAGE(split($H244, "";"")))"),"")</f>
        <v/>
      </c>
      <c r="J244" s="67" t="str">
        <f>IFERROR(__xludf.DUMMYFUNCTION("if(H244="""", """", SUM(split(H244, "";"")))"),"")</f>
        <v/>
      </c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</row>
    <row r="245" ht="26.25" customHeight="1">
      <c r="A245" s="68"/>
      <c r="B245" s="68"/>
      <c r="C245" s="68"/>
      <c r="D245" s="71"/>
      <c r="E245" s="71"/>
      <c r="F245" s="71"/>
      <c r="G245" s="65" t="str">
        <f t="shared" si="1"/>
        <v/>
      </c>
      <c r="H245" s="74"/>
      <c r="I245" s="67" t="str">
        <f>IFERROR(__xludf.DUMMYFUNCTION("if($H245="""", """", AVERAGE(split($H245, "";"")))"),"")</f>
        <v/>
      </c>
      <c r="J245" s="67" t="str">
        <f>IFERROR(__xludf.DUMMYFUNCTION("if(H245="""", """", SUM(split(H245, "";"")))"),"")</f>
        <v/>
      </c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</row>
    <row r="246" ht="26.25" customHeight="1">
      <c r="A246" s="68"/>
      <c r="B246" s="68"/>
      <c r="C246" s="68"/>
      <c r="D246" s="71"/>
      <c r="E246" s="71"/>
      <c r="F246" s="71"/>
      <c r="G246" s="65" t="str">
        <f t="shared" si="1"/>
        <v/>
      </c>
      <c r="H246" s="74"/>
      <c r="I246" s="67" t="str">
        <f>IFERROR(__xludf.DUMMYFUNCTION("if($H246="""", """", AVERAGE(split($H246, "";"")))"),"")</f>
        <v/>
      </c>
      <c r="J246" s="67" t="str">
        <f>IFERROR(__xludf.DUMMYFUNCTION("if(H246="""", """", SUM(split(H246, "";"")))"),"")</f>
        <v/>
      </c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</row>
    <row r="247" ht="26.25" customHeight="1">
      <c r="A247" s="68"/>
      <c r="B247" s="68"/>
      <c r="C247" s="68"/>
      <c r="D247" s="71"/>
      <c r="E247" s="71"/>
      <c r="F247" s="71"/>
      <c r="G247" s="65" t="str">
        <f t="shared" si="1"/>
        <v/>
      </c>
      <c r="H247" s="74"/>
      <c r="I247" s="67" t="str">
        <f>IFERROR(__xludf.DUMMYFUNCTION("if($H247="""", """", AVERAGE(split($H247, "";"")))"),"")</f>
        <v/>
      </c>
      <c r="J247" s="67" t="str">
        <f>IFERROR(__xludf.DUMMYFUNCTION("if(H247="""", """", SUM(split(H247, "";"")))"),"")</f>
        <v/>
      </c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</row>
    <row r="248" ht="26.25" customHeight="1">
      <c r="A248" s="68"/>
      <c r="B248" s="68"/>
      <c r="C248" s="68"/>
      <c r="D248" s="71"/>
      <c r="E248" s="71"/>
      <c r="F248" s="71"/>
      <c r="G248" s="65" t="str">
        <f t="shared" si="1"/>
        <v/>
      </c>
      <c r="H248" s="74"/>
      <c r="I248" s="67" t="str">
        <f>IFERROR(__xludf.DUMMYFUNCTION("if($H248="""", """", AVERAGE(split($H248, "";"")))"),"")</f>
        <v/>
      </c>
      <c r="J248" s="67" t="str">
        <f>IFERROR(__xludf.DUMMYFUNCTION("if(H248="""", """", SUM(split(H248, "";"")))"),"")</f>
        <v/>
      </c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  <c r="AA248" s="68"/>
    </row>
    <row r="249" ht="26.25" customHeight="1">
      <c r="A249" s="68"/>
      <c r="B249" s="68"/>
      <c r="C249" s="68"/>
      <c r="D249" s="71"/>
      <c r="E249" s="71"/>
      <c r="F249" s="71"/>
      <c r="G249" s="65" t="str">
        <f t="shared" si="1"/>
        <v/>
      </c>
      <c r="H249" s="74"/>
      <c r="I249" s="67" t="str">
        <f>IFERROR(__xludf.DUMMYFUNCTION("if($H249="""", """", AVERAGE(split($H249, "";"")))"),"")</f>
        <v/>
      </c>
      <c r="J249" s="67" t="str">
        <f>IFERROR(__xludf.DUMMYFUNCTION("if(H249="""", """", SUM(split(H249, "";"")))"),"")</f>
        <v/>
      </c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  <c r="AA249" s="68"/>
    </row>
    <row r="250" ht="26.25" customHeight="1">
      <c r="A250" s="68"/>
      <c r="B250" s="68"/>
      <c r="C250" s="68"/>
      <c r="D250" s="71"/>
      <c r="E250" s="71"/>
      <c r="F250" s="71"/>
      <c r="G250" s="65" t="str">
        <f t="shared" si="1"/>
        <v/>
      </c>
      <c r="H250" s="74"/>
      <c r="I250" s="67" t="str">
        <f>IFERROR(__xludf.DUMMYFUNCTION("if($H250="""", """", AVERAGE(split($H250, "";"")))"),"")</f>
        <v/>
      </c>
      <c r="J250" s="67" t="str">
        <f>IFERROR(__xludf.DUMMYFUNCTION("if(H250="""", """", SUM(split(H250, "";"")))"),"")</f>
        <v/>
      </c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</row>
    <row r="251" ht="26.25" customHeight="1">
      <c r="A251" s="68"/>
      <c r="B251" s="68"/>
      <c r="C251" s="68"/>
      <c r="D251" s="71"/>
      <c r="E251" s="71"/>
      <c r="F251" s="71"/>
      <c r="G251" s="65" t="str">
        <f t="shared" si="1"/>
        <v/>
      </c>
      <c r="H251" s="74"/>
      <c r="I251" s="67" t="str">
        <f>IFERROR(__xludf.DUMMYFUNCTION("if($H251="""", """", AVERAGE(split($H251, "";"")))"),"")</f>
        <v/>
      </c>
      <c r="J251" s="67" t="str">
        <f>IFERROR(__xludf.DUMMYFUNCTION("if(H251="""", """", SUM(split(H251, "";"")))"),"")</f>
        <v/>
      </c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  <c r="AA251" s="68"/>
    </row>
    <row r="252" ht="26.25" customHeight="1">
      <c r="A252" s="68"/>
      <c r="B252" s="68"/>
      <c r="C252" s="68"/>
      <c r="D252" s="71"/>
      <c r="E252" s="71"/>
      <c r="F252" s="71"/>
      <c r="G252" s="65" t="str">
        <f t="shared" si="1"/>
        <v/>
      </c>
      <c r="H252" s="74"/>
      <c r="I252" s="67" t="str">
        <f>IFERROR(__xludf.DUMMYFUNCTION("if($H252="""", """", AVERAGE(split($H252, "";"")))"),"")</f>
        <v/>
      </c>
      <c r="J252" s="67" t="str">
        <f>IFERROR(__xludf.DUMMYFUNCTION("if(H252="""", """", SUM(split(H252, "";"")))"),"")</f>
        <v/>
      </c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  <c r="AA252" s="68"/>
    </row>
    <row r="253" ht="26.25" customHeight="1">
      <c r="A253" s="68"/>
      <c r="B253" s="68"/>
      <c r="C253" s="68"/>
      <c r="D253" s="71"/>
      <c r="E253" s="71"/>
      <c r="F253" s="71"/>
      <c r="G253" s="65" t="str">
        <f t="shared" si="1"/>
        <v/>
      </c>
      <c r="H253" s="74"/>
      <c r="I253" s="67" t="str">
        <f>IFERROR(__xludf.DUMMYFUNCTION("if($H253="""", """", AVERAGE(split($H253, "";"")))"),"")</f>
        <v/>
      </c>
      <c r="J253" s="67" t="str">
        <f>IFERROR(__xludf.DUMMYFUNCTION("if(H253="""", """", SUM(split(H253, "";"")))"),"")</f>
        <v/>
      </c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  <c r="AA253" s="68"/>
    </row>
    <row r="254" ht="26.25" customHeight="1">
      <c r="A254" s="68"/>
      <c r="B254" s="68"/>
      <c r="C254" s="68"/>
      <c r="D254" s="71"/>
      <c r="E254" s="71"/>
      <c r="F254" s="71"/>
      <c r="G254" s="65" t="str">
        <f t="shared" si="1"/>
        <v/>
      </c>
      <c r="H254" s="74"/>
      <c r="I254" s="67" t="str">
        <f>IFERROR(__xludf.DUMMYFUNCTION("if($H254="""", """", AVERAGE(split($H254, "";"")))"),"")</f>
        <v/>
      </c>
      <c r="J254" s="67" t="str">
        <f>IFERROR(__xludf.DUMMYFUNCTION("if(H254="""", """", SUM(split(H254, "";"")))"),"")</f>
        <v/>
      </c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  <c r="AA254" s="68"/>
    </row>
    <row r="255" ht="26.25" customHeight="1">
      <c r="A255" s="68"/>
      <c r="B255" s="68"/>
      <c r="C255" s="68"/>
      <c r="D255" s="71"/>
      <c r="E255" s="71"/>
      <c r="F255" s="71"/>
      <c r="G255" s="65" t="str">
        <f t="shared" si="1"/>
        <v/>
      </c>
      <c r="H255" s="74"/>
      <c r="I255" s="67" t="str">
        <f>IFERROR(__xludf.DUMMYFUNCTION("if($H255="""", """", AVERAGE(split($H255, "";"")))"),"")</f>
        <v/>
      </c>
      <c r="J255" s="67" t="str">
        <f>IFERROR(__xludf.DUMMYFUNCTION("if(H255="""", """", SUM(split(H255, "";"")))"),"")</f>
        <v/>
      </c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</row>
    <row r="256" ht="26.25" customHeight="1">
      <c r="A256" s="68"/>
      <c r="B256" s="68"/>
      <c r="C256" s="68"/>
      <c r="D256" s="71"/>
      <c r="E256" s="71"/>
      <c r="F256" s="71"/>
      <c r="G256" s="65" t="str">
        <f t="shared" si="1"/>
        <v/>
      </c>
      <c r="H256" s="74"/>
      <c r="I256" s="67" t="str">
        <f>IFERROR(__xludf.DUMMYFUNCTION("if($H256="""", """", AVERAGE(split($H256, "";"")))"),"")</f>
        <v/>
      </c>
      <c r="J256" s="67" t="str">
        <f>IFERROR(__xludf.DUMMYFUNCTION("if(H256="""", """", SUM(split(H256, "";"")))"),"")</f>
        <v/>
      </c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</row>
    <row r="257" ht="26.25" customHeight="1">
      <c r="A257" s="68"/>
      <c r="B257" s="68"/>
      <c r="C257" s="68"/>
      <c r="D257" s="71"/>
      <c r="E257" s="71"/>
      <c r="F257" s="71"/>
      <c r="G257" s="65" t="str">
        <f t="shared" si="1"/>
        <v/>
      </c>
      <c r="H257" s="74"/>
      <c r="I257" s="67" t="str">
        <f>IFERROR(__xludf.DUMMYFUNCTION("if($H257="""", """", AVERAGE(split($H257, "";"")))"),"")</f>
        <v/>
      </c>
      <c r="J257" s="67" t="str">
        <f>IFERROR(__xludf.DUMMYFUNCTION("if(H257="""", """", SUM(split(H257, "";"")))"),"")</f>
        <v/>
      </c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  <c r="AA257" s="68"/>
    </row>
    <row r="258" ht="26.25" customHeight="1">
      <c r="A258" s="68"/>
      <c r="B258" s="68"/>
      <c r="C258" s="68"/>
      <c r="D258" s="71"/>
      <c r="E258" s="71"/>
      <c r="F258" s="71"/>
      <c r="G258" s="65" t="str">
        <f t="shared" si="1"/>
        <v/>
      </c>
      <c r="H258" s="74"/>
      <c r="I258" s="67" t="str">
        <f>IFERROR(__xludf.DUMMYFUNCTION("if($H258="""", """", AVERAGE(split($H258, "";"")))"),"")</f>
        <v/>
      </c>
      <c r="J258" s="67" t="str">
        <f>IFERROR(__xludf.DUMMYFUNCTION("if(H258="""", """", SUM(split(H258, "";"")))"),"")</f>
        <v/>
      </c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  <c r="AA258" s="68"/>
    </row>
    <row r="259" ht="26.25" customHeight="1">
      <c r="A259" s="68"/>
      <c r="B259" s="68"/>
      <c r="C259" s="68"/>
      <c r="D259" s="71"/>
      <c r="E259" s="71"/>
      <c r="F259" s="71"/>
      <c r="G259" s="65" t="str">
        <f t="shared" si="1"/>
        <v/>
      </c>
      <c r="H259" s="74"/>
      <c r="I259" s="67" t="str">
        <f>IFERROR(__xludf.DUMMYFUNCTION("if($H259="""", """", AVERAGE(split($H259, "";"")))"),"")</f>
        <v/>
      </c>
      <c r="J259" s="67" t="str">
        <f>IFERROR(__xludf.DUMMYFUNCTION("if(H259="""", """", SUM(split(H259, "";"")))"),"")</f>
        <v/>
      </c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  <c r="AA259" s="68"/>
    </row>
    <row r="260" ht="26.25" customHeight="1">
      <c r="A260" s="68"/>
      <c r="B260" s="68"/>
      <c r="C260" s="68"/>
      <c r="D260" s="71"/>
      <c r="E260" s="71"/>
      <c r="F260" s="71"/>
      <c r="G260" s="65" t="str">
        <f t="shared" si="1"/>
        <v/>
      </c>
      <c r="H260" s="74"/>
      <c r="I260" s="67" t="str">
        <f>IFERROR(__xludf.DUMMYFUNCTION("if($H260="""", """", AVERAGE(split($H260, "";"")))"),"")</f>
        <v/>
      </c>
      <c r="J260" s="67" t="str">
        <f>IFERROR(__xludf.DUMMYFUNCTION("if(H260="""", """", SUM(split(H260, "";"")))"),"")</f>
        <v/>
      </c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  <c r="AA260" s="68"/>
    </row>
    <row r="261" ht="26.25" customHeight="1">
      <c r="A261" s="68"/>
      <c r="B261" s="68"/>
      <c r="C261" s="68"/>
      <c r="D261" s="71"/>
      <c r="E261" s="71"/>
      <c r="F261" s="71"/>
      <c r="G261" s="65" t="str">
        <f t="shared" si="1"/>
        <v/>
      </c>
      <c r="H261" s="74"/>
      <c r="I261" s="67" t="str">
        <f>IFERROR(__xludf.DUMMYFUNCTION("if($H261="""", """", AVERAGE(split($H261, "";"")))"),"")</f>
        <v/>
      </c>
      <c r="J261" s="67" t="str">
        <f>IFERROR(__xludf.DUMMYFUNCTION("if(H261="""", """", SUM(split(H261, "";"")))"),"")</f>
        <v/>
      </c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  <c r="AA261" s="68"/>
    </row>
    <row r="262" ht="26.25" customHeight="1">
      <c r="A262" s="68"/>
      <c r="B262" s="68"/>
      <c r="C262" s="68"/>
      <c r="D262" s="71"/>
      <c r="E262" s="71"/>
      <c r="F262" s="71"/>
      <c r="G262" s="65" t="str">
        <f t="shared" si="1"/>
        <v/>
      </c>
      <c r="H262" s="74"/>
      <c r="I262" s="67" t="str">
        <f>IFERROR(__xludf.DUMMYFUNCTION("if($H262="""", """", AVERAGE(split($H262, "";"")))"),"")</f>
        <v/>
      </c>
      <c r="J262" s="67" t="str">
        <f>IFERROR(__xludf.DUMMYFUNCTION("if(H262="""", """", SUM(split(H262, "";"")))"),"")</f>
        <v/>
      </c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  <c r="AA262" s="68"/>
    </row>
    <row r="263" ht="26.25" customHeight="1">
      <c r="A263" s="68"/>
      <c r="B263" s="68"/>
      <c r="C263" s="68"/>
      <c r="D263" s="71"/>
      <c r="E263" s="71"/>
      <c r="F263" s="71"/>
      <c r="G263" s="65" t="str">
        <f t="shared" si="1"/>
        <v/>
      </c>
      <c r="H263" s="74"/>
      <c r="I263" s="67" t="str">
        <f>IFERROR(__xludf.DUMMYFUNCTION("if($H263="""", """", AVERAGE(split($H263, "";"")))"),"")</f>
        <v/>
      </c>
      <c r="J263" s="67" t="str">
        <f>IFERROR(__xludf.DUMMYFUNCTION("if(H263="""", """", SUM(split(H263, "";"")))"),"")</f>
        <v/>
      </c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  <c r="AA263" s="68"/>
    </row>
    <row r="264" ht="26.25" customHeight="1">
      <c r="A264" s="68"/>
      <c r="B264" s="68"/>
      <c r="C264" s="68"/>
      <c r="D264" s="71"/>
      <c r="E264" s="71"/>
      <c r="F264" s="71"/>
      <c r="G264" s="65" t="str">
        <f t="shared" si="1"/>
        <v/>
      </c>
      <c r="H264" s="74"/>
      <c r="I264" s="67" t="str">
        <f>IFERROR(__xludf.DUMMYFUNCTION("if($H264="""", """", AVERAGE(split($H264, "";"")))"),"")</f>
        <v/>
      </c>
      <c r="J264" s="67" t="str">
        <f>IFERROR(__xludf.DUMMYFUNCTION("if(H264="""", """", SUM(split(H264, "";"")))"),"")</f>
        <v/>
      </c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</row>
    <row r="265" ht="26.25" customHeight="1">
      <c r="A265" s="68"/>
      <c r="B265" s="68"/>
      <c r="C265" s="68"/>
      <c r="D265" s="71"/>
      <c r="E265" s="71"/>
      <c r="F265" s="71"/>
      <c r="G265" s="65" t="str">
        <f t="shared" si="1"/>
        <v/>
      </c>
      <c r="H265" s="74"/>
      <c r="I265" s="67" t="str">
        <f>IFERROR(__xludf.DUMMYFUNCTION("if($H265="""", """", AVERAGE(split($H265, "";"")))"),"")</f>
        <v/>
      </c>
      <c r="J265" s="67" t="str">
        <f>IFERROR(__xludf.DUMMYFUNCTION("if(H265="""", """", SUM(split(H265, "";"")))"),"")</f>
        <v/>
      </c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</row>
    <row r="266" ht="26.25" customHeight="1">
      <c r="A266" s="68"/>
      <c r="B266" s="68"/>
      <c r="C266" s="68"/>
      <c r="D266" s="71"/>
      <c r="E266" s="71"/>
      <c r="F266" s="71"/>
      <c r="G266" s="65" t="str">
        <f t="shared" si="1"/>
        <v/>
      </c>
      <c r="H266" s="74"/>
      <c r="I266" s="67" t="str">
        <f>IFERROR(__xludf.DUMMYFUNCTION("if($H266="""", """", AVERAGE(split($H266, "";"")))"),"")</f>
        <v/>
      </c>
      <c r="J266" s="67" t="str">
        <f>IFERROR(__xludf.DUMMYFUNCTION("if(H266="""", """", SUM(split(H266, "";"")))"),"")</f>
        <v/>
      </c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  <c r="AA266" s="68"/>
    </row>
    <row r="267" ht="26.25" customHeight="1">
      <c r="A267" s="68"/>
      <c r="B267" s="68"/>
      <c r="C267" s="68"/>
      <c r="D267" s="71"/>
      <c r="E267" s="71"/>
      <c r="F267" s="71"/>
      <c r="G267" s="65" t="str">
        <f t="shared" si="1"/>
        <v/>
      </c>
      <c r="H267" s="74"/>
      <c r="I267" s="67" t="str">
        <f>IFERROR(__xludf.DUMMYFUNCTION("if($H267="""", """", AVERAGE(split($H267, "";"")))"),"")</f>
        <v/>
      </c>
      <c r="J267" s="67" t="str">
        <f>IFERROR(__xludf.DUMMYFUNCTION("if(H267="""", """", SUM(split(H267, "";"")))"),"")</f>
        <v/>
      </c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  <c r="AA267" s="68"/>
    </row>
    <row r="268" ht="26.25" customHeight="1">
      <c r="A268" s="68"/>
      <c r="B268" s="68"/>
      <c r="C268" s="68"/>
      <c r="D268" s="71"/>
      <c r="E268" s="71"/>
      <c r="F268" s="71"/>
      <c r="G268" s="65" t="str">
        <f t="shared" si="1"/>
        <v/>
      </c>
      <c r="H268" s="74"/>
      <c r="I268" s="67" t="str">
        <f>IFERROR(__xludf.DUMMYFUNCTION("if($H268="""", """", AVERAGE(split($H268, "";"")))"),"")</f>
        <v/>
      </c>
      <c r="J268" s="67" t="str">
        <f>IFERROR(__xludf.DUMMYFUNCTION("if(H268="""", """", SUM(split(H268, "";"")))"),"")</f>
        <v/>
      </c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  <c r="AA268" s="68"/>
    </row>
    <row r="269" ht="26.25" customHeight="1">
      <c r="A269" s="68"/>
      <c r="B269" s="68"/>
      <c r="C269" s="68"/>
      <c r="D269" s="71"/>
      <c r="E269" s="71"/>
      <c r="F269" s="71"/>
      <c r="G269" s="65" t="str">
        <f t="shared" si="1"/>
        <v/>
      </c>
      <c r="H269" s="74"/>
      <c r="I269" s="67" t="str">
        <f>IFERROR(__xludf.DUMMYFUNCTION("if($H269="""", """", AVERAGE(split($H269, "";"")))"),"")</f>
        <v/>
      </c>
      <c r="J269" s="67" t="str">
        <f>IFERROR(__xludf.DUMMYFUNCTION("if(H269="""", """", SUM(split(H269, "";"")))"),"")</f>
        <v/>
      </c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</row>
    <row r="270" ht="26.25" customHeight="1">
      <c r="A270" s="68"/>
      <c r="B270" s="68"/>
      <c r="C270" s="68"/>
      <c r="D270" s="71"/>
      <c r="E270" s="71"/>
      <c r="F270" s="71"/>
      <c r="G270" s="65" t="str">
        <f t="shared" si="1"/>
        <v/>
      </c>
      <c r="H270" s="74"/>
      <c r="I270" s="67" t="str">
        <f>IFERROR(__xludf.DUMMYFUNCTION("if($H270="""", """", AVERAGE(split($H270, "";"")))"),"")</f>
        <v/>
      </c>
      <c r="J270" s="67" t="str">
        <f>IFERROR(__xludf.DUMMYFUNCTION("if(H270="""", """", SUM(split(H270, "";"")))"),"")</f>
        <v/>
      </c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  <c r="AA270" s="68"/>
    </row>
    <row r="271" ht="26.25" customHeight="1">
      <c r="A271" s="68"/>
      <c r="B271" s="68"/>
      <c r="C271" s="68"/>
      <c r="D271" s="71"/>
      <c r="E271" s="71"/>
      <c r="F271" s="71"/>
      <c r="G271" s="65" t="str">
        <f t="shared" si="1"/>
        <v/>
      </c>
      <c r="H271" s="74"/>
      <c r="I271" s="67" t="str">
        <f>IFERROR(__xludf.DUMMYFUNCTION("if($H271="""", """", AVERAGE(split($H271, "";"")))"),"")</f>
        <v/>
      </c>
      <c r="J271" s="67" t="str">
        <f>IFERROR(__xludf.DUMMYFUNCTION("if(H271="""", """", SUM(split(H271, "";"")))"),"")</f>
        <v/>
      </c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  <c r="AA271" s="68"/>
    </row>
    <row r="272" ht="26.25" customHeight="1">
      <c r="A272" s="68"/>
      <c r="B272" s="68"/>
      <c r="C272" s="68"/>
      <c r="D272" s="71"/>
      <c r="E272" s="71"/>
      <c r="F272" s="71"/>
      <c r="G272" s="65" t="str">
        <f t="shared" si="1"/>
        <v/>
      </c>
      <c r="H272" s="74"/>
      <c r="I272" s="67" t="str">
        <f>IFERROR(__xludf.DUMMYFUNCTION("if($H272="""", """", AVERAGE(split($H272, "";"")))"),"")</f>
        <v/>
      </c>
      <c r="J272" s="67" t="str">
        <f>IFERROR(__xludf.DUMMYFUNCTION("if(H272="""", """", SUM(split(H272, "";"")))"),"")</f>
        <v/>
      </c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  <c r="AA272" s="68"/>
    </row>
    <row r="273" ht="26.25" customHeight="1">
      <c r="A273" s="68"/>
      <c r="B273" s="68"/>
      <c r="C273" s="68"/>
      <c r="D273" s="71"/>
      <c r="E273" s="71"/>
      <c r="F273" s="71"/>
      <c r="G273" s="65" t="str">
        <f t="shared" si="1"/>
        <v/>
      </c>
      <c r="H273" s="74"/>
      <c r="I273" s="67" t="str">
        <f>IFERROR(__xludf.DUMMYFUNCTION("if($H273="""", """", AVERAGE(split($H273, "";"")))"),"")</f>
        <v/>
      </c>
      <c r="J273" s="67" t="str">
        <f>IFERROR(__xludf.DUMMYFUNCTION("if(H273="""", """", SUM(split(H273, "";"")))"),"")</f>
        <v/>
      </c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  <c r="AA273" s="68"/>
    </row>
    <row r="274" ht="26.25" customHeight="1">
      <c r="A274" s="68"/>
      <c r="B274" s="68"/>
      <c r="C274" s="68"/>
      <c r="D274" s="71"/>
      <c r="E274" s="71"/>
      <c r="F274" s="71"/>
      <c r="G274" s="65" t="str">
        <f t="shared" si="1"/>
        <v/>
      </c>
      <c r="H274" s="74"/>
      <c r="I274" s="67" t="str">
        <f>IFERROR(__xludf.DUMMYFUNCTION("if($H274="""", """", AVERAGE(split($H274, "";"")))"),"")</f>
        <v/>
      </c>
      <c r="J274" s="67" t="str">
        <f>IFERROR(__xludf.DUMMYFUNCTION("if(H274="""", """", SUM(split(H274, "";"")))"),"")</f>
        <v/>
      </c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</row>
    <row r="275" ht="26.25" customHeight="1">
      <c r="A275" s="68"/>
      <c r="B275" s="68"/>
      <c r="C275" s="68"/>
      <c r="D275" s="71"/>
      <c r="E275" s="71"/>
      <c r="F275" s="71"/>
      <c r="G275" s="65" t="str">
        <f t="shared" si="1"/>
        <v/>
      </c>
      <c r="H275" s="74"/>
      <c r="I275" s="67" t="str">
        <f>IFERROR(__xludf.DUMMYFUNCTION("if($H275="""", """", AVERAGE(split($H275, "";"")))"),"")</f>
        <v/>
      </c>
      <c r="J275" s="67" t="str">
        <f>IFERROR(__xludf.DUMMYFUNCTION("if(H275="""", """", SUM(split(H275, "";"")))"),"")</f>
        <v/>
      </c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  <c r="AA275" s="68"/>
    </row>
    <row r="276" ht="26.25" customHeight="1">
      <c r="A276" s="68"/>
      <c r="B276" s="68"/>
      <c r="C276" s="68"/>
      <c r="D276" s="71"/>
      <c r="E276" s="71"/>
      <c r="F276" s="71"/>
      <c r="G276" s="65" t="str">
        <f t="shared" si="1"/>
        <v/>
      </c>
      <c r="H276" s="74"/>
      <c r="I276" s="67" t="str">
        <f>IFERROR(__xludf.DUMMYFUNCTION("if($H276="""", """", AVERAGE(split($H276, "";"")))"),"")</f>
        <v/>
      </c>
      <c r="J276" s="67" t="str">
        <f>IFERROR(__xludf.DUMMYFUNCTION("if(H276="""", """", SUM(split(H276, "";"")))"),"")</f>
        <v/>
      </c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</row>
    <row r="277" ht="26.25" customHeight="1">
      <c r="A277" s="68"/>
      <c r="B277" s="68"/>
      <c r="C277" s="68"/>
      <c r="D277" s="71"/>
      <c r="E277" s="71"/>
      <c r="F277" s="71"/>
      <c r="G277" s="65" t="str">
        <f t="shared" si="1"/>
        <v/>
      </c>
      <c r="H277" s="74"/>
      <c r="I277" s="67" t="str">
        <f>IFERROR(__xludf.DUMMYFUNCTION("if($H277="""", """", AVERAGE(split($H277, "";"")))"),"")</f>
        <v/>
      </c>
      <c r="J277" s="67" t="str">
        <f>IFERROR(__xludf.DUMMYFUNCTION("if(H277="""", """", SUM(split(H277, "";"")))"),"")</f>
        <v/>
      </c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</row>
    <row r="278" ht="26.25" customHeight="1">
      <c r="A278" s="68"/>
      <c r="B278" s="68"/>
      <c r="C278" s="68"/>
      <c r="D278" s="71"/>
      <c r="E278" s="71"/>
      <c r="F278" s="71"/>
      <c r="G278" s="65" t="str">
        <f t="shared" si="1"/>
        <v/>
      </c>
      <c r="H278" s="74"/>
      <c r="I278" s="67" t="str">
        <f>IFERROR(__xludf.DUMMYFUNCTION("if($H278="""", """", AVERAGE(split($H278, "";"")))"),"")</f>
        <v/>
      </c>
      <c r="J278" s="67" t="str">
        <f>IFERROR(__xludf.DUMMYFUNCTION("if(H278="""", """", SUM(split(H278, "";"")))"),"")</f>
        <v/>
      </c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</row>
    <row r="279" ht="26.25" customHeight="1">
      <c r="A279" s="68"/>
      <c r="B279" s="68"/>
      <c r="C279" s="68"/>
      <c r="D279" s="71"/>
      <c r="E279" s="71"/>
      <c r="F279" s="71"/>
      <c r="G279" s="65" t="str">
        <f t="shared" si="1"/>
        <v/>
      </c>
      <c r="H279" s="74"/>
      <c r="I279" s="67" t="str">
        <f>IFERROR(__xludf.DUMMYFUNCTION("if($H279="""", """", AVERAGE(split($H279, "";"")))"),"")</f>
        <v/>
      </c>
      <c r="J279" s="67" t="str">
        <f>IFERROR(__xludf.DUMMYFUNCTION("if(H279="""", """", SUM(split(H279, "";"")))"),"")</f>
        <v/>
      </c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</row>
    <row r="280" ht="26.25" customHeight="1">
      <c r="A280" s="68"/>
      <c r="B280" s="68"/>
      <c r="C280" s="68"/>
      <c r="D280" s="71"/>
      <c r="E280" s="71"/>
      <c r="F280" s="71"/>
      <c r="G280" s="65" t="str">
        <f t="shared" si="1"/>
        <v/>
      </c>
      <c r="H280" s="74"/>
      <c r="I280" s="67" t="str">
        <f>IFERROR(__xludf.DUMMYFUNCTION("if($H280="""", """", AVERAGE(split($H280, "";"")))"),"")</f>
        <v/>
      </c>
      <c r="J280" s="67" t="str">
        <f>IFERROR(__xludf.DUMMYFUNCTION("if(H280="""", """", SUM(split(H280, "";"")))"),"")</f>
        <v/>
      </c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</row>
    <row r="281" ht="26.25" customHeight="1">
      <c r="A281" s="68"/>
      <c r="B281" s="68"/>
      <c r="C281" s="68"/>
      <c r="D281" s="71"/>
      <c r="E281" s="71"/>
      <c r="F281" s="71"/>
      <c r="G281" s="65" t="str">
        <f t="shared" si="1"/>
        <v/>
      </c>
      <c r="H281" s="74"/>
      <c r="I281" s="67" t="str">
        <f>IFERROR(__xludf.DUMMYFUNCTION("if($H281="""", """", AVERAGE(split($H281, "";"")))"),"")</f>
        <v/>
      </c>
      <c r="J281" s="67" t="str">
        <f>IFERROR(__xludf.DUMMYFUNCTION("if(H281="""", """", SUM(split(H281, "";"")))"),"")</f>
        <v/>
      </c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</row>
    <row r="282" ht="26.25" customHeight="1">
      <c r="A282" s="68"/>
      <c r="B282" s="68"/>
      <c r="C282" s="68"/>
      <c r="D282" s="71"/>
      <c r="E282" s="71"/>
      <c r="F282" s="71"/>
      <c r="G282" s="65" t="str">
        <f t="shared" si="1"/>
        <v/>
      </c>
      <c r="H282" s="74"/>
      <c r="I282" s="67" t="str">
        <f>IFERROR(__xludf.DUMMYFUNCTION("if($H282="""", """", AVERAGE(split($H282, "";"")))"),"")</f>
        <v/>
      </c>
      <c r="J282" s="67" t="str">
        <f>IFERROR(__xludf.DUMMYFUNCTION("if(H282="""", """", SUM(split(H282, "";"")))"),"")</f>
        <v/>
      </c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</row>
    <row r="283" ht="26.25" customHeight="1">
      <c r="A283" s="68"/>
      <c r="B283" s="68"/>
      <c r="C283" s="68"/>
      <c r="D283" s="71"/>
      <c r="E283" s="71"/>
      <c r="F283" s="71"/>
      <c r="G283" s="65" t="str">
        <f t="shared" si="1"/>
        <v/>
      </c>
      <c r="H283" s="74"/>
      <c r="I283" s="67" t="str">
        <f>IFERROR(__xludf.DUMMYFUNCTION("if($H283="""", """", AVERAGE(split($H283, "";"")))"),"")</f>
        <v/>
      </c>
      <c r="J283" s="67" t="str">
        <f>IFERROR(__xludf.DUMMYFUNCTION("if(H283="""", """", SUM(split(H283, "";"")))"),"")</f>
        <v/>
      </c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</row>
    <row r="284" ht="26.25" customHeight="1">
      <c r="A284" s="68"/>
      <c r="B284" s="68"/>
      <c r="C284" s="68"/>
      <c r="D284" s="71"/>
      <c r="E284" s="71"/>
      <c r="F284" s="71"/>
      <c r="G284" s="65" t="str">
        <f t="shared" si="1"/>
        <v/>
      </c>
      <c r="H284" s="74"/>
      <c r="I284" s="67" t="str">
        <f>IFERROR(__xludf.DUMMYFUNCTION("if($H284="""", """", AVERAGE(split($H284, "";"")))"),"")</f>
        <v/>
      </c>
      <c r="J284" s="67" t="str">
        <f>IFERROR(__xludf.DUMMYFUNCTION("if(H284="""", """", SUM(split(H284, "";"")))"),"")</f>
        <v/>
      </c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</row>
    <row r="285" ht="26.25" customHeight="1">
      <c r="A285" s="68"/>
      <c r="B285" s="68"/>
      <c r="C285" s="68"/>
      <c r="D285" s="71"/>
      <c r="E285" s="71"/>
      <c r="F285" s="71"/>
      <c r="G285" s="65" t="str">
        <f t="shared" si="1"/>
        <v/>
      </c>
      <c r="H285" s="74"/>
      <c r="I285" s="67" t="str">
        <f>IFERROR(__xludf.DUMMYFUNCTION("if($H285="""", """", AVERAGE(split($H285, "";"")))"),"")</f>
        <v/>
      </c>
      <c r="J285" s="67" t="str">
        <f>IFERROR(__xludf.DUMMYFUNCTION("if(H285="""", """", SUM(split(H285, "";"")))"),"")</f>
        <v/>
      </c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</row>
    <row r="286" ht="26.25" customHeight="1">
      <c r="A286" s="68"/>
      <c r="B286" s="68"/>
      <c r="C286" s="68"/>
      <c r="D286" s="71"/>
      <c r="E286" s="71"/>
      <c r="F286" s="71"/>
      <c r="G286" s="65" t="str">
        <f t="shared" si="1"/>
        <v/>
      </c>
      <c r="H286" s="74"/>
      <c r="I286" s="67" t="str">
        <f>IFERROR(__xludf.DUMMYFUNCTION("if($H286="""", """", AVERAGE(split($H286, "";"")))"),"")</f>
        <v/>
      </c>
      <c r="J286" s="67" t="str">
        <f>IFERROR(__xludf.DUMMYFUNCTION("if(H286="""", """", SUM(split(H286, "";"")))"),"")</f>
        <v/>
      </c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</row>
    <row r="287" ht="26.25" customHeight="1">
      <c r="A287" s="68"/>
      <c r="B287" s="68"/>
      <c r="C287" s="68"/>
      <c r="D287" s="71"/>
      <c r="E287" s="71"/>
      <c r="F287" s="71"/>
      <c r="G287" s="65" t="str">
        <f t="shared" si="1"/>
        <v/>
      </c>
      <c r="H287" s="74"/>
      <c r="I287" s="67" t="str">
        <f>IFERROR(__xludf.DUMMYFUNCTION("if($H287="""", """", AVERAGE(split($H287, "";"")))"),"")</f>
        <v/>
      </c>
      <c r="J287" s="67" t="str">
        <f>IFERROR(__xludf.DUMMYFUNCTION("if(H287="""", """", SUM(split(H287, "";"")))"),"")</f>
        <v/>
      </c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</row>
    <row r="288" ht="26.25" customHeight="1">
      <c r="A288" s="68"/>
      <c r="B288" s="68"/>
      <c r="C288" s="68"/>
      <c r="D288" s="71"/>
      <c r="E288" s="71"/>
      <c r="F288" s="71"/>
      <c r="G288" s="65" t="str">
        <f t="shared" si="1"/>
        <v/>
      </c>
      <c r="H288" s="74"/>
      <c r="I288" s="67" t="str">
        <f>IFERROR(__xludf.DUMMYFUNCTION("if($H288="""", """", AVERAGE(split($H288, "";"")))"),"")</f>
        <v/>
      </c>
      <c r="J288" s="67" t="str">
        <f>IFERROR(__xludf.DUMMYFUNCTION("if(H288="""", """", SUM(split(H288, "";"")))"),"")</f>
        <v/>
      </c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</row>
    <row r="289" ht="26.25" customHeight="1">
      <c r="A289" s="68"/>
      <c r="B289" s="68"/>
      <c r="C289" s="68"/>
      <c r="D289" s="71"/>
      <c r="E289" s="71"/>
      <c r="F289" s="71"/>
      <c r="G289" s="65" t="str">
        <f t="shared" si="1"/>
        <v/>
      </c>
      <c r="H289" s="74"/>
      <c r="I289" s="67" t="str">
        <f>IFERROR(__xludf.DUMMYFUNCTION("if($H289="""", """", AVERAGE(split($H289, "";"")))"),"")</f>
        <v/>
      </c>
      <c r="J289" s="67" t="str">
        <f>IFERROR(__xludf.DUMMYFUNCTION("if(H289="""", """", SUM(split(H289, "";"")))"),"")</f>
        <v/>
      </c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</row>
    <row r="290" ht="26.25" customHeight="1">
      <c r="A290" s="68"/>
      <c r="B290" s="68"/>
      <c r="C290" s="68"/>
      <c r="D290" s="71"/>
      <c r="E290" s="71"/>
      <c r="F290" s="71"/>
      <c r="G290" s="65" t="str">
        <f t="shared" si="1"/>
        <v/>
      </c>
      <c r="H290" s="74"/>
      <c r="I290" s="67" t="str">
        <f>IFERROR(__xludf.DUMMYFUNCTION("if($H290="""", """", AVERAGE(split($H290, "";"")))"),"")</f>
        <v/>
      </c>
      <c r="J290" s="67" t="str">
        <f>IFERROR(__xludf.DUMMYFUNCTION("if(H290="""", """", SUM(split(H290, "";"")))"),"")</f>
        <v/>
      </c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</row>
    <row r="291" ht="26.25" customHeight="1">
      <c r="A291" s="68"/>
      <c r="B291" s="68"/>
      <c r="C291" s="68"/>
      <c r="D291" s="71"/>
      <c r="E291" s="71"/>
      <c r="F291" s="71"/>
      <c r="G291" s="65" t="str">
        <f t="shared" si="1"/>
        <v/>
      </c>
      <c r="H291" s="74"/>
      <c r="I291" s="67" t="str">
        <f>IFERROR(__xludf.DUMMYFUNCTION("if($H291="""", """", AVERAGE(split($H291, "";"")))"),"")</f>
        <v/>
      </c>
      <c r="J291" s="67" t="str">
        <f>IFERROR(__xludf.DUMMYFUNCTION("if(H291="""", """", SUM(split(H291, "";"")))"),"")</f>
        <v/>
      </c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</row>
    <row r="292" ht="26.25" customHeight="1">
      <c r="A292" s="68"/>
      <c r="B292" s="68"/>
      <c r="C292" s="68"/>
      <c r="D292" s="71"/>
      <c r="E292" s="71"/>
      <c r="F292" s="71"/>
      <c r="G292" s="65" t="str">
        <f t="shared" si="1"/>
        <v/>
      </c>
      <c r="H292" s="74"/>
      <c r="I292" s="67" t="str">
        <f>IFERROR(__xludf.DUMMYFUNCTION("if($H292="""", """", AVERAGE(split($H292, "";"")))"),"")</f>
        <v/>
      </c>
      <c r="J292" s="67" t="str">
        <f>IFERROR(__xludf.DUMMYFUNCTION("if(H292="""", """", SUM(split(H292, "";"")))"),"")</f>
        <v/>
      </c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</row>
    <row r="293" ht="26.25" customHeight="1">
      <c r="A293" s="68"/>
      <c r="B293" s="68"/>
      <c r="C293" s="68"/>
      <c r="D293" s="71"/>
      <c r="E293" s="71"/>
      <c r="F293" s="71"/>
      <c r="G293" s="65" t="str">
        <f t="shared" si="1"/>
        <v/>
      </c>
      <c r="H293" s="74"/>
      <c r="I293" s="67" t="str">
        <f>IFERROR(__xludf.DUMMYFUNCTION("if($H293="""", """", AVERAGE(split($H293, "";"")))"),"")</f>
        <v/>
      </c>
      <c r="J293" s="67" t="str">
        <f>IFERROR(__xludf.DUMMYFUNCTION("if(H293="""", """", SUM(split(H293, "";"")))"),"")</f>
        <v/>
      </c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</row>
    <row r="294" ht="26.25" customHeight="1">
      <c r="A294" s="68"/>
      <c r="B294" s="68"/>
      <c r="C294" s="68"/>
      <c r="D294" s="71"/>
      <c r="E294" s="71"/>
      <c r="F294" s="71"/>
      <c r="G294" s="65" t="str">
        <f t="shared" si="1"/>
        <v/>
      </c>
      <c r="H294" s="74"/>
      <c r="I294" s="67" t="str">
        <f>IFERROR(__xludf.DUMMYFUNCTION("if($H294="""", """", AVERAGE(split($H294, "";"")))"),"")</f>
        <v/>
      </c>
      <c r="J294" s="67" t="str">
        <f>IFERROR(__xludf.DUMMYFUNCTION("if(H294="""", """", SUM(split(H294, "";"")))"),"")</f>
        <v/>
      </c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</row>
    <row r="295" ht="26.25" customHeight="1">
      <c r="A295" s="68"/>
      <c r="B295" s="68"/>
      <c r="C295" s="68"/>
      <c r="D295" s="71"/>
      <c r="E295" s="71"/>
      <c r="F295" s="71"/>
      <c r="G295" s="65" t="str">
        <f t="shared" si="1"/>
        <v/>
      </c>
      <c r="H295" s="74"/>
      <c r="I295" s="67" t="str">
        <f>IFERROR(__xludf.DUMMYFUNCTION("if($H295="""", """", AVERAGE(split($H295, "";"")))"),"")</f>
        <v/>
      </c>
      <c r="J295" s="67" t="str">
        <f>IFERROR(__xludf.DUMMYFUNCTION("if(H295="""", """", SUM(split(H295, "";"")))"),"")</f>
        <v/>
      </c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</row>
    <row r="296" ht="26.25" customHeight="1">
      <c r="A296" s="68"/>
      <c r="B296" s="68"/>
      <c r="C296" s="68"/>
      <c r="D296" s="71"/>
      <c r="E296" s="71"/>
      <c r="F296" s="71"/>
      <c r="G296" s="65" t="str">
        <f t="shared" si="1"/>
        <v/>
      </c>
      <c r="H296" s="74"/>
      <c r="I296" s="67" t="str">
        <f>IFERROR(__xludf.DUMMYFUNCTION("if($H296="""", """", AVERAGE(split($H296, "";"")))"),"")</f>
        <v/>
      </c>
      <c r="J296" s="67" t="str">
        <f>IFERROR(__xludf.DUMMYFUNCTION("if(H296="""", """", SUM(split(H296, "";"")))"),"")</f>
        <v/>
      </c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</row>
    <row r="297" ht="26.25" customHeight="1">
      <c r="A297" s="68"/>
      <c r="B297" s="68"/>
      <c r="C297" s="68"/>
      <c r="D297" s="71"/>
      <c r="E297" s="71"/>
      <c r="F297" s="71"/>
      <c r="G297" s="65" t="str">
        <f t="shared" si="1"/>
        <v/>
      </c>
      <c r="H297" s="74"/>
      <c r="I297" s="67" t="str">
        <f>IFERROR(__xludf.DUMMYFUNCTION("if($H297="""", """", AVERAGE(split($H297, "";"")))"),"")</f>
        <v/>
      </c>
      <c r="J297" s="67" t="str">
        <f>IFERROR(__xludf.DUMMYFUNCTION("if(H297="""", """", SUM(split(H297, "";"")))"),"")</f>
        <v/>
      </c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</row>
    <row r="298" ht="26.25" customHeight="1">
      <c r="A298" s="68"/>
      <c r="B298" s="68"/>
      <c r="C298" s="68"/>
      <c r="D298" s="71"/>
      <c r="E298" s="71"/>
      <c r="F298" s="71"/>
      <c r="G298" s="65" t="str">
        <f t="shared" si="1"/>
        <v/>
      </c>
      <c r="H298" s="74"/>
      <c r="I298" s="67" t="str">
        <f>IFERROR(__xludf.DUMMYFUNCTION("if($H298="""", """", AVERAGE(split($H298, "";"")))"),"")</f>
        <v/>
      </c>
      <c r="J298" s="67" t="str">
        <f>IFERROR(__xludf.DUMMYFUNCTION("if(H298="""", """", SUM(split(H298, "";"")))"),"")</f>
        <v/>
      </c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</row>
    <row r="299" ht="26.25" customHeight="1">
      <c r="A299" s="68"/>
      <c r="B299" s="68"/>
      <c r="C299" s="68"/>
      <c r="D299" s="71"/>
      <c r="E299" s="71"/>
      <c r="F299" s="71"/>
      <c r="G299" s="65" t="str">
        <f t="shared" si="1"/>
        <v/>
      </c>
      <c r="H299" s="74"/>
      <c r="I299" s="67" t="str">
        <f>IFERROR(__xludf.DUMMYFUNCTION("if($H299="""", """", AVERAGE(split($H299, "";"")))"),"")</f>
        <v/>
      </c>
      <c r="J299" s="67" t="str">
        <f>IFERROR(__xludf.DUMMYFUNCTION("if(H299="""", """", SUM(split(H299, "";"")))"),"")</f>
        <v/>
      </c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</row>
    <row r="300" ht="26.25" customHeight="1">
      <c r="A300" s="68"/>
      <c r="B300" s="68"/>
      <c r="C300" s="68"/>
      <c r="D300" s="71"/>
      <c r="E300" s="71"/>
      <c r="F300" s="71"/>
      <c r="G300" s="65" t="str">
        <f t="shared" si="1"/>
        <v/>
      </c>
      <c r="H300" s="74"/>
      <c r="I300" s="67" t="str">
        <f>IFERROR(__xludf.DUMMYFUNCTION("if($H300="""", """", AVERAGE(split($H300, "";"")))"),"")</f>
        <v/>
      </c>
      <c r="J300" s="67" t="str">
        <f>IFERROR(__xludf.DUMMYFUNCTION("if(H300="""", """", SUM(split(H300, "";"")))"),"")</f>
        <v/>
      </c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</row>
    <row r="301" ht="26.25" customHeight="1">
      <c r="A301" s="68"/>
      <c r="B301" s="68"/>
      <c r="C301" s="68"/>
      <c r="D301" s="71"/>
      <c r="E301" s="71"/>
      <c r="F301" s="71"/>
      <c r="G301" s="65" t="str">
        <f t="shared" si="1"/>
        <v/>
      </c>
      <c r="H301" s="74"/>
      <c r="I301" s="67" t="str">
        <f>IFERROR(__xludf.DUMMYFUNCTION("if($H301="""", """", AVERAGE(split($H301, "";"")))"),"")</f>
        <v/>
      </c>
      <c r="J301" s="67" t="str">
        <f>IFERROR(__xludf.DUMMYFUNCTION("if(H301="""", """", SUM(split(H301, "";"")))"),"")</f>
        <v/>
      </c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</row>
    <row r="302" ht="26.25" customHeight="1">
      <c r="A302" s="68"/>
      <c r="B302" s="68"/>
      <c r="C302" s="68"/>
      <c r="D302" s="71"/>
      <c r="E302" s="71"/>
      <c r="F302" s="71"/>
      <c r="G302" s="65" t="str">
        <f t="shared" si="1"/>
        <v/>
      </c>
      <c r="H302" s="74"/>
      <c r="I302" s="67" t="str">
        <f>IFERROR(__xludf.DUMMYFUNCTION("if($H302="""", """", AVERAGE(split($H302, "";"")))"),"")</f>
        <v/>
      </c>
      <c r="J302" s="67" t="str">
        <f>IFERROR(__xludf.DUMMYFUNCTION("if(H302="""", """", SUM(split(H302, "";"")))"),"")</f>
        <v/>
      </c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</row>
    <row r="303" ht="26.25" customHeight="1">
      <c r="A303" s="68"/>
      <c r="B303" s="68"/>
      <c r="C303" s="68"/>
      <c r="D303" s="71"/>
      <c r="E303" s="71"/>
      <c r="F303" s="71"/>
      <c r="G303" s="65" t="str">
        <f t="shared" si="1"/>
        <v/>
      </c>
      <c r="H303" s="74"/>
      <c r="I303" s="67" t="str">
        <f>IFERROR(__xludf.DUMMYFUNCTION("if($H303="""", """", AVERAGE(split($H303, "";"")))"),"")</f>
        <v/>
      </c>
      <c r="J303" s="67" t="str">
        <f>IFERROR(__xludf.DUMMYFUNCTION("if(H303="""", """", SUM(split(H303, "";"")))"),"")</f>
        <v/>
      </c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</row>
    <row r="304" ht="26.25" customHeight="1">
      <c r="A304" s="68"/>
      <c r="B304" s="68"/>
      <c r="C304" s="68"/>
      <c r="D304" s="71"/>
      <c r="E304" s="71"/>
      <c r="F304" s="71"/>
      <c r="G304" s="65" t="str">
        <f t="shared" si="1"/>
        <v/>
      </c>
      <c r="H304" s="74"/>
      <c r="I304" s="67" t="str">
        <f>IFERROR(__xludf.DUMMYFUNCTION("if($H304="""", """", AVERAGE(split($H304, "";"")))"),"")</f>
        <v/>
      </c>
      <c r="J304" s="67" t="str">
        <f>IFERROR(__xludf.DUMMYFUNCTION("if(H304="""", """", SUM(split(H304, "";"")))"),"")</f>
        <v/>
      </c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</row>
    <row r="305" ht="26.25" customHeight="1">
      <c r="A305" s="68"/>
      <c r="B305" s="68"/>
      <c r="C305" s="68"/>
      <c r="D305" s="71"/>
      <c r="E305" s="71"/>
      <c r="F305" s="71"/>
      <c r="G305" s="65" t="str">
        <f t="shared" si="1"/>
        <v/>
      </c>
      <c r="H305" s="74"/>
      <c r="I305" s="67" t="str">
        <f>IFERROR(__xludf.DUMMYFUNCTION("if($H305="""", """", AVERAGE(split($H305, "";"")))"),"")</f>
        <v/>
      </c>
      <c r="J305" s="67" t="str">
        <f>IFERROR(__xludf.DUMMYFUNCTION("if(H305="""", """", SUM(split(H305, "";"")))"),"")</f>
        <v/>
      </c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</row>
    <row r="306" ht="26.25" customHeight="1">
      <c r="A306" s="68"/>
      <c r="B306" s="68"/>
      <c r="C306" s="68"/>
      <c r="D306" s="71"/>
      <c r="E306" s="71"/>
      <c r="F306" s="71"/>
      <c r="G306" s="65" t="str">
        <f t="shared" si="1"/>
        <v/>
      </c>
      <c r="H306" s="74"/>
      <c r="I306" s="67" t="str">
        <f>IFERROR(__xludf.DUMMYFUNCTION("if($H306="""", """", AVERAGE(split($H306, "";"")))"),"")</f>
        <v/>
      </c>
      <c r="J306" s="67" t="str">
        <f>IFERROR(__xludf.DUMMYFUNCTION("if(H306="""", """", SUM(split(H306, "";"")))"),"")</f>
        <v/>
      </c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</row>
    <row r="307" ht="26.25" customHeight="1">
      <c r="A307" s="68"/>
      <c r="B307" s="68"/>
      <c r="C307" s="68"/>
      <c r="D307" s="71"/>
      <c r="E307" s="71"/>
      <c r="F307" s="71"/>
      <c r="G307" s="65" t="str">
        <f t="shared" si="1"/>
        <v/>
      </c>
      <c r="H307" s="74"/>
      <c r="I307" s="67" t="str">
        <f>IFERROR(__xludf.DUMMYFUNCTION("if($H307="""", """", AVERAGE(split($H307, "";"")))"),"")</f>
        <v/>
      </c>
      <c r="J307" s="67" t="str">
        <f>IFERROR(__xludf.DUMMYFUNCTION("if(H307="""", """", SUM(split(H307, "";"")))"),"")</f>
        <v/>
      </c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</row>
    <row r="308" ht="26.25" customHeight="1">
      <c r="A308" s="68"/>
      <c r="B308" s="68"/>
      <c r="C308" s="68"/>
      <c r="D308" s="71"/>
      <c r="E308" s="71"/>
      <c r="F308" s="71"/>
      <c r="G308" s="65" t="str">
        <f t="shared" si="1"/>
        <v/>
      </c>
      <c r="H308" s="74"/>
      <c r="I308" s="67" t="str">
        <f>IFERROR(__xludf.DUMMYFUNCTION("if($H308="""", """", AVERAGE(split($H308, "";"")))"),"")</f>
        <v/>
      </c>
      <c r="J308" s="67" t="str">
        <f>IFERROR(__xludf.DUMMYFUNCTION("if(H308="""", """", SUM(split(H308, "";"")))"),"")</f>
        <v/>
      </c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</row>
    <row r="309" ht="26.25" customHeight="1">
      <c r="A309" s="68"/>
      <c r="B309" s="68"/>
      <c r="C309" s="68"/>
      <c r="D309" s="71"/>
      <c r="E309" s="71"/>
      <c r="F309" s="71"/>
      <c r="G309" s="65" t="str">
        <f t="shared" si="1"/>
        <v/>
      </c>
      <c r="H309" s="74"/>
      <c r="I309" s="67" t="str">
        <f>IFERROR(__xludf.DUMMYFUNCTION("if($H309="""", """", AVERAGE(split($H309, "";"")))"),"")</f>
        <v/>
      </c>
      <c r="J309" s="67" t="str">
        <f>IFERROR(__xludf.DUMMYFUNCTION("if(H309="""", """", SUM(split(H309, "";"")))"),"")</f>
        <v/>
      </c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</row>
    <row r="310" ht="26.25" customHeight="1">
      <c r="A310" s="68"/>
      <c r="B310" s="68"/>
      <c r="C310" s="68"/>
      <c r="D310" s="71"/>
      <c r="E310" s="71"/>
      <c r="F310" s="71"/>
      <c r="G310" s="65" t="str">
        <f t="shared" si="1"/>
        <v/>
      </c>
      <c r="H310" s="74"/>
      <c r="I310" s="67" t="str">
        <f>IFERROR(__xludf.DUMMYFUNCTION("if($H310="""", """", AVERAGE(split($H310, "";"")))"),"")</f>
        <v/>
      </c>
      <c r="J310" s="67" t="str">
        <f>IFERROR(__xludf.DUMMYFUNCTION("if(H310="""", """", SUM(split(H310, "";"")))"),"")</f>
        <v/>
      </c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</row>
    <row r="311" ht="26.25" customHeight="1">
      <c r="A311" s="68"/>
      <c r="B311" s="68"/>
      <c r="C311" s="68"/>
      <c r="D311" s="71"/>
      <c r="E311" s="71"/>
      <c r="F311" s="71"/>
      <c r="G311" s="65" t="str">
        <f t="shared" si="1"/>
        <v/>
      </c>
      <c r="H311" s="74"/>
      <c r="I311" s="67" t="str">
        <f>IFERROR(__xludf.DUMMYFUNCTION("if($H311="""", """", AVERAGE(split($H311, "";"")))"),"")</f>
        <v/>
      </c>
      <c r="J311" s="67" t="str">
        <f>IFERROR(__xludf.DUMMYFUNCTION("if(H311="""", """", SUM(split(H311, "";"")))"),"")</f>
        <v/>
      </c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</row>
    <row r="312" ht="26.25" customHeight="1">
      <c r="A312" s="68"/>
      <c r="B312" s="68"/>
      <c r="C312" s="68"/>
      <c r="D312" s="71"/>
      <c r="E312" s="71"/>
      <c r="F312" s="71"/>
      <c r="G312" s="65" t="str">
        <f t="shared" si="1"/>
        <v/>
      </c>
      <c r="H312" s="74"/>
      <c r="I312" s="67" t="str">
        <f>IFERROR(__xludf.DUMMYFUNCTION("if($H312="""", """", AVERAGE(split($H312, "";"")))"),"")</f>
        <v/>
      </c>
      <c r="J312" s="67" t="str">
        <f>IFERROR(__xludf.DUMMYFUNCTION("if(H312="""", """", SUM(split(H312, "";"")))"),"")</f>
        <v/>
      </c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</row>
    <row r="313" ht="26.25" customHeight="1">
      <c r="A313" s="68"/>
      <c r="B313" s="68"/>
      <c r="C313" s="68"/>
      <c r="D313" s="71"/>
      <c r="E313" s="71"/>
      <c r="F313" s="71"/>
      <c r="G313" s="65" t="str">
        <f t="shared" si="1"/>
        <v/>
      </c>
      <c r="H313" s="74"/>
      <c r="I313" s="67" t="str">
        <f>IFERROR(__xludf.DUMMYFUNCTION("if($H313="""", """", AVERAGE(split($H313, "";"")))"),"")</f>
        <v/>
      </c>
      <c r="J313" s="67" t="str">
        <f>IFERROR(__xludf.DUMMYFUNCTION("if(H313="""", """", SUM(split(H313, "";"")))"),"")</f>
        <v/>
      </c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</row>
    <row r="314" ht="26.25" customHeight="1">
      <c r="A314" s="68"/>
      <c r="B314" s="68"/>
      <c r="C314" s="68"/>
      <c r="D314" s="71"/>
      <c r="E314" s="71"/>
      <c r="F314" s="71"/>
      <c r="G314" s="65" t="str">
        <f t="shared" si="1"/>
        <v/>
      </c>
      <c r="H314" s="74"/>
      <c r="I314" s="67" t="str">
        <f>IFERROR(__xludf.DUMMYFUNCTION("if($H314="""", """", AVERAGE(split($H314, "";"")))"),"")</f>
        <v/>
      </c>
      <c r="J314" s="67" t="str">
        <f>IFERROR(__xludf.DUMMYFUNCTION("if(H314="""", """", SUM(split(H314, "";"")))"),"")</f>
        <v/>
      </c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</row>
    <row r="315" ht="26.25" customHeight="1">
      <c r="A315" s="68"/>
      <c r="B315" s="68"/>
      <c r="C315" s="68"/>
      <c r="D315" s="71"/>
      <c r="E315" s="71"/>
      <c r="F315" s="71"/>
      <c r="G315" s="65" t="str">
        <f t="shared" si="1"/>
        <v/>
      </c>
      <c r="H315" s="74"/>
      <c r="I315" s="67" t="str">
        <f>IFERROR(__xludf.DUMMYFUNCTION("if($H315="""", """", AVERAGE(split($H315, "";"")))"),"")</f>
        <v/>
      </c>
      <c r="J315" s="67" t="str">
        <f>IFERROR(__xludf.DUMMYFUNCTION("if(H315="""", """", SUM(split(H315, "";"")))"),"")</f>
        <v/>
      </c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</row>
    <row r="316" ht="26.25" customHeight="1">
      <c r="A316" s="68"/>
      <c r="B316" s="68"/>
      <c r="C316" s="68"/>
      <c r="D316" s="71"/>
      <c r="E316" s="71"/>
      <c r="F316" s="71"/>
      <c r="G316" s="65" t="str">
        <f t="shared" si="1"/>
        <v/>
      </c>
      <c r="H316" s="74"/>
      <c r="I316" s="67" t="str">
        <f>IFERROR(__xludf.DUMMYFUNCTION("if($H316="""", """", AVERAGE(split($H316, "";"")))"),"")</f>
        <v/>
      </c>
      <c r="J316" s="67" t="str">
        <f>IFERROR(__xludf.DUMMYFUNCTION("if(H316="""", """", SUM(split(H316, "";"")))"),"")</f>
        <v/>
      </c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</row>
    <row r="317" ht="26.25" customHeight="1">
      <c r="A317" s="68"/>
      <c r="B317" s="68"/>
      <c r="C317" s="68"/>
      <c r="D317" s="71"/>
      <c r="E317" s="71"/>
      <c r="F317" s="71"/>
      <c r="G317" s="65" t="str">
        <f t="shared" si="1"/>
        <v/>
      </c>
      <c r="H317" s="74"/>
      <c r="I317" s="67" t="str">
        <f>IFERROR(__xludf.DUMMYFUNCTION("if($H317="""", """", AVERAGE(split($H317, "";"")))"),"")</f>
        <v/>
      </c>
      <c r="J317" s="67" t="str">
        <f>IFERROR(__xludf.DUMMYFUNCTION("if(H317="""", """", SUM(split(H317, "";"")))"),"")</f>
        <v/>
      </c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</row>
    <row r="318" ht="26.25" customHeight="1">
      <c r="A318" s="68"/>
      <c r="B318" s="68"/>
      <c r="C318" s="68"/>
      <c r="D318" s="71"/>
      <c r="E318" s="71"/>
      <c r="F318" s="71"/>
      <c r="G318" s="65" t="str">
        <f t="shared" si="1"/>
        <v/>
      </c>
      <c r="H318" s="74"/>
      <c r="I318" s="67" t="str">
        <f>IFERROR(__xludf.DUMMYFUNCTION("if($H318="""", """", AVERAGE(split($H318, "";"")))"),"")</f>
        <v/>
      </c>
      <c r="J318" s="67" t="str">
        <f>IFERROR(__xludf.DUMMYFUNCTION("if(H318="""", """", SUM(split(H318, "";"")))"),"")</f>
        <v/>
      </c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</row>
    <row r="319" ht="26.25" customHeight="1">
      <c r="A319" s="68"/>
      <c r="B319" s="68"/>
      <c r="C319" s="68"/>
      <c r="D319" s="71"/>
      <c r="E319" s="71"/>
      <c r="F319" s="71"/>
      <c r="G319" s="65" t="str">
        <f t="shared" si="1"/>
        <v/>
      </c>
      <c r="H319" s="74"/>
      <c r="I319" s="67" t="str">
        <f>IFERROR(__xludf.DUMMYFUNCTION("if($H319="""", """", AVERAGE(split($H319, "";"")))"),"")</f>
        <v/>
      </c>
      <c r="J319" s="67" t="str">
        <f>IFERROR(__xludf.DUMMYFUNCTION("if(H319="""", """", SUM(split(H319, "";"")))"),"")</f>
        <v/>
      </c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</row>
    <row r="320" ht="26.25" customHeight="1">
      <c r="A320" s="68"/>
      <c r="B320" s="68"/>
      <c r="C320" s="68"/>
      <c r="D320" s="71"/>
      <c r="E320" s="71"/>
      <c r="F320" s="71"/>
      <c r="G320" s="65" t="str">
        <f t="shared" si="1"/>
        <v/>
      </c>
      <c r="H320" s="74"/>
      <c r="I320" s="67" t="str">
        <f>IFERROR(__xludf.DUMMYFUNCTION("if($H320="""", """", AVERAGE(split($H320, "";"")))"),"")</f>
        <v/>
      </c>
      <c r="J320" s="67" t="str">
        <f>IFERROR(__xludf.DUMMYFUNCTION("if(H320="""", """", SUM(split(H320, "";"")))"),"")</f>
        <v/>
      </c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</row>
    <row r="321" ht="26.25" customHeight="1">
      <c r="A321" s="68"/>
      <c r="B321" s="68"/>
      <c r="C321" s="68"/>
      <c r="D321" s="71"/>
      <c r="E321" s="71"/>
      <c r="F321" s="71"/>
      <c r="G321" s="65" t="str">
        <f t="shared" si="1"/>
        <v/>
      </c>
      <c r="H321" s="74"/>
      <c r="I321" s="67" t="str">
        <f>IFERROR(__xludf.DUMMYFUNCTION("if($H321="""", """", AVERAGE(split($H321, "";"")))"),"")</f>
        <v/>
      </c>
      <c r="J321" s="67" t="str">
        <f>IFERROR(__xludf.DUMMYFUNCTION("if(H321="""", """", SUM(split(H321, "";"")))"),"")</f>
        <v/>
      </c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</row>
    <row r="322" ht="26.25" customHeight="1">
      <c r="A322" s="68"/>
      <c r="B322" s="68"/>
      <c r="C322" s="68"/>
      <c r="D322" s="71"/>
      <c r="E322" s="71"/>
      <c r="F322" s="71"/>
      <c r="G322" s="65" t="str">
        <f t="shared" si="1"/>
        <v/>
      </c>
      <c r="H322" s="74"/>
      <c r="I322" s="67" t="str">
        <f>IFERROR(__xludf.DUMMYFUNCTION("if($H322="""", """", AVERAGE(split($H322, "";"")))"),"")</f>
        <v/>
      </c>
      <c r="J322" s="67" t="str">
        <f>IFERROR(__xludf.DUMMYFUNCTION("if(H322="""", """", SUM(split(H322, "";"")))"),"")</f>
        <v/>
      </c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</row>
    <row r="323" ht="26.25" customHeight="1">
      <c r="A323" s="68"/>
      <c r="B323" s="68"/>
      <c r="C323" s="68"/>
      <c r="D323" s="71"/>
      <c r="E323" s="71"/>
      <c r="F323" s="71"/>
      <c r="G323" s="65" t="str">
        <f t="shared" si="1"/>
        <v/>
      </c>
      <c r="H323" s="74"/>
      <c r="I323" s="67" t="str">
        <f>IFERROR(__xludf.DUMMYFUNCTION("if($H323="""", """", AVERAGE(split($H323, "";"")))"),"")</f>
        <v/>
      </c>
      <c r="J323" s="67" t="str">
        <f>IFERROR(__xludf.DUMMYFUNCTION("if(H323="""", """", SUM(split(H323, "";"")))"),"")</f>
        <v/>
      </c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</row>
    <row r="324" ht="26.25" customHeight="1">
      <c r="A324" s="68"/>
      <c r="B324" s="68"/>
      <c r="C324" s="68"/>
      <c r="D324" s="71"/>
      <c r="E324" s="71"/>
      <c r="F324" s="71"/>
      <c r="G324" s="65" t="str">
        <f t="shared" si="1"/>
        <v/>
      </c>
      <c r="H324" s="74"/>
      <c r="I324" s="67" t="str">
        <f>IFERROR(__xludf.DUMMYFUNCTION("if($H324="""", """", AVERAGE(split($H324, "";"")))"),"")</f>
        <v/>
      </c>
      <c r="J324" s="67" t="str">
        <f>IFERROR(__xludf.DUMMYFUNCTION("if(H324="""", """", SUM(split(H324, "";"")))"),"")</f>
        <v/>
      </c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</row>
    <row r="325" ht="26.25" customHeight="1">
      <c r="A325" s="68"/>
      <c r="B325" s="68"/>
      <c r="C325" s="68"/>
      <c r="D325" s="71"/>
      <c r="E325" s="71"/>
      <c r="F325" s="71"/>
      <c r="G325" s="65" t="str">
        <f t="shared" si="1"/>
        <v/>
      </c>
      <c r="H325" s="74"/>
      <c r="I325" s="67" t="str">
        <f>IFERROR(__xludf.DUMMYFUNCTION("if($H325="""", """", AVERAGE(split($H325, "";"")))"),"")</f>
        <v/>
      </c>
      <c r="J325" s="67" t="str">
        <f>IFERROR(__xludf.DUMMYFUNCTION("if(H325="""", """", SUM(split(H325, "";"")))"),"")</f>
        <v/>
      </c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</row>
    <row r="326" ht="26.25" customHeight="1">
      <c r="A326" s="68"/>
      <c r="B326" s="68"/>
      <c r="C326" s="68"/>
      <c r="D326" s="71"/>
      <c r="E326" s="71"/>
      <c r="F326" s="71"/>
      <c r="G326" s="65" t="str">
        <f t="shared" si="1"/>
        <v/>
      </c>
      <c r="H326" s="74"/>
      <c r="I326" s="67" t="str">
        <f>IFERROR(__xludf.DUMMYFUNCTION("if($H326="""", """", AVERAGE(split($H326, "";"")))"),"")</f>
        <v/>
      </c>
      <c r="J326" s="67" t="str">
        <f>IFERROR(__xludf.DUMMYFUNCTION("if(H326="""", """", SUM(split(H326, "";"")))"),"")</f>
        <v/>
      </c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</row>
    <row r="327" ht="26.25" customHeight="1">
      <c r="A327" s="68"/>
      <c r="B327" s="68"/>
      <c r="C327" s="68"/>
      <c r="D327" s="71"/>
      <c r="E327" s="71"/>
      <c r="F327" s="71"/>
      <c r="G327" s="65" t="str">
        <f t="shared" si="1"/>
        <v/>
      </c>
      <c r="H327" s="74"/>
      <c r="I327" s="67" t="str">
        <f>IFERROR(__xludf.DUMMYFUNCTION("if($H327="""", """", AVERAGE(split($H327, "";"")))"),"")</f>
        <v/>
      </c>
      <c r="J327" s="67" t="str">
        <f>IFERROR(__xludf.DUMMYFUNCTION("if(H327="""", """", SUM(split(H327, "";"")))"),"")</f>
        <v/>
      </c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</row>
    <row r="328" ht="26.25" customHeight="1">
      <c r="A328" s="68"/>
      <c r="B328" s="68"/>
      <c r="C328" s="68"/>
      <c r="D328" s="71"/>
      <c r="E328" s="71"/>
      <c r="F328" s="71"/>
      <c r="G328" s="65" t="str">
        <f t="shared" si="1"/>
        <v/>
      </c>
      <c r="H328" s="74"/>
      <c r="I328" s="67" t="str">
        <f>IFERROR(__xludf.DUMMYFUNCTION("if($H328="""", """", AVERAGE(split($H328, "";"")))"),"")</f>
        <v/>
      </c>
      <c r="J328" s="67" t="str">
        <f>IFERROR(__xludf.DUMMYFUNCTION("if(H328="""", """", SUM(split(H328, "";"")))"),"")</f>
        <v/>
      </c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</row>
    <row r="329" ht="26.25" customHeight="1">
      <c r="A329" s="68"/>
      <c r="B329" s="68"/>
      <c r="C329" s="68"/>
      <c r="D329" s="71"/>
      <c r="E329" s="71"/>
      <c r="F329" s="71"/>
      <c r="G329" s="65" t="str">
        <f t="shared" si="1"/>
        <v/>
      </c>
      <c r="H329" s="74"/>
      <c r="I329" s="67" t="str">
        <f>IFERROR(__xludf.DUMMYFUNCTION("if($H329="""", """", AVERAGE(split($H329, "";"")))"),"")</f>
        <v/>
      </c>
      <c r="J329" s="67" t="str">
        <f>IFERROR(__xludf.DUMMYFUNCTION("if(H329="""", """", SUM(split(H329, "";"")))"),"")</f>
        <v/>
      </c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</row>
    <row r="330" ht="26.25" customHeight="1">
      <c r="A330" s="68"/>
      <c r="B330" s="68"/>
      <c r="C330" s="68"/>
      <c r="D330" s="71"/>
      <c r="E330" s="71"/>
      <c r="F330" s="71"/>
      <c r="G330" s="65" t="str">
        <f t="shared" si="1"/>
        <v/>
      </c>
      <c r="H330" s="74"/>
      <c r="I330" s="67" t="str">
        <f>IFERROR(__xludf.DUMMYFUNCTION("if($H330="""", """", AVERAGE(split($H330, "";"")))"),"")</f>
        <v/>
      </c>
      <c r="J330" s="67" t="str">
        <f>IFERROR(__xludf.DUMMYFUNCTION("if(H330="""", """", SUM(split(H330, "";"")))"),"")</f>
        <v/>
      </c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</row>
    <row r="331" ht="26.25" customHeight="1">
      <c r="A331" s="68"/>
      <c r="B331" s="68"/>
      <c r="C331" s="68"/>
      <c r="D331" s="71"/>
      <c r="E331" s="71"/>
      <c r="F331" s="71"/>
      <c r="G331" s="65" t="str">
        <f t="shared" si="1"/>
        <v/>
      </c>
      <c r="H331" s="74"/>
      <c r="I331" s="67" t="str">
        <f>IFERROR(__xludf.DUMMYFUNCTION("if($H331="""", """", AVERAGE(split($H331, "";"")))"),"")</f>
        <v/>
      </c>
      <c r="J331" s="67" t="str">
        <f>IFERROR(__xludf.DUMMYFUNCTION("if(H331="""", """", SUM(split(H331, "";"")))"),"")</f>
        <v/>
      </c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</row>
    <row r="332" ht="26.25" customHeight="1">
      <c r="A332" s="68"/>
      <c r="B332" s="68"/>
      <c r="C332" s="68"/>
      <c r="D332" s="71"/>
      <c r="E332" s="71"/>
      <c r="F332" s="71"/>
      <c r="G332" s="65" t="str">
        <f t="shared" si="1"/>
        <v/>
      </c>
      <c r="H332" s="74"/>
      <c r="I332" s="67" t="str">
        <f>IFERROR(__xludf.DUMMYFUNCTION("if($H332="""", """", AVERAGE(split($H332, "";"")))"),"")</f>
        <v/>
      </c>
      <c r="J332" s="67" t="str">
        <f>IFERROR(__xludf.DUMMYFUNCTION("if(H332="""", """", SUM(split(H332, "";"")))"),"")</f>
        <v/>
      </c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</row>
    <row r="333" ht="26.25" customHeight="1">
      <c r="A333" s="68"/>
      <c r="B333" s="68"/>
      <c r="C333" s="68"/>
      <c r="D333" s="71"/>
      <c r="E333" s="71"/>
      <c r="F333" s="71"/>
      <c r="G333" s="65" t="str">
        <f t="shared" si="1"/>
        <v/>
      </c>
      <c r="H333" s="74"/>
      <c r="I333" s="67" t="str">
        <f>IFERROR(__xludf.DUMMYFUNCTION("if($H333="""", """", AVERAGE(split($H333, "";"")))"),"")</f>
        <v/>
      </c>
      <c r="J333" s="67" t="str">
        <f>IFERROR(__xludf.DUMMYFUNCTION("if(H333="""", """", SUM(split(H333, "";"")))"),"")</f>
        <v/>
      </c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</row>
    <row r="334" ht="26.25" customHeight="1">
      <c r="A334" s="68"/>
      <c r="B334" s="68"/>
      <c r="C334" s="68"/>
      <c r="D334" s="71"/>
      <c r="E334" s="71"/>
      <c r="F334" s="71"/>
      <c r="G334" s="65" t="str">
        <f t="shared" si="1"/>
        <v/>
      </c>
      <c r="H334" s="74"/>
      <c r="I334" s="67" t="str">
        <f>IFERROR(__xludf.DUMMYFUNCTION("if($H334="""", """", AVERAGE(split($H334, "";"")))"),"")</f>
        <v/>
      </c>
      <c r="J334" s="67" t="str">
        <f>IFERROR(__xludf.DUMMYFUNCTION("if(H334="""", """", SUM(split(H334, "";"")))"),"")</f>
        <v/>
      </c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</row>
    <row r="335" ht="26.25" customHeight="1">
      <c r="A335" s="68"/>
      <c r="B335" s="68"/>
      <c r="C335" s="68"/>
      <c r="D335" s="71"/>
      <c r="E335" s="71"/>
      <c r="F335" s="71"/>
      <c r="G335" s="65" t="str">
        <f t="shared" si="1"/>
        <v/>
      </c>
      <c r="H335" s="74"/>
      <c r="I335" s="67" t="str">
        <f>IFERROR(__xludf.DUMMYFUNCTION("if($H335="""", """", AVERAGE(split($H335, "";"")))"),"")</f>
        <v/>
      </c>
      <c r="J335" s="67" t="str">
        <f>IFERROR(__xludf.DUMMYFUNCTION("if(H335="""", """", SUM(split(H335, "";"")))"),"")</f>
        <v/>
      </c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  <c r="AA335" s="68"/>
    </row>
    <row r="336" ht="26.25" customHeight="1">
      <c r="A336" s="68"/>
      <c r="B336" s="68"/>
      <c r="C336" s="68"/>
      <c r="D336" s="71"/>
      <c r="E336" s="71"/>
      <c r="F336" s="71"/>
      <c r="G336" s="65" t="str">
        <f t="shared" si="1"/>
        <v/>
      </c>
      <c r="H336" s="74"/>
      <c r="I336" s="67" t="str">
        <f>IFERROR(__xludf.DUMMYFUNCTION("if($H336="""", """", AVERAGE(split($H336, "";"")))"),"")</f>
        <v/>
      </c>
      <c r="J336" s="67" t="str">
        <f>IFERROR(__xludf.DUMMYFUNCTION("if(H336="""", """", SUM(split(H336, "";"")))"),"")</f>
        <v/>
      </c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  <c r="AA336" s="68"/>
    </row>
    <row r="337" ht="26.25" customHeight="1">
      <c r="A337" s="68"/>
      <c r="B337" s="68"/>
      <c r="C337" s="68"/>
      <c r="D337" s="71"/>
      <c r="E337" s="71"/>
      <c r="F337" s="71"/>
      <c r="G337" s="65" t="str">
        <f t="shared" si="1"/>
        <v/>
      </c>
      <c r="H337" s="74"/>
      <c r="I337" s="67" t="str">
        <f>IFERROR(__xludf.DUMMYFUNCTION("if($H337="""", """", AVERAGE(split($H337, "";"")))"),"")</f>
        <v/>
      </c>
      <c r="J337" s="67" t="str">
        <f>IFERROR(__xludf.DUMMYFUNCTION("if(H337="""", """", SUM(split(H337, "";"")))"),"")</f>
        <v/>
      </c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  <c r="AA337" s="68"/>
    </row>
    <row r="338" ht="26.25" customHeight="1">
      <c r="A338" s="68"/>
      <c r="B338" s="68"/>
      <c r="C338" s="68"/>
      <c r="D338" s="71"/>
      <c r="E338" s="71"/>
      <c r="F338" s="71"/>
      <c r="G338" s="65" t="str">
        <f t="shared" si="1"/>
        <v/>
      </c>
      <c r="H338" s="74"/>
      <c r="I338" s="67" t="str">
        <f>IFERROR(__xludf.DUMMYFUNCTION("if($H338="""", """", AVERAGE(split($H338, "";"")))"),"")</f>
        <v/>
      </c>
      <c r="J338" s="67" t="str">
        <f>IFERROR(__xludf.DUMMYFUNCTION("if(H338="""", """", SUM(split(H338, "";"")))"),"")</f>
        <v/>
      </c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  <c r="AA338" s="68"/>
    </row>
    <row r="339" ht="26.25" customHeight="1">
      <c r="A339" s="68"/>
      <c r="B339" s="68"/>
      <c r="C339" s="68"/>
      <c r="D339" s="71"/>
      <c r="E339" s="71"/>
      <c r="F339" s="71"/>
      <c r="G339" s="65" t="str">
        <f t="shared" si="1"/>
        <v/>
      </c>
      <c r="H339" s="74"/>
      <c r="I339" s="67" t="str">
        <f>IFERROR(__xludf.DUMMYFUNCTION("if($H339="""", """", AVERAGE(split($H339, "";"")))"),"")</f>
        <v/>
      </c>
      <c r="J339" s="67" t="str">
        <f>IFERROR(__xludf.DUMMYFUNCTION("if(H339="""", """", SUM(split(H339, "";"")))"),"")</f>
        <v/>
      </c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  <c r="AA339" s="68"/>
    </row>
    <row r="340" ht="26.25" customHeight="1">
      <c r="A340" s="68"/>
      <c r="B340" s="68"/>
      <c r="C340" s="68"/>
      <c r="D340" s="71"/>
      <c r="E340" s="71"/>
      <c r="F340" s="71"/>
      <c r="G340" s="65" t="str">
        <f t="shared" si="1"/>
        <v/>
      </c>
      <c r="H340" s="74"/>
      <c r="I340" s="67" t="str">
        <f>IFERROR(__xludf.DUMMYFUNCTION("if($H340="""", """", AVERAGE(split($H340, "";"")))"),"")</f>
        <v/>
      </c>
      <c r="J340" s="67" t="str">
        <f>IFERROR(__xludf.DUMMYFUNCTION("if(H340="""", """", SUM(split(H340, "";"")))"),"")</f>
        <v/>
      </c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  <c r="AA340" s="68"/>
    </row>
    <row r="341" ht="26.25" customHeight="1">
      <c r="A341" s="68"/>
      <c r="B341" s="68"/>
      <c r="C341" s="68"/>
      <c r="D341" s="71"/>
      <c r="E341" s="71"/>
      <c r="F341" s="71"/>
      <c r="G341" s="65" t="str">
        <f t="shared" si="1"/>
        <v/>
      </c>
      <c r="H341" s="74"/>
      <c r="I341" s="67" t="str">
        <f>IFERROR(__xludf.DUMMYFUNCTION("if($H341="""", """", AVERAGE(split($H341, "";"")))"),"")</f>
        <v/>
      </c>
      <c r="J341" s="67" t="str">
        <f>IFERROR(__xludf.DUMMYFUNCTION("if(H341="""", """", SUM(split(H341, "";"")))"),"")</f>
        <v/>
      </c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  <c r="AA341" s="68"/>
    </row>
    <row r="342" ht="26.25" customHeight="1">
      <c r="A342" s="68"/>
      <c r="B342" s="68"/>
      <c r="C342" s="68"/>
      <c r="D342" s="71"/>
      <c r="E342" s="71"/>
      <c r="F342" s="71"/>
      <c r="G342" s="65" t="str">
        <f t="shared" si="1"/>
        <v/>
      </c>
      <c r="H342" s="74"/>
      <c r="I342" s="67" t="str">
        <f>IFERROR(__xludf.DUMMYFUNCTION("if($H342="""", """", AVERAGE(split($H342, "";"")))"),"")</f>
        <v/>
      </c>
      <c r="J342" s="67" t="str">
        <f>IFERROR(__xludf.DUMMYFUNCTION("if(H342="""", """", SUM(split(H342, "";"")))"),"")</f>
        <v/>
      </c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  <c r="AA342" s="68"/>
    </row>
    <row r="343" ht="26.25" customHeight="1">
      <c r="A343" s="68"/>
      <c r="B343" s="68"/>
      <c r="C343" s="68"/>
      <c r="D343" s="71"/>
      <c r="E343" s="71"/>
      <c r="F343" s="71"/>
      <c r="G343" s="65" t="str">
        <f t="shared" si="1"/>
        <v/>
      </c>
      <c r="H343" s="74"/>
      <c r="I343" s="67" t="str">
        <f>IFERROR(__xludf.DUMMYFUNCTION("if($H343="""", """", AVERAGE(split($H343, "";"")))"),"")</f>
        <v/>
      </c>
      <c r="J343" s="67" t="str">
        <f>IFERROR(__xludf.DUMMYFUNCTION("if(H343="""", """", SUM(split(H343, "";"")))"),"")</f>
        <v/>
      </c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  <c r="AA343" s="68"/>
    </row>
    <row r="344" ht="26.25" customHeight="1">
      <c r="A344" s="68"/>
      <c r="B344" s="68"/>
      <c r="C344" s="68"/>
      <c r="D344" s="71"/>
      <c r="E344" s="71"/>
      <c r="F344" s="71"/>
      <c r="G344" s="65" t="str">
        <f t="shared" si="1"/>
        <v/>
      </c>
      <c r="H344" s="74"/>
      <c r="I344" s="67" t="str">
        <f>IFERROR(__xludf.DUMMYFUNCTION("if($H344="""", """", AVERAGE(split($H344, "";"")))"),"")</f>
        <v/>
      </c>
      <c r="J344" s="67" t="str">
        <f>IFERROR(__xludf.DUMMYFUNCTION("if(H344="""", """", SUM(split(H344, "";"")))"),"")</f>
        <v/>
      </c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  <c r="AA344" s="68"/>
    </row>
    <row r="345" ht="26.25" customHeight="1">
      <c r="A345" s="68"/>
      <c r="B345" s="68"/>
      <c r="C345" s="68"/>
      <c r="D345" s="71"/>
      <c r="E345" s="71"/>
      <c r="F345" s="71"/>
      <c r="G345" s="65" t="str">
        <f t="shared" si="1"/>
        <v/>
      </c>
      <c r="H345" s="74"/>
      <c r="I345" s="67" t="str">
        <f>IFERROR(__xludf.DUMMYFUNCTION("if($H345="""", """", AVERAGE(split($H345, "";"")))"),"")</f>
        <v/>
      </c>
      <c r="J345" s="67" t="str">
        <f>IFERROR(__xludf.DUMMYFUNCTION("if(H345="""", """", SUM(split(H345, "";"")))"),"")</f>
        <v/>
      </c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  <c r="AA345" s="68"/>
    </row>
    <row r="346" ht="26.25" customHeight="1">
      <c r="A346" s="68"/>
      <c r="B346" s="68"/>
      <c r="C346" s="68"/>
      <c r="D346" s="71"/>
      <c r="E346" s="71"/>
      <c r="F346" s="71"/>
      <c r="G346" s="65" t="str">
        <f t="shared" si="1"/>
        <v/>
      </c>
      <c r="H346" s="74"/>
      <c r="I346" s="67" t="str">
        <f>IFERROR(__xludf.DUMMYFUNCTION("if($H346="""", """", AVERAGE(split($H346, "";"")))"),"")</f>
        <v/>
      </c>
      <c r="J346" s="67" t="str">
        <f>IFERROR(__xludf.DUMMYFUNCTION("if(H346="""", """", SUM(split(H346, "";"")))"),"")</f>
        <v/>
      </c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  <c r="AA346" s="68"/>
    </row>
    <row r="347" ht="26.25" customHeight="1">
      <c r="A347" s="68"/>
      <c r="B347" s="68"/>
      <c r="C347" s="68"/>
      <c r="D347" s="71"/>
      <c r="E347" s="71"/>
      <c r="F347" s="71"/>
      <c r="G347" s="65" t="str">
        <f t="shared" si="1"/>
        <v/>
      </c>
      <c r="H347" s="74"/>
      <c r="I347" s="67" t="str">
        <f>IFERROR(__xludf.DUMMYFUNCTION("if($H347="""", """", AVERAGE(split($H347, "";"")))"),"")</f>
        <v/>
      </c>
      <c r="J347" s="67" t="str">
        <f>IFERROR(__xludf.DUMMYFUNCTION("if(H347="""", """", SUM(split(H347, "";"")))"),"")</f>
        <v/>
      </c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  <c r="AA347" s="68"/>
    </row>
    <row r="348" ht="26.25" customHeight="1">
      <c r="A348" s="68"/>
      <c r="B348" s="68"/>
      <c r="C348" s="68"/>
      <c r="D348" s="71"/>
      <c r="E348" s="71"/>
      <c r="F348" s="71"/>
      <c r="G348" s="65" t="str">
        <f t="shared" si="1"/>
        <v/>
      </c>
      <c r="H348" s="74"/>
      <c r="I348" s="67" t="str">
        <f>IFERROR(__xludf.DUMMYFUNCTION("if($H348="""", """", AVERAGE(split($H348, "";"")))"),"")</f>
        <v/>
      </c>
      <c r="J348" s="67" t="str">
        <f>IFERROR(__xludf.DUMMYFUNCTION("if(H348="""", """", SUM(split(H348, "";"")))"),"")</f>
        <v/>
      </c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  <c r="AA348" s="68"/>
    </row>
    <row r="349" ht="26.25" customHeight="1">
      <c r="A349" s="68"/>
      <c r="B349" s="68"/>
      <c r="C349" s="68"/>
      <c r="D349" s="71"/>
      <c r="E349" s="71"/>
      <c r="F349" s="71"/>
      <c r="G349" s="65" t="str">
        <f t="shared" si="1"/>
        <v/>
      </c>
      <c r="H349" s="74"/>
      <c r="I349" s="67" t="str">
        <f>IFERROR(__xludf.DUMMYFUNCTION("if($H349="""", """", AVERAGE(split($H349, "";"")))"),"")</f>
        <v/>
      </c>
      <c r="J349" s="67" t="str">
        <f>IFERROR(__xludf.DUMMYFUNCTION("if(H349="""", """", SUM(split(H349, "";"")))"),"")</f>
        <v/>
      </c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  <c r="AA349" s="68"/>
    </row>
    <row r="350" ht="26.25" customHeight="1">
      <c r="A350" s="68"/>
      <c r="B350" s="68"/>
      <c r="C350" s="68"/>
      <c r="D350" s="71"/>
      <c r="E350" s="71"/>
      <c r="F350" s="71"/>
      <c r="G350" s="65" t="str">
        <f t="shared" si="1"/>
        <v/>
      </c>
      <c r="H350" s="74"/>
      <c r="I350" s="67" t="str">
        <f>IFERROR(__xludf.DUMMYFUNCTION("if($H350="""", """", AVERAGE(split($H350, "";"")))"),"")</f>
        <v/>
      </c>
      <c r="J350" s="67" t="str">
        <f>IFERROR(__xludf.DUMMYFUNCTION("if(H350="""", """", SUM(split(H350, "";"")))"),"")</f>
        <v/>
      </c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  <c r="AA350" s="68"/>
    </row>
    <row r="351" ht="26.25" customHeight="1">
      <c r="A351" s="68"/>
      <c r="B351" s="68"/>
      <c r="C351" s="68"/>
      <c r="D351" s="71"/>
      <c r="E351" s="71"/>
      <c r="F351" s="71"/>
      <c r="G351" s="65" t="str">
        <f t="shared" si="1"/>
        <v/>
      </c>
      <c r="H351" s="74"/>
      <c r="I351" s="67" t="str">
        <f>IFERROR(__xludf.DUMMYFUNCTION("if($H351="""", """", AVERAGE(split($H351, "";"")))"),"")</f>
        <v/>
      </c>
      <c r="J351" s="67" t="str">
        <f>IFERROR(__xludf.DUMMYFUNCTION("if(H351="""", """", SUM(split(H351, "";"")))"),"")</f>
        <v/>
      </c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  <c r="AA351" s="68"/>
    </row>
    <row r="352" ht="26.25" customHeight="1">
      <c r="A352" s="68"/>
      <c r="B352" s="68"/>
      <c r="C352" s="68"/>
      <c r="D352" s="71"/>
      <c r="E352" s="71"/>
      <c r="F352" s="71"/>
      <c r="G352" s="65" t="str">
        <f t="shared" si="1"/>
        <v/>
      </c>
      <c r="H352" s="74"/>
      <c r="I352" s="67" t="str">
        <f>IFERROR(__xludf.DUMMYFUNCTION("if($H352="""", """", AVERAGE(split($H352, "";"")))"),"")</f>
        <v/>
      </c>
      <c r="J352" s="67" t="str">
        <f>IFERROR(__xludf.DUMMYFUNCTION("if(H352="""", """", SUM(split(H352, "";"")))"),"")</f>
        <v/>
      </c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  <c r="AA352" s="68"/>
    </row>
    <row r="353" ht="26.25" customHeight="1">
      <c r="A353" s="68"/>
      <c r="B353" s="68"/>
      <c r="C353" s="68"/>
      <c r="D353" s="71"/>
      <c r="E353" s="71"/>
      <c r="F353" s="71"/>
      <c r="G353" s="65" t="str">
        <f t="shared" si="1"/>
        <v/>
      </c>
      <c r="H353" s="74"/>
      <c r="I353" s="67" t="str">
        <f>IFERROR(__xludf.DUMMYFUNCTION("if($H353="""", """", AVERAGE(split($H353, "";"")))"),"")</f>
        <v/>
      </c>
      <c r="J353" s="67" t="str">
        <f>IFERROR(__xludf.DUMMYFUNCTION("if(H353="""", """", SUM(split(H353, "";"")))"),"")</f>
        <v/>
      </c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  <c r="AA353" s="68"/>
    </row>
    <row r="354" ht="26.25" customHeight="1">
      <c r="A354" s="68"/>
      <c r="B354" s="68"/>
      <c r="C354" s="68"/>
      <c r="D354" s="71"/>
      <c r="E354" s="71"/>
      <c r="F354" s="71"/>
      <c r="G354" s="65" t="str">
        <f t="shared" si="1"/>
        <v/>
      </c>
      <c r="H354" s="74"/>
      <c r="I354" s="67" t="str">
        <f>IFERROR(__xludf.DUMMYFUNCTION("if($H354="""", """", AVERAGE(split($H354, "";"")))"),"")</f>
        <v/>
      </c>
      <c r="J354" s="67" t="str">
        <f>IFERROR(__xludf.DUMMYFUNCTION("if(H354="""", """", SUM(split(H354, "";"")))"),"")</f>
        <v/>
      </c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  <c r="AA354" s="68"/>
    </row>
    <row r="355" ht="26.25" customHeight="1">
      <c r="A355" s="68"/>
      <c r="B355" s="68"/>
      <c r="C355" s="68"/>
      <c r="D355" s="71"/>
      <c r="E355" s="71"/>
      <c r="F355" s="71"/>
      <c r="G355" s="65" t="str">
        <f t="shared" si="1"/>
        <v/>
      </c>
      <c r="H355" s="74"/>
      <c r="I355" s="67" t="str">
        <f>IFERROR(__xludf.DUMMYFUNCTION("if($H355="""", """", AVERAGE(split($H355, "";"")))"),"")</f>
        <v/>
      </c>
      <c r="J355" s="67" t="str">
        <f>IFERROR(__xludf.DUMMYFUNCTION("if(H355="""", """", SUM(split(H355, "";"")))"),"")</f>
        <v/>
      </c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  <c r="AA355" s="68"/>
    </row>
    <row r="356" ht="26.25" customHeight="1">
      <c r="A356" s="68"/>
      <c r="B356" s="68"/>
      <c r="C356" s="68"/>
      <c r="D356" s="71"/>
      <c r="E356" s="71"/>
      <c r="F356" s="71"/>
      <c r="G356" s="65" t="str">
        <f t="shared" si="1"/>
        <v/>
      </c>
      <c r="H356" s="74"/>
      <c r="I356" s="67" t="str">
        <f>IFERROR(__xludf.DUMMYFUNCTION("if($H356="""", """", AVERAGE(split($H356, "";"")))"),"")</f>
        <v/>
      </c>
      <c r="J356" s="67" t="str">
        <f>IFERROR(__xludf.DUMMYFUNCTION("if(H356="""", """", SUM(split(H356, "";"")))"),"")</f>
        <v/>
      </c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  <c r="AA356" s="68"/>
    </row>
    <row r="357" ht="26.25" customHeight="1">
      <c r="A357" s="68"/>
      <c r="B357" s="68"/>
      <c r="C357" s="68"/>
      <c r="D357" s="71"/>
      <c r="E357" s="71"/>
      <c r="F357" s="71"/>
      <c r="G357" s="65" t="str">
        <f t="shared" si="1"/>
        <v/>
      </c>
      <c r="H357" s="74"/>
      <c r="I357" s="67" t="str">
        <f>IFERROR(__xludf.DUMMYFUNCTION("if($H357="""", """", AVERAGE(split($H357, "";"")))"),"")</f>
        <v/>
      </c>
      <c r="J357" s="67" t="str">
        <f>IFERROR(__xludf.DUMMYFUNCTION("if(H357="""", """", SUM(split(H357, "";"")))"),"")</f>
        <v/>
      </c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  <c r="AA357" s="68"/>
    </row>
    <row r="358" ht="26.25" customHeight="1">
      <c r="A358" s="68"/>
      <c r="B358" s="68"/>
      <c r="C358" s="68"/>
      <c r="D358" s="71"/>
      <c r="E358" s="71"/>
      <c r="F358" s="71"/>
      <c r="G358" s="65" t="str">
        <f t="shared" si="1"/>
        <v/>
      </c>
      <c r="H358" s="74"/>
      <c r="I358" s="67" t="str">
        <f>IFERROR(__xludf.DUMMYFUNCTION("if($H358="""", """", AVERAGE(split($H358, "";"")))"),"")</f>
        <v/>
      </c>
      <c r="J358" s="67" t="str">
        <f>IFERROR(__xludf.DUMMYFUNCTION("if(H358="""", """", SUM(split(H358, "";"")))"),"")</f>
        <v/>
      </c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  <c r="AA358" s="68"/>
    </row>
    <row r="359" ht="26.25" customHeight="1">
      <c r="A359" s="68"/>
      <c r="B359" s="68"/>
      <c r="C359" s="68"/>
      <c r="D359" s="71"/>
      <c r="E359" s="71"/>
      <c r="F359" s="71"/>
      <c r="G359" s="65" t="str">
        <f t="shared" si="1"/>
        <v/>
      </c>
      <c r="H359" s="74"/>
      <c r="I359" s="67" t="str">
        <f>IFERROR(__xludf.DUMMYFUNCTION("if($H359="""", """", AVERAGE(split($H359, "";"")))"),"")</f>
        <v/>
      </c>
      <c r="J359" s="67" t="str">
        <f>IFERROR(__xludf.DUMMYFUNCTION("if(H359="""", """", SUM(split(H359, "";"")))"),"")</f>
        <v/>
      </c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  <c r="AA359" s="68"/>
    </row>
    <row r="360" ht="26.25" customHeight="1">
      <c r="A360" s="68"/>
      <c r="B360" s="68"/>
      <c r="C360" s="68"/>
      <c r="D360" s="71"/>
      <c r="E360" s="71"/>
      <c r="F360" s="71"/>
      <c r="G360" s="65" t="str">
        <f t="shared" si="1"/>
        <v/>
      </c>
      <c r="H360" s="74"/>
      <c r="I360" s="67" t="str">
        <f>IFERROR(__xludf.DUMMYFUNCTION("if($H360="""", """", AVERAGE(split($H360, "";"")))"),"")</f>
        <v/>
      </c>
      <c r="J360" s="67" t="str">
        <f>IFERROR(__xludf.DUMMYFUNCTION("if(H360="""", """", SUM(split(H360, "";"")))"),"")</f>
        <v/>
      </c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  <c r="AA360" s="68"/>
    </row>
    <row r="361" ht="26.25" customHeight="1">
      <c r="A361" s="68"/>
      <c r="B361" s="68"/>
      <c r="C361" s="68"/>
      <c r="D361" s="71"/>
      <c r="E361" s="71"/>
      <c r="F361" s="71"/>
      <c r="G361" s="65" t="str">
        <f t="shared" si="1"/>
        <v/>
      </c>
      <c r="H361" s="74"/>
      <c r="I361" s="67" t="str">
        <f>IFERROR(__xludf.DUMMYFUNCTION("if($H361="""", """", AVERAGE(split($H361, "";"")))"),"")</f>
        <v/>
      </c>
      <c r="J361" s="67" t="str">
        <f>IFERROR(__xludf.DUMMYFUNCTION("if(H361="""", """", SUM(split(H361, "";"")))"),"")</f>
        <v/>
      </c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  <c r="AA361" s="68"/>
    </row>
    <row r="362" ht="26.25" customHeight="1">
      <c r="A362" s="68"/>
      <c r="B362" s="68"/>
      <c r="C362" s="68"/>
      <c r="D362" s="71"/>
      <c r="E362" s="71"/>
      <c r="F362" s="71"/>
      <c r="G362" s="65" t="str">
        <f t="shared" si="1"/>
        <v/>
      </c>
      <c r="H362" s="74"/>
      <c r="I362" s="67" t="str">
        <f>IFERROR(__xludf.DUMMYFUNCTION("if($H362="""", """", AVERAGE(split($H362, "";"")))"),"")</f>
        <v/>
      </c>
      <c r="J362" s="67" t="str">
        <f>IFERROR(__xludf.DUMMYFUNCTION("if(H362="""", """", SUM(split(H362, "";"")))"),"")</f>
        <v/>
      </c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  <c r="AA362" s="68"/>
    </row>
    <row r="363" ht="26.25" customHeight="1">
      <c r="A363" s="68"/>
      <c r="B363" s="68"/>
      <c r="C363" s="68"/>
      <c r="D363" s="71"/>
      <c r="E363" s="71"/>
      <c r="F363" s="71"/>
      <c r="G363" s="65" t="str">
        <f t="shared" si="1"/>
        <v/>
      </c>
      <c r="H363" s="74"/>
      <c r="I363" s="67" t="str">
        <f>IFERROR(__xludf.DUMMYFUNCTION("if($H363="""", """", AVERAGE(split($H363, "";"")))"),"")</f>
        <v/>
      </c>
      <c r="J363" s="67" t="str">
        <f>IFERROR(__xludf.DUMMYFUNCTION("if(H363="""", """", SUM(split(H363, "";"")))"),"")</f>
        <v/>
      </c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  <c r="AA363" s="68"/>
    </row>
    <row r="364" ht="26.25" customHeight="1">
      <c r="A364" s="68"/>
      <c r="B364" s="68"/>
      <c r="C364" s="68"/>
      <c r="D364" s="71"/>
      <c r="E364" s="71"/>
      <c r="F364" s="71"/>
      <c r="G364" s="65" t="str">
        <f t="shared" si="1"/>
        <v/>
      </c>
      <c r="H364" s="74"/>
      <c r="I364" s="67" t="str">
        <f>IFERROR(__xludf.DUMMYFUNCTION("if($H364="""", """", AVERAGE(split($H364, "";"")))"),"")</f>
        <v/>
      </c>
      <c r="J364" s="67" t="str">
        <f>IFERROR(__xludf.DUMMYFUNCTION("if(H364="""", """", SUM(split(H364, "";"")))"),"")</f>
        <v/>
      </c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  <c r="AA364" s="68"/>
    </row>
    <row r="365" ht="26.25" customHeight="1">
      <c r="A365" s="68"/>
      <c r="B365" s="68"/>
      <c r="C365" s="68"/>
      <c r="D365" s="71"/>
      <c r="E365" s="71"/>
      <c r="F365" s="71"/>
      <c r="G365" s="65" t="str">
        <f t="shared" si="1"/>
        <v/>
      </c>
      <c r="H365" s="74"/>
      <c r="I365" s="67" t="str">
        <f>IFERROR(__xludf.DUMMYFUNCTION("if($H365="""", """", AVERAGE(split($H365, "";"")))"),"")</f>
        <v/>
      </c>
      <c r="J365" s="67" t="str">
        <f>IFERROR(__xludf.DUMMYFUNCTION("if(H365="""", """", SUM(split(H365, "";"")))"),"")</f>
        <v/>
      </c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  <c r="AA365" s="68"/>
    </row>
    <row r="366" ht="26.25" customHeight="1">
      <c r="A366" s="68"/>
      <c r="B366" s="68"/>
      <c r="C366" s="68"/>
      <c r="D366" s="71"/>
      <c r="E366" s="71"/>
      <c r="F366" s="71"/>
      <c r="G366" s="65" t="str">
        <f t="shared" si="1"/>
        <v/>
      </c>
      <c r="H366" s="74"/>
      <c r="I366" s="67" t="str">
        <f>IFERROR(__xludf.DUMMYFUNCTION("if($H366="""", """", AVERAGE(split($H366, "";"")))"),"")</f>
        <v/>
      </c>
      <c r="J366" s="67" t="str">
        <f>IFERROR(__xludf.DUMMYFUNCTION("if(H366="""", """", SUM(split(H366, "";"")))"),"")</f>
        <v/>
      </c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  <c r="AA366" s="68"/>
    </row>
    <row r="367" ht="26.25" customHeight="1">
      <c r="A367" s="68"/>
      <c r="B367" s="68"/>
      <c r="C367" s="68"/>
      <c r="D367" s="71"/>
      <c r="E367" s="71"/>
      <c r="F367" s="71"/>
      <c r="G367" s="65" t="str">
        <f t="shared" si="1"/>
        <v/>
      </c>
      <c r="H367" s="74"/>
      <c r="I367" s="67" t="str">
        <f>IFERROR(__xludf.DUMMYFUNCTION("if($H367="""", """", AVERAGE(split($H367, "";"")))"),"")</f>
        <v/>
      </c>
      <c r="J367" s="67" t="str">
        <f>IFERROR(__xludf.DUMMYFUNCTION("if(H367="""", """", SUM(split(H367, "";"")))"),"")</f>
        <v/>
      </c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  <c r="AA367" s="68"/>
    </row>
    <row r="368" ht="26.25" customHeight="1">
      <c r="A368" s="68"/>
      <c r="B368" s="68"/>
      <c r="C368" s="68"/>
      <c r="D368" s="71"/>
      <c r="E368" s="71"/>
      <c r="F368" s="71"/>
      <c r="G368" s="65" t="str">
        <f t="shared" si="1"/>
        <v/>
      </c>
      <c r="H368" s="74"/>
      <c r="I368" s="67" t="str">
        <f>IFERROR(__xludf.DUMMYFUNCTION("if($H368="""", """", AVERAGE(split($H368, "";"")))"),"")</f>
        <v/>
      </c>
      <c r="J368" s="67" t="str">
        <f>IFERROR(__xludf.DUMMYFUNCTION("if(H368="""", """", SUM(split(H368, "";"")))"),"")</f>
        <v/>
      </c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  <c r="AA368" s="68"/>
    </row>
    <row r="369" ht="26.25" customHeight="1">
      <c r="A369" s="68"/>
      <c r="B369" s="68"/>
      <c r="C369" s="68"/>
      <c r="D369" s="71"/>
      <c r="E369" s="71"/>
      <c r="F369" s="71"/>
      <c r="G369" s="65" t="str">
        <f t="shared" si="1"/>
        <v/>
      </c>
      <c r="H369" s="74"/>
      <c r="I369" s="67" t="str">
        <f>IFERROR(__xludf.DUMMYFUNCTION("if($H369="""", """", AVERAGE(split($H369, "";"")))"),"")</f>
        <v/>
      </c>
      <c r="J369" s="67" t="str">
        <f>IFERROR(__xludf.DUMMYFUNCTION("if(H369="""", """", SUM(split(H369, "";"")))"),"")</f>
        <v/>
      </c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  <c r="AA369" s="68"/>
    </row>
    <row r="370" ht="26.25" customHeight="1">
      <c r="A370" s="68"/>
      <c r="B370" s="68"/>
      <c r="C370" s="68"/>
      <c r="D370" s="71"/>
      <c r="E370" s="71"/>
      <c r="F370" s="71"/>
      <c r="G370" s="65" t="str">
        <f t="shared" si="1"/>
        <v/>
      </c>
      <c r="H370" s="74"/>
      <c r="I370" s="67" t="str">
        <f>IFERROR(__xludf.DUMMYFUNCTION("if($H370="""", """", AVERAGE(split($H370, "";"")))"),"")</f>
        <v/>
      </c>
      <c r="J370" s="67" t="str">
        <f>IFERROR(__xludf.DUMMYFUNCTION("if(H370="""", """", SUM(split(H370, "";"")))"),"")</f>
        <v/>
      </c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  <c r="AA370" s="68"/>
    </row>
    <row r="371" ht="26.25" customHeight="1">
      <c r="A371" s="68"/>
      <c r="B371" s="68"/>
      <c r="C371" s="68"/>
      <c r="D371" s="71"/>
      <c r="E371" s="71"/>
      <c r="F371" s="71"/>
      <c r="G371" s="65" t="str">
        <f t="shared" si="1"/>
        <v/>
      </c>
      <c r="H371" s="74"/>
      <c r="I371" s="67" t="str">
        <f>IFERROR(__xludf.DUMMYFUNCTION("if($H371="""", """", AVERAGE(split($H371, "";"")))"),"")</f>
        <v/>
      </c>
      <c r="J371" s="67" t="str">
        <f>IFERROR(__xludf.DUMMYFUNCTION("if(H371="""", """", SUM(split(H371, "";"")))"),"")</f>
        <v/>
      </c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  <c r="AA371" s="68"/>
    </row>
    <row r="372" ht="26.25" customHeight="1">
      <c r="A372" s="68"/>
      <c r="B372" s="68"/>
      <c r="C372" s="68"/>
      <c r="D372" s="71"/>
      <c r="E372" s="71"/>
      <c r="F372" s="71"/>
      <c r="G372" s="65" t="str">
        <f t="shared" si="1"/>
        <v/>
      </c>
      <c r="H372" s="74"/>
      <c r="I372" s="67" t="str">
        <f>IFERROR(__xludf.DUMMYFUNCTION("if($H372="""", """", AVERAGE(split($H372, "";"")))"),"")</f>
        <v/>
      </c>
      <c r="J372" s="67" t="str">
        <f>IFERROR(__xludf.DUMMYFUNCTION("if(H372="""", """", SUM(split(H372, "";"")))"),"")</f>
        <v/>
      </c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  <c r="AA372" s="68"/>
    </row>
    <row r="373" ht="26.25" customHeight="1">
      <c r="A373" s="68"/>
      <c r="B373" s="68"/>
      <c r="C373" s="68"/>
      <c r="D373" s="71"/>
      <c r="E373" s="71"/>
      <c r="F373" s="71"/>
      <c r="G373" s="65" t="str">
        <f t="shared" si="1"/>
        <v/>
      </c>
      <c r="H373" s="74"/>
      <c r="I373" s="67" t="str">
        <f>IFERROR(__xludf.DUMMYFUNCTION("if($H373="""", """", AVERAGE(split($H373, "";"")))"),"")</f>
        <v/>
      </c>
      <c r="J373" s="67" t="str">
        <f>IFERROR(__xludf.DUMMYFUNCTION("if(H373="""", """", SUM(split(H373, "";"")))"),"")</f>
        <v/>
      </c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  <c r="AA373" s="68"/>
    </row>
    <row r="374" ht="26.25" customHeight="1">
      <c r="A374" s="68"/>
      <c r="B374" s="68"/>
      <c r="C374" s="68"/>
      <c r="D374" s="71"/>
      <c r="E374" s="71"/>
      <c r="F374" s="71"/>
      <c r="G374" s="65" t="str">
        <f t="shared" si="1"/>
        <v/>
      </c>
      <c r="H374" s="74"/>
      <c r="I374" s="67" t="str">
        <f>IFERROR(__xludf.DUMMYFUNCTION("if($H374="""", """", AVERAGE(split($H374, "";"")))"),"")</f>
        <v/>
      </c>
      <c r="J374" s="67" t="str">
        <f>IFERROR(__xludf.DUMMYFUNCTION("if(H374="""", """", SUM(split(H374, "";"")))"),"")</f>
        <v/>
      </c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  <c r="AA374" s="68"/>
    </row>
    <row r="375" ht="26.25" customHeight="1">
      <c r="A375" s="68"/>
      <c r="B375" s="68"/>
      <c r="C375" s="68"/>
      <c r="D375" s="71"/>
      <c r="E375" s="71"/>
      <c r="F375" s="71"/>
      <c r="G375" s="65" t="str">
        <f t="shared" si="1"/>
        <v/>
      </c>
      <c r="H375" s="74"/>
      <c r="I375" s="67" t="str">
        <f>IFERROR(__xludf.DUMMYFUNCTION("if($H375="""", """", AVERAGE(split($H375, "";"")))"),"")</f>
        <v/>
      </c>
      <c r="J375" s="67" t="str">
        <f>IFERROR(__xludf.DUMMYFUNCTION("if(H375="""", """", SUM(split(H375, "";"")))"),"")</f>
        <v/>
      </c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  <c r="AA375" s="68"/>
    </row>
    <row r="376" ht="26.25" customHeight="1">
      <c r="A376" s="68"/>
      <c r="B376" s="68"/>
      <c r="C376" s="68"/>
      <c r="D376" s="71"/>
      <c r="E376" s="71"/>
      <c r="F376" s="71"/>
      <c r="G376" s="65" t="str">
        <f t="shared" si="1"/>
        <v/>
      </c>
      <c r="H376" s="74"/>
      <c r="I376" s="67" t="str">
        <f>IFERROR(__xludf.DUMMYFUNCTION("if($H376="""", """", AVERAGE(split($H376, "";"")))"),"")</f>
        <v/>
      </c>
      <c r="J376" s="67" t="str">
        <f>IFERROR(__xludf.DUMMYFUNCTION("if(H376="""", """", SUM(split(H376, "";"")))"),"")</f>
        <v/>
      </c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  <c r="AA376" s="68"/>
    </row>
    <row r="377" ht="26.25" customHeight="1">
      <c r="A377" s="68"/>
      <c r="B377" s="68"/>
      <c r="C377" s="68"/>
      <c r="D377" s="71"/>
      <c r="E377" s="71"/>
      <c r="F377" s="71"/>
      <c r="G377" s="65" t="str">
        <f t="shared" si="1"/>
        <v/>
      </c>
      <c r="H377" s="74"/>
      <c r="I377" s="67" t="str">
        <f>IFERROR(__xludf.DUMMYFUNCTION("if($H377="""", """", AVERAGE(split($H377, "";"")))"),"")</f>
        <v/>
      </c>
      <c r="J377" s="67" t="str">
        <f>IFERROR(__xludf.DUMMYFUNCTION("if(H377="""", """", SUM(split(H377, "";"")))"),"")</f>
        <v/>
      </c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  <c r="AA377" s="68"/>
    </row>
    <row r="378" ht="26.25" customHeight="1">
      <c r="A378" s="68"/>
      <c r="B378" s="68"/>
      <c r="C378" s="68"/>
      <c r="D378" s="71"/>
      <c r="E378" s="71"/>
      <c r="F378" s="71"/>
      <c r="G378" s="65" t="str">
        <f t="shared" si="1"/>
        <v/>
      </c>
      <c r="H378" s="74"/>
      <c r="I378" s="67" t="str">
        <f>IFERROR(__xludf.DUMMYFUNCTION("if($H378="""", """", AVERAGE(split($H378, "";"")))"),"")</f>
        <v/>
      </c>
      <c r="J378" s="67" t="str">
        <f>IFERROR(__xludf.DUMMYFUNCTION("if(H378="""", """", SUM(split(H378, "";"")))"),"")</f>
        <v/>
      </c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  <c r="AA378" s="68"/>
    </row>
    <row r="379" ht="26.25" customHeight="1">
      <c r="A379" s="68"/>
      <c r="B379" s="68"/>
      <c r="C379" s="68"/>
      <c r="D379" s="71"/>
      <c r="E379" s="71"/>
      <c r="F379" s="71"/>
      <c r="G379" s="65" t="str">
        <f t="shared" si="1"/>
        <v/>
      </c>
      <c r="H379" s="74"/>
      <c r="I379" s="67" t="str">
        <f>IFERROR(__xludf.DUMMYFUNCTION("if($H379="""", """", AVERAGE(split($H379, "";"")))"),"")</f>
        <v/>
      </c>
      <c r="J379" s="67" t="str">
        <f>IFERROR(__xludf.DUMMYFUNCTION("if(H379="""", """", SUM(split(H379, "";"")))"),"")</f>
        <v/>
      </c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  <c r="AA379" s="68"/>
    </row>
    <row r="380" ht="26.25" customHeight="1">
      <c r="A380" s="68"/>
      <c r="B380" s="68"/>
      <c r="C380" s="68"/>
      <c r="D380" s="71"/>
      <c r="E380" s="71"/>
      <c r="F380" s="71"/>
      <c r="G380" s="65" t="str">
        <f t="shared" si="1"/>
        <v/>
      </c>
      <c r="H380" s="74"/>
      <c r="I380" s="67" t="str">
        <f>IFERROR(__xludf.DUMMYFUNCTION("if($H380="""", """", AVERAGE(split($H380, "";"")))"),"")</f>
        <v/>
      </c>
      <c r="J380" s="67" t="str">
        <f>IFERROR(__xludf.DUMMYFUNCTION("if(H380="""", """", SUM(split(H380, "";"")))"),"")</f>
        <v/>
      </c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  <c r="AA380" s="68"/>
    </row>
    <row r="381" ht="26.25" customHeight="1">
      <c r="A381" s="68"/>
      <c r="B381" s="68"/>
      <c r="C381" s="68"/>
      <c r="D381" s="71"/>
      <c r="E381" s="71"/>
      <c r="F381" s="71"/>
      <c r="G381" s="65" t="str">
        <f t="shared" si="1"/>
        <v/>
      </c>
      <c r="H381" s="74"/>
      <c r="I381" s="67" t="str">
        <f>IFERROR(__xludf.DUMMYFUNCTION("if($H381="""", """", AVERAGE(split($H381, "";"")))"),"")</f>
        <v/>
      </c>
      <c r="J381" s="67" t="str">
        <f>IFERROR(__xludf.DUMMYFUNCTION("if(H381="""", """", SUM(split(H381, "";"")))"),"")</f>
        <v/>
      </c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  <c r="AA381" s="68"/>
    </row>
    <row r="382" ht="26.25" customHeight="1">
      <c r="A382" s="68"/>
      <c r="B382" s="68"/>
      <c r="C382" s="68"/>
      <c r="D382" s="71"/>
      <c r="E382" s="71"/>
      <c r="F382" s="71"/>
      <c r="G382" s="65" t="str">
        <f t="shared" si="1"/>
        <v/>
      </c>
      <c r="H382" s="74"/>
      <c r="I382" s="67" t="str">
        <f>IFERROR(__xludf.DUMMYFUNCTION("if($H382="""", """", AVERAGE(split($H382, "";"")))"),"")</f>
        <v/>
      </c>
      <c r="J382" s="67" t="str">
        <f>IFERROR(__xludf.DUMMYFUNCTION("if(H382="""", """", SUM(split(H382, "";"")))"),"")</f>
        <v/>
      </c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  <c r="AA382" s="68"/>
    </row>
    <row r="383" ht="26.25" customHeight="1">
      <c r="A383" s="68"/>
      <c r="B383" s="68"/>
      <c r="C383" s="68"/>
      <c r="D383" s="71"/>
      <c r="E383" s="71"/>
      <c r="F383" s="71"/>
      <c r="G383" s="65" t="str">
        <f t="shared" si="1"/>
        <v/>
      </c>
      <c r="H383" s="74"/>
      <c r="I383" s="67" t="str">
        <f>IFERROR(__xludf.DUMMYFUNCTION("if($H383="""", """", AVERAGE(split($H383, "";"")))"),"")</f>
        <v/>
      </c>
      <c r="J383" s="67" t="str">
        <f>IFERROR(__xludf.DUMMYFUNCTION("if(H383="""", """", SUM(split(H383, "";"")))"),"")</f>
        <v/>
      </c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  <c r="AA383" s="68"/>
    </row>
    <row r="384" ht="26.25" customHeight="1">
      <c r="A384" s="68"/>
      <c r="B384" s="68"/>
      <c r="C384" s="68"/>
      <c r="D384" s="71"/>
      <c r="E384" s="71"/>
      <c r="F384" s="71"/>
      <c r="G384" s="65" t="str">
        <f t="shared" si="1"/>
        <v/>
      </c>
      <c r="H384" s="74"/>
      <c r="I384" s="67" t="str">
        <f>IFERROR(__xludf.DUMMYFUNCTION("if($H384="""", """", AVERAGE(split($H384, "";"")))"),"")</f>
        <v/>
      </c>
      <c r="J384" s="67" t="str">
        <f>IFERROR(__xludf.DUMMYFUNCTION("if(H384="""", """", SUM(split(H384, "";"")))"),"")</f>
        <v/>
      </c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  <c r="AA384" s="68"/>
    </row>
    <row r="385" ht="26.25" customHeight="1">
      <c r="A385" s="68"/>
      <c r="B385" s="68"/>
      <c r="C385" s="68"/>
      <c r="D385" s="71"/>
      <c r="E385" s="71"/>
      <c r="F385" s="71"/>
      <c r="G385" s="65" t="str">
        <f t="shared" si="1"/>
        <v/>
      </c>
      <c r="H385" s="74"/>
      <c r="I385" s="67" t="str">
        <f>IFERROR(__xludf.DUMMYFUNCTION("if($H385="""", """", AVERAGE(split($H385, "";"")))"),"")</f>
        <v/>
      </c>
      <c r="J385" s="67" t="str">
        <f>IFERROR(__xludf.DUMMYFUNCTION("if(H385="""", """", SUM(split(H385, "";"")))"),"")</f>
        <v/>
      </c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  <c r="AA385" s="68"/>
    </row>
    <row r="386" ht="26.25" customHeight="1">
      <c r="A386" s="68"/>
      <c r="B386" s="68"/>
      <c r="C386" s="68"/>
      <c r="D386" s="71"/>
      <c r="E386" s="71"/>
      <c r="F386" s="71"/>
      <c r="G386" s="65" t="str">
        <f t="shared" si="1"/>
        <v/>
      </c>
      <c r="H386" s="74"/>
      <c r="I386" s="67" t="str">
        <f>IFERROR(__xludf.DUMMYFUNCTION("if($H386="""", """", AVERAGE(split($H386, "";"")))"),"")</f>
        <v/>
      </c>
      <c r="J386" s="67" t="str">
        <f>IFERROR(__xludf.DUMMYFUNCTION("if(H386="""", """", SUM(split(H386, "";"")))"),"")</f>
        <v/>
      </c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  <c r="AA386" s="68"/>
    </row>
    <row r="387" ht="26.25" customHeight="1">
      <c r="A387" s="68"/>
      <c r="B387" s="68"/>
      <c r="C387" s="68"/>
      <c r="D387" s="71"/>
      <c r="E387" s="71"/>
      <c r="F387" s="71"/>
      <c r="G387" s="65" t="str">
        <f t="shared" si="1"/>
        <v/>
      </c>
      <c r="H387" s="74"/>
      <c r="I387" s="67" t="str">
        <f>IFERROR(__xludf.DUMMYFUNCTION("if($H387="""", """", AVERAGE(split($H387, "";"")))"),"")</f>
        <v/>
      </c>
      <c r="J387" s="67" t="str">
        <f>IFERROR(__xludf.DUMMYFUNCTION("if(H387="""", """", SUM(split(H387, "";"")))"),"")</f>
        <v/>
      </c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  <c r="AA387" s="68"/>
    </row>
    <row r="388" ht="26.25" customHeight="1">
      <c r="A388" s="68"/>
      <c r="B388" s="68"/>
      <c r="C388" s="68"/>
      <c r="D388" s="71"/>
      <c r="E388" s="71"/>
      <c r="F388" s="71"/>
      <c r="G388" s="65" t="str">
        <f t="shared" si="1"/>
        <v/>
      </c>
      <c r="H388" s="74"/>
      <c r="I388" s="67" t="str">
        <f>IFERROR(__xludf.DUMMYFUNCTION("if($H388="""", """", AVERAGE(split($H388, "";"")))"),"")</f>
        <v/>
      </c>
      <c r="J388" s="67" t="str">
        <f>IFERROR(__xludf.DUMMYFUNCTION("if(H388="""", """", SUM(split(H388, "";"")))"),"")</f>
        <v/>
      </c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  <c r="AA388" s="68"/>
    </row>
    <row r="389" ht="26.25" customHeight="1">
      <c r="A389" s="68"/>
      <c r="B389" s="68"/>
      <c r="C389" s="68"/>
      <c r="D389" s="71"/>
      <c r="E389" s="71"/>
      <c r="F389" s="71"/>
      <c r="G389" s="65" t="str">
        <f t="shared" si="1"/>
        <v/>
      </c>
      <c r="H389" s="74"/>
      <c r="I389" s="67" t="str">
        <f>IFERROR(__xludf.DUMMYFUNCTION("if($H389="""", """", AVERAGE(split($H389, "";"")))"),"")</f>
        <v/>
      </c>
      <c r="J389" s="67" t="str">
        <f>IFERROR(__xludf.DUMMYFUNCTION("if(H389="""", """", SUM(split(H389, "";"")))"),"")</f>
        <v/>
      </c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  <c r="AA389" s="68"/>
    </row>
    <row r="390" ht="26.25" customHeight="1">
      <c r="A390" s="68"/>
      <c r="B390" s="68"/>
      <c r="C390" s="68"/>
      <c r="D390" s="71"/>
      <c r="E390" s="71"/>
      <c r="F390" s="71"/>
      <c r="G390" s="65" t="str">
        <f t="shared" si="1"/>
        <v/>
      </c>
      <c r="H390" s="74"/>
      <c r="I390" s="67" t="str">
        <f>IFERROR(__xludf.DUMMYFUNCTION("if($H390="""", """", AVERAGE(split($H390, "";"")))"),"")</f>
        <v/>
      </c>
      <c r="J390" s="67" t="str">
        <f>IFERROR(__xludf.DUMMYFUNCTION("if(H390="""", """", SUM(split(H390, "";"")))"),"")</f>
        <v/>
      </c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  <c r="AA390" s="68"/>
    </row>
    <row r="391" ht="26.25" customHeight="1">
      <c r="A391" s="68"/>
      <c r="B391" s="68"/>
      <c r="C391" s="68"/>
      <c r="D391" s="71"/>
      <c r="E391" s="71"/>
      <c r="F391" s="71"/>
      <c r="G391" s="65" t="str">
        <f t="shared" si="1"/>
        <v/>
      </c>
      <c r="H391" s="74"/>
      <c r="I391" s="67" t="str">
        <f>IFERROR(__xludf.DUMMYFUNCTION("if($H391="""", """", AVERAGE(split($H391, "";"")))"),"")</f>
        <v/>
      </c>
      <c r="J391" s="67" t="str">
        <f>IFERROR(__xludf.DUMMYFUNCTION("if(H391="""", """", SUM(split(H391, "";"")))"),"")</f>
        <v/>
      </c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  <c r="AA391" s="68"/>
    </row>
    <row r="392" ht="26.25" customHeight="1">
      <c r="A392" s="68"/>
      <c r="B392" s="68"/>
      <c r="C392" s="68"/>
      <c r="D392" s="71"/>
      <c r="E392" s="71"/>
      <c r="F392" s="71"/>
      <c r="G392" s="65" t="str">
        <f t="shared" si="1"/>
        <v/>
      </c>
      <c r="H392" s="74"/>
      <c r="I392" s="67" t="str">
        <f>IFERROR(__xludf.DUMMYFUNCTION("if($H392="""", """", AVERAGE(split($H392, "";"")))"),"")</f>
        <v/>
      </c>
      <c r="J392" s="67" t="str">
        <f>IFERROR(__xludf.DUMMYFUNCTION("if(H392="""", """", SUM(split(H392, "";"")))"),"")</f>
        <v/>
      </c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  <c r="AA392" s="68"/>
    </row>
    <row r="393" ht="26.25" customHeight="1">
      <c r="A393" s="68"/>
      <c r="B393" s="68"/>
      <c r="C393" s="68"/>
      <c r="D393" s="71"/>
      <c r="E393" s="71"/>
      <c r="F393" s="71"/>
      <c r="G393" s="65" t="str">
        <f t="shared" si="1"/>
        <v/>
      </c>
      <c r="H393" s="74"/>
      <c r="I393" s="67" t="str">
        <f>IFERROR(__xludf.DUMMYFUNCTION("if($H393="""", """", AVERAGE(split($H393, "";"")))"),"")</f>
        <v/>
      </c>
      <c r="J393" s="67" t="str">
        <f>IFERROR(__xludf.DUMMYFUNCTION("if(H393="""", """", SUM(split(H393, "";"")))"),"")</f>
        <v/>
      </c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  <c r="AA393" s="68"/>
    </row>
    <row r="394" ht="26.25" customHeight="1">
      <c r="A394" s="68"/>
      <c r="B394" s="68"/>
      <c r="C394" s="68"/>
      <c r="D394" s="71"/>
      <c r="E394" s="71"/>
      <c r="F394" s="71"/>
      <c r="G394" s="65" t="str">
        <f t="shared" si="1"/>
        <v/>
      </c>
      <c r="H394" s="74"/>
      <c r="I394" s="67" t="str">
        <f>IFERROR(__xludf.DUMMYFUNCTION("if($H394="""", """", AVERAGE(split($H394, "";"")))"),"")</f>
        <v/>
      </c>
      <c r="J394" s="67" t="str">
        <f>IFERROR(__xludf.DUMMYFUNCTION("if(H394="""", """", SUM(split(H394, "";"")))"),"")</f>
        <v/>
      </c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  <c r="AA394" s="68"/>
    </row>
    <row r="395" ht="26.25" customHeight="1">
      <c r="A395" s="68"/>
      <c r="B395" s="68"/>
      <c r="C395" s="68"/>
      <c r="D395" s="71"/>
      <c r="E395" s="71"/>
      <c r="F395" s="71"/>
      <c r="G395" s="65" t="str">
        <f t="shared" si="1"/>
        <v/>
      </c>
      <c r="H395" s="74"/>
      <c r="I395" s="67" t="str">
        <f>IFERROR(__xludf.DUMMYFUNCTION("if($H395="""", """", AVERAGE(split($H395, "";"")))"),"")</f>
        <v/>
      </c>
      <c r="J395" s="67" t="str">
        <f>IFERROR(__xludf.DUMMYFUNCTION("if(H395="""", """", SUM(split(H395, "";"")))"),"")</f>
        <v/>
      </c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  <c r="AA395" s="68"/>
    </row>
    <row r="396" ht="26.25" customHeight="1">
      <c r="A396" s="68"/>
      <c r="B396" s="68"/>
      <c r="C396" s="68"/>
      <c r="D396" s="71"/>
      <c r="E396" s="71"/>
      <c r="F396" s="71"/>
      <c r="G396" s="65" t="str">
        <f t="shared" si="1"/>
        <v/>
      </c>
      <c r="H396" s="74"/>
      <c r="I396" s="67" t="str">
        <f>IFERROR(__xludf.DUMMYFUNCTION("if($H396="""", """", AVERAGE(split($H396, "";"")))"),"")</f>
        <v/>
      </c>
      <c r="J396" s="67" t="str">
        <f>IFERROR(__xludf.DUMMYFUNCTION("if(H396="""", """", SUM(split(H396, "";"")))"),"")</f>
        <v/>
      </c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  <c r="AA396" s="68"/>
    </row>
    <row r="397" ht="26.25" customHeight="1">
      <c r="A397" s="68"/>
      <c r="B397" s="68"/>
      <c r="C397" s="68"/>
      <c r="D397" s="71"/>
      <c r="E397" s="71"/>
      <c r="F397" s="71"/>
      <c r="G397" s="65" t="str">
        <f t="shared" si="1"/>
        <v/>
      </c>
      <c r="H397" s="74"/>
      <c r="I397" s="67" t="str">
        <f>IFERROR(__xludf.DUMMYFUNCTION("if($H397="""", """", AVERAGE(split($H397, "";"")))"),"")</f>
        <v/>
      </c>
      <c r="J397" s="67" t="str">
        <f>IFERROR(__xludf.DUMMYFUNCTION("if(H397="""", """", SUM(split(H397, "";"")))"),"")</f>
        <v/>
      </c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  <c r="AA397" s="68"/>
    </row>
    <row r="398" ht="26.25" customHeight="1">
      <c r="A398" s="68"/>
      <c r="B398" s="68"/>
      <c r="C398" s="68"/>
      <c r="D398" s="71"/>
      <c r="E398" s="71"/>
      <c r="F398" s="71"/>
      <c r="G398" s="65" t="str">
        <f t="shared" si="1"/>
        <v/>
      </c>
      <c r="H398" s="74"/>
      <c r="I398" s="67" t="str">
        <f>IFERROR(__xludf.DUMMYFUNCTION("if($H398="""", """", AVERAGE(split($H398, "";"")))"),"")</f>
        <v/>
      </c>
      <c r="J398" s="67" t="str">
        <f>IFERROR(__xludf.DUMMYFUNCTION("if(H398="""", """", SUM(split(H398, "";"")))"),"")</f>
        <v/>
      </c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  <c r="AA398" s="68"/>
    </row>
    <row r="399" ht="26.25" customHeight="1">
      <c r="A399" s="68"/>
      <c r="B399" s="68"/>
      <c r="C399" s="68"/>
      <c r="D399" s="71"/>
      <c r="E399" s="71"/>
      <c r="F399" s="71"/>
      <c r="G399" s="65" t="str">
        <f t="shared" si="1"/>
        <v/>
      </c>
      <c r="H399" s="74"/>
      <c r="I399" s="67" t="str">
        <f>IFERROR(__xludf.DUMMYFUNCTION("if($H399="""", """", AVERAGE(split($H399, "";"")))"),"")</f>
        <v/>
      </c>
      <c r="J399" s="67" t="str">
        <f>IFERROR(__xludf.DUMMYFUNCTION("if(H399="""", """", SUM(split(H399, "";"")))"),"")</f>
        <v/>
      </c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  <c r="AA399" s="68"/>
    </row>
    <row r="400" ht="26.25" customHeight="1">
      <c r="A400" s="68"/>
      <c r="B400" s="68"/>
      <c r="C400" s="68"/>
      <c r="D400" s="71"/>
      <c r="E400" s="71"/>
      <c r="F400" s="71"/>
      <c r="G400" s="65" t="str">
        <f t="shared" si="1"/>
        <v/>
      </c>
      <c r="H400" s="74"/>
      <c r="I400" s="67" t="str">
        <f>IFERROR(__xludf.DUMMYFUNCTION("if($H400="""", """", AVERAGE(split($H400, "";"")))"),"")</f>
        <v/>
      </c>
      <c r="J400" s="67" t="str">
        <f>IFERROR(__xludf.DUMMYFUNCTION("if(H400="""", """", SUM(split(H400, "";"")))"),"")</f>
        <v/>
      </c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  <c r="AA400" s="68"/>
    </row>
    <row r="401" ht="26.25" customHeight="1">
      <c r="A401" s="68"/>
      <c r="B401" s="68"/>
      <c r="C401" s="68"/>
      <c r="D401" s="71"/>
      <c r="E401" s="71"/>
      <c r="F401" s="71"/>
      <c r="G401" s="65" t="str">
        <f t="shared" si="1"/>
        <v/>
      </c>
      <c r="H401" s="74"/>
      <c r="I401" s="67" t="str">
        <f>IFERROR(__xludf.DUMMYFUNCTION("if($H401="""", """", AVERAGE(split($H401, "";"")))"),"")</f>
        <v/>
      </c>
      <c r="J401" s="67" t="str">
        <f>IFERROR(__xludf.DUMMYFUNCTION("if(H401="""", """", SUM(split(H401, "";"")))"),"")</f>
        <v/>
      </c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  <c r="AA401" s="68"/>
    </row>
    <row r="402" ht="26.25" customHeight="1">
      <c r="A402" s="68"/>
      <c r="B402" s="68"/>
      <c r="C402" s="68"/>
      <c r="D402" s="71"/>
      <c r="E402" s="71"/>
      <c r="F402" s="71"/>
      <c r="G402" s="65" t="str">
        <f t="shared" si="1"/>
        <v/>
      </c>
      <c r="H402" s="74"/>
      <c r="I402" s="67" t="str">
        <f>IFERROR(__xludf.DUMMYFUNCTION("if($H402="""", """", AVERAGE(split($H402, "";"")))"),"")</f>
        <v/>
      </c>
      <c r="J402" s="67" t="str">
        <f>IFERROR(__xludf.DUMMYFUNCTION("if(H402="""", """", SUM(split(H402, "";"")))"),"")</f>
        <v/>
      </c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  <c r="AA402" s="68"/>
    </row>
    <row r="403" ht="26.25" customHeight="1">
      <c r="A403" s="68"/>
      <c r="B403" s="68"/>
      <c r="C403" s="68"/>
      <c r="D403" s="71"/>
      <c r="E403" s="71"/>
      <c r="F403" s="71"/>
      <c r="G403" s="65" t="str">
        <f t="shared" si="1"/>
        <v/>
      </c>
      <c r="H403" s="74"/>
      <c r="I403" s="67" t="str">
        <f>IFERROR(__xludf.DUMMYFUNCTION("if($H403="""", """", AVERAGE(split($H403, "";"")))"),"")</f>
        <v/>
      </c>
      <c r="J403" s="67" t="str">
        <f>IFERROR(__xludf.DUMMYFUNCTION("if(H403="""", """", SUM(split(H403, "";"")))"),"")</f>
        <v/>
      </c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  <c r="AA403" s="68"/>
    </row>
    <row r="404" ht="26.25" customHeight="1">
      <c r="A404" s="68"/>
      <c r="B404" s="68"/>
      <c r="C404" s="68"/>
      <c r="D404" s="71"/>
      <c r="E404" s="71"/>
      <c r="F404" s="71"/>
      <c r="G404" s="65" t="str">
        <f t="shared" si="1"/>
        <v/>
      </c>
      <c r="H404" s="74"/>
      <c r="I404" s="67" t="str">
        <f>IFERROR(__xludf.DUMMYFUNCTION("if($H404="""", """", AVERAGE(split($H404, "";"")))"),"")</f>
        <v/>
      </c>
      <c r="J404" s="67" t="str">
        <f>IFERROR(__xludf.DUMMYFUNCTION("if(H404="""", """", SUM(split(H404, "";"")))"),"")</f>
        <v/>
      </c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  <c r="AA404" s="68"/>
    </row>
    <row r="405" ht="26.25" customHeight="1">
      <c r="A405" s="68"/>
      <c r="B405" s="68"/>
      <c r="C405" s="68"/>
      <c r="D405" s="71"/>
      <c r="E405" s="71"/>
      <c r="F405" s="71"/>
      <c r="G405" s="65" t="str">
        <f t="shared" si="1"/>
        <v/>
      </c>
      <c r="H405" s="74"/>
      <c r="I405" s="67" t="str">
        <f>IFERROR(__xludf.DUMMYFUNCTION("if($H405="""", """", AVERAGE(split($H405, "";"")))"),"")</f>
        <v/>
      </c>
      <c r="J405" s="67" t="str">
        <f>IFERROR(__xludf.DUMMYFUNCTION("if(H405="""", """", SUM(split(H405, "";"")))"),"")</f>
        <v/>
      </c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  <c r="AA405" s="68"/>
    </row>
    <row r="406" ht="26.25" customHeight="1">
      <c r="A406" s="68"/>
      <c r="B406" s="68"/>
      <c r="C406" s="68"/>
      <c r="D406" s="71"/>
      <c r="E406" s="71"/>
      <c r="F406" s="71"/>
      <c r="G406" s="65" t="str">
        <f t="shared" si="1"/>
        <v/>
      </c>
      <c r="H406" s="74"/>
      <c r="I406" s="67" t="str">
        <f>IFERROR(__xludf.DUMMYFUNCTION("if($H406="""", """", AVERAGE(split($H406, "";"")))"),"")</f>
        <v/>
      </c>
      <c r="J406" s="67" t="str">
        <f>IFERROR(__xludf.DUMMYFUNCTION("if(H406="""", """", SUM(split(H406, "";"")))"),"")</f>
        <v/>
      </c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  <c r="AA406" s="68"/>
    </row>
    <row r="407" ht="26.25" customHeight="1">
      <c r="A407" s="68"/>
      <c r="B407" s="68"/>
      <c r="C407" s="68"/>
      <c r="D407" s="71"/>
      <c r="E407" s="71"/>
      <c r="F407" s="71"/>
      <c r="G407" s="65" t="str">
        <f t="shared" si="1"/>
        <v/>
      </c>
      <c r="H407" s="74"/>
      <c r="I407" s="67" t="str">
        <f>IFERROR(__xludf.DUMMYFUNCTION("if($H407="""", """", AVERAGE(split($H407, "";"")))"),"")</f>
        <v/>
      </c>
      <c r="J407" s="67" t="str">
        <f>IFERROR(__xludf.DUMMYFUNCTION("if(H407="""", """", SUM(split(H407, "";"")))"),"")</f>
        <v/>
      </c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  <c r="AA407" s="68"/>
    </row>
    <row r="408" ht="26.25" customHeight="1">
      <c r="A408" s="68"/>
      <c r="B408" s="68"/>
      <c r="C408" s="68"/>
      <c r="D408" s="71"/>
      <c r="E408" s="71"/>
      <c r="F408" s="71"/>
      <c r="G408" s="65" t="str">
        <f t="shared" si="1"/>
        <v/>
      </c>
      <c r="H408" s="74"/>
      <c r="I408" s="67" t="str">
        <f>IFERROR(__xludf.DUMMYFUNCTION("if($H408="""", """", AVERAGE(split($H408, "";"")))"),"")</f>
        <v/>
      </c>
      <c r="J408" s="67" t="str">
        <f>IFERROR(__xludf.DUMMYFUNCTION("if(H408="""", """", SUM(split(H408, "";"")))"),"")</f>
        <v/>
      </c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  <c r="AA408" s="68"/>
    </row>
    <row r="409" ht="26.25" customHeight="1">
      <c r="A409" s="68"/>
      <c r="B409" s="68"/>
      <c r="C409" s="68"/>
      <c r="D409" s="71"/>
      <c r="E409" s="71"/>
      <c r="F409" s="71"/>
      <c r="G409" s="65" t="str">
        <f t="shared" si="1"/>
        <v/>
      </c>
      <c r="H409" s="74"/>
      <c r="I409" s="67" t="str">
        <f>IFERROR(__xludf.DUMMYFUNCTION("if($H409="""", """", AVERAGE(split($H409, "";"")))"),"")</f>
        <v/>
      </c>
      <c r="J409" s="67" t="str">
        <f>IFERROR(__xludf.DUMMYFUNCTION("if(H409="""", """", SUM(split(H409, "";"")))"),"")</f>
        <v/>
      </c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  <c r="AA409" s="68"/>
    </row>
    <row r="410" ht="26.25" customHeight="1">
      <c r="A410" s="68"/>
      <c r="B410" s="68"/>
      <c r="C410" s="68"/>
      <c r="D410" s="71"/>
      <c r="E410" s="71"/>
      <c r="F410" s="71"/>
      <c r="G410" s="65" t="str">
        <f t="shared" si="1"/>
        <v/>
      </c>
      <c r="H410" s="74"/>
      <c r="I410" s="67" t="str">
        <f>IFERROR(__xludf.DUMMYFUNCTION("if($H410="""", """", AVERAGE(split($H410, "";"")))"),"")</f>
        <v/>
      </c>
      <c r="J410" s="67" t="str">
        <f>IFERROR(__xludf.DUMMYFUNCTION("if(H410="""", """", SUM(split(H410, "";"")))"),"")</f>
        <v/>
      </c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  <c r="AA410" s="68"/>
    </row>
    <row r="411" ht="26.25" customHeight="1">
      <c r="A411" s="68"/>
      <c r="B411" s="68"/>
      <c r="C411" s="68"/>
      <c r="D411" s="71"/>
      <c r="E411" s="71"/>
      <c r="F411" s="71"/>
      <c r="G411" s="65" t="str">
        <f t="shared" si="1"/>
        <v/>
      </c>
      <c r="H411" s="74"/>
      <c r="I411" s="67" t="str">
        <f>IFERROR(__xludf.DUMMYFUNCTION("if($H411="""", """", AVERAGE(split($H411, "";"")))"),"")</f>
        <v/>
      </c>
      <c r="J411" s="67" t="str">
        <f>IFERROR(__xludf.DUMMYFUNCTION("if(H411="""", """", SUM(split(H411, "";"")))"),"")</f>
        <v/>
      </c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  <c r="AA411" s="68"/>
    </row>
    <row r="412" ht="26.25" customHeight="1">
      <c r="A412" s="68"/>
      <c r="B412" s="68"/>
      <c r="C412" s="68"/>
      <c r="D412" s="71"/>
      <c r="E412" s="71"/>
      <c r="F412" s="71"/>
      <c r="G412" s="65" t="str">
        <f t="shared" si="1"/>
        <v/>
      </c>
      <c r="H412" s="74"/>
      <c r="I412" s="67" t="str">
        <f>IFERROR(__xludf.DUMMYFUNCTION("if($H412="""", """", AVERAGE(split($H412, "";"")))"),"")</f>
        <v/>
      </c>
      <c r="J412" s="67" t="str">
        <f>IFERROR(__xludf.DUMMYFUNCTION("if(H412="""", """", SUM(split(H412, "";"")))"),"")</f>
        <v/>
      </c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  <c r="AA412" s="68"/>
    </row>
    <row r="413" ht="26.25" customHeight="1">
      <c r="A413" s="68"/>
      <c r="B413" s="68"/>
      <c r="C413" s="68"/>
      <c r="D413" s="71"/>
      <c r="E413" s="71"/>
      <c r="F413" s="71"/>
      <c r="G413" s="65" t="str">
        <f t="shared" si="1"/>
        <v/>
      </c>
      <c r="H413" s="74"/>
      <c r="I413" s="67" t="str">
        <f>IFERROR(__xludf.DUMMYFUNCTION("if($H413="""", """", AVERAGE(split($H413, "";"")))"),"")</f>
        <v/>
      </c>
      <c r="J413" s="67" t="str">
        <f>IFERROR(__xludf.DUMMYFUNCTION("if(H413="""", """", SUM(split(H413, "";"")))"),"")</f>
        <v/>
      </c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  <c r="AA413" s="68"/>
    </row>
    <row r="414" ht="26.25" customHeight="1">
      <c r="A414" s="68"/>
      <c r="B414" s="68"/>
      <c r="C414" s="68"/>
      <c r="D414" s="71"/>
      <c r="E414" s="71"/>
      <c r="F414" s="71"/>
      <c r="G414" s="65" t="str">
        <f t="shared" si="1"/>
        <v/>
      </c>
      <c r="H414" s="74"/>
      <c r="I414" s="67" t="str">
        <f>IFERROR(__xludf.DUMMYFUNCTION("if($H414="""", """", AVERAGE(split($H414, "";"")))"),"")</f>
        <v/>
      </c>
      <c r="J414" s="67" t="str">
        <f>IFERROR(__xludf.DUMMYFUNCTION("if(H414="""", """", SUM(split(H414, "";"")))"),"")</f>
        <v/>
      </c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  <c r="AA414" s="68"/>
    </row>
    <row r="415" ht="26.25" customHeight="1">
      <c r="A415" s="68"/>
      <c r="B415" s="68"/>
      <c r="C415" s="68"/>
      <c r="D415" s="71"/>
      <c r="E415" s="71"/>
      <c r="F415" s="71"/>
      <c r="G415" s="65" t="str">
        <f t="shared" si="1"/>
        <v/>
      </c>
      <c r="H415" s="74"/>
      <c r="I415" s="67" t="str">
        <f>IFERROR(__xludf.DUMMYFUNCTION("if($H415="""", """", AVERAGE(split($H415, "";"")))"),"")</f>
        <v/>
      </c>
      <c r="J415" s="67" t="str">
        <f>IFERROR(__xludf.DUMMYFUNCTION("if(H415="""", """", SUM(split(H415, "";"")))"),"")</f>
        <v/>
      </c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  <c r="AA415" s="68"/>
    </row>
    <row r="416" ht="26.25" customHeight="1">
      <c r="A416" s="68"/>
      <c r="B416" s="68"/>
      <c r="C416" s="68"/>
      <c r="D416" s="71"/>
      <c r="E416" s="71"/>
      <c r="F416" s="71"/>
      <c r="G416" s="65" t="str">
        <f t="shared" si="1"/>
        <v/>
      </c>
      <c r="H416" s="74"/>
      <c r="I416" s="67" t="str">
        <f>IFERROR(__xludf.DUMMYFUNCTION("if($H416="""", """", AVERAGE(split($H416, "";"")))"),"")</f>
        <v/>
      </c>
      <c r="J416" s="67" t="str">
        <f>IFERROR(__xludf.DUMMYFUNCTION("if(H416="""", """", SUM(split(H416, "";"")))"),"")</f>
        <v/>
      </c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  <c r="AA416" s="68"/>
    </row>
    <row r="417" ht="26.25" customHeight="1">
      <c r="A417" s="68"/>
      <c r="B417" s="68"/>
      <c r="C417" s="68"/>
      <c r="D417" s="71"/>
      <c r="E417" s="71"/>
      <c r="F417" s="71"/>
      <c r="G417" s="65" t="str">
        <f t="shared" si="1"/>
        <v/>
      </c>
      <c r="H417" s="74"/>
      <c r="I417" s="67" t="str">
        <f>IFERROR(__xludf.DUMMYFUNCTION("if($H417="""", """", AVERAGE(split($H417, "";"")))"),"")</f>
        <v/>
      </c>
      <c r="J417" s="67" t="str">
        <f>IFERROR(__xludf.DUMMYFUNCTION("if(H417="""", """", SUM(split(H417, "";"")))"),"")</f>
        <v/>
      </c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  <c r="AA417" s="68"/>
    </row>
    <row r="418" ht="26.25" customHeight="1">
      <c r="A418" s="68"/>
      <c r="B418" s="68"/>
      <c r="C418" s="68"/>
      <c r="D418" s="71"/>
      <c r="E418" s="71"/>
      <c r="F418" s="71"/>
      <c r="G418" s="65" t="str">
        <f t="shared" si="1"/>
        <v/>
      </c>
      <c r="H418" s="74"/>
      <c r="I418" s="67" t="str">
        <f>IFERROR(__xludf.DUMMYFUNCTION("if($H418="""", """", AVERAGE(split($H418, "";"")))"),"")</f>
        <v/>
      </c>
      <c r="J418" s="67" t="str">
        <f>IFERROR(__xludf.DUMMYFUNCTION("if(H418="""", """", SUM(split(H418, "";"")))"),"")</f>
        <v/>
      </c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  <c r="AA418" s="68"/>
    </row>
    <row r="419" ht="26.25" customHeight="1">
      <c r="A419" s="68"/>
      <c r="B419" s="68"/>
      <c r="C419" s="68"/>
      <c r="D419" s="71"/>
      <c r="E419" s="71"/>
      <c r="F419" s="71"/>
      <c r="G419" s="65" t="str">
        <f t="shared" si="1"/>
        <v/>
      </c>
      <c r="H419" s="74"/>
      <c r="I419" s="67" t="str">
        <f>IFERROR(__xludf.DUMMYFUNCTION("if($H419="""", """", AVERAGE(split($H419, "";"")))"),"")</f>
        <v/>
      </c>
      <c r="J419" s="67" t="str">
        <f>IFERROR(__xludf.DUMMYFUNCTION("if(H419="""", """", SUM(split(H419, "";"")))"),"")</f>
        <v/>
      </c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  <c r="AA419" s="68"/>
    </row>
    <row r="420" ht="26.25" customHeight="1">
      <c r="A420" s="68"/>
      <c r="B420" s="68"/>
      <c r="C420" s="68"/>
      <c r="D420" s="71"/>
      <c r="E420" s="71"/>
      <c r="F420" s="71"/>
      <c r="G420" s="65" t="str">
        <f t="shared" si="1"/>
        <v/>
      </c>
      <c r="H420" s="74"/>
      <c r="I420" s="67" t="str">
        <f>IFERROR(__xludf.DUMMYFUNCTION("if($H420="""", """", AVERAGE(split($H420, "";"")))"),"")</f>
        <v/>
      </c>
      <c r="J420" s="67" t="str">
        <f>IFERROR(__xludf.DUMMYFUNCTION("if(H420="""", """", SUM(split(H420, "";"")))"),"")</f>
        <v/>
      </c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  <c r="AA420" s="68"/>
    </row>
    <row r="421" ht="26.25" customHeight="1">
      <c r="A421" s="68"/>
      <c r="B421" s="68"/>
      <c r="C421" s="68"/>
      <c r="D421" s="71"/>
      <c r="E421" s="71"/>
      <c r="F421" s="71"/>
      <c r="G421" s="65" t="str">
        <f t="shared" si="1"/>
        <v/>
      </c>
      <c r="H421" s="74"/>
      <c r="I421" s="67" t="str">
        <f>IFERROR(__xludf.DUMMYFUNCTION("if($H421="""", """", AVERAGE(split($H421, "";"")))"),"")</f>
        <v/>
      </c>
      <c r="J421" s="67" t="str">
        <f>IFERROR(__xludf.DUMMYFUNCTION("if(H421="""", """", SUM(split(H421, "";"")))"),"")</f>
        <v/>
      </c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  <c r="AA421" s="68"/>
    </row>
    <row r="422" ht="26.25" customHeight="1">
      <c r="A422" s="68"/>
      <c r="B422" s="68"/>
      <c r="C422" s="68"/>
      <c r="D422" s="71"/>
      <c r="E422" s="71"/>
      <c r="F422" s="71"/>
      <c r="G422" s="65" t="str">
        <f t="shared" si="1"/>
        <v/>
      </c>
      <c r="H422" s="74"/>
      <c r="I422" s="67" t="str">
        <f>IFERROR(__xludf.DUMMYFUNCTION("if($H422="""", """", AVERAGE(split($H422, "";"")))"),"")</f>
        <v/>
      </c>
      <c r="J422" s="67" t="str">
        <f>IFERROR(__xludf.DUMMYFUNCTION("if(H422="""", """", SUM(split(H422, "";"")))"),"")</f>
        <v/>
      </c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  <c r="AA422" s="68"/>
    </row>
    <row r="423" ht="26.25" customHeight="1">
      <c r="A423" s="68"/>
      <c r="B423" s="68"/>
      <c r="C423" s="68"/>
      <c r="D423" s="71"/>
      <c r="E423" s="71"/>
      <c r="F423" s="71"/>
      <c r="G423" s="65" t="str">
        <f t="shared" si="1"/>
        <v/>
      </c>
      <c r="H423" s="74"/>
      <c r="I423" s="67" t="str">
        <f>IFERROR(__xludf.DUMMYFUNCTION("if($H423="""", """", AVERAGE(split($H423, "";"")))"),"")</f>
        <v/>
      </c>
      <c r="J423" s="67" t="str">
        <f>IFERROR(__xludf.DUMMYFUNCTION("if(H423="""", """", SUM(split(H423, "";"")))"),"")</f>
        <v/>
      </c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  <c r="AA423" s="68"/>
    </row>
    <row r="424" ht="26.25" customHeight="1">
      <c r="A424" s="68"/>
      <c r="B424" s="68"/>
      <c r="C424" s="68"/>
      <c r="D424" s="71"/>
      <c r="E424" s="71"/>
      <c r="F424" s="71"/>
      <c r="G424" s="65" t="str">
        <f t="shared" si="1"/>
        <v/>
      </c>
      <c r="H424" s="74"/>
      <c r="I424" s="67" t="str">
        <f>IFERROR(__xludf.DUMMYFUNCTION("if($H424="""", """", AVERAGE(split($H424, "";"")))"),"")</f>
        <v/>
      </c>
      <c r="J424" s="67" t="str">
        <f>IFERROR(__xludf.DUMMYFUNCTION("if(H424="""", """", SUM(split(H424, "";"")))"),"")</f>
        <v/>
      </c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  <c r="AA424" s="68"/>
    </row>
    <row r="425" ht="26.25" customHeight="1">
      <c r="A425" s="68"/>
      <c r="B425" s="68"/>
      <c r="C425" s="68"/>
      <c r="D425" s="71"/>
      <c r="E425" s="71"/>
      <c r="F425" s="71"/>
      <c r="G425" s="65" t="str">
        <f t="shared" si="1"/>
        <v/>
      </c>
      <c r="H425" s="74"/>
      <c r="I425" s="67" t="str">
        <f>IFERROR(__xludf.DUMMYFUNCTION("if($H425="""", """", AVERAGE(split($H425, "";"")))"),"")</f>
        <v/>
      </c>
      <c r="J425" s="67" t="str">
        <f>IFERROR(__xludf.DUMMYFUNCTION("if(H425="""", """", SUM(split(H425, "";"")))"),"")</f>
        <v/>
      </c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  <c r="AA425" s="68"/>
    </row>
    <row r="426" ht="26.25" customHeight="1">
      <c r="A426" s="68"/>
      <c r="B426" s="68"/>
      <c r="C426" s="68"/>
      <c r="D426" s="71"/>
      <c r="E426" s="71"/>
      <c r="F426" s="71"/>
      <c r="G426" s="65" t="str">
        <f t="shared" si="1"/>
        <v/>
      </c>
      <c r="H426" s="74"/>
      <c r="I426" s="67" t="str">
        <f>IFERROR(__xludf.DUMMYFUNCTION("if($H426="""", """", AVERAGE(split($H426, "";"")))"),"")</f>
        <v/>
      </c>
      <c r="J426" s="67" t="str">
        <f>IFERROR(__xludf.DUMMYFUNCTION("if(H426="""", """", SUM(split(H426, "";"")))"),"")</f>
        <v/>
      </c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  <c r="AA426" s="68"/>
    </row>
    <row r="427" ht="26.25" customHeight="1">
      <c r="A427" s="68"/>
      <c r="B427" s="68"/>
      <c r="C427" s="68"/>
      <c r="D427" s="71"/>
      <c r="E427" s="71"/>
      <c r="F427" s="71"/>
      <c r="G427" s="65" t="str">
        <f t="shared" si="1"/>
        <v/>
      </c>
      <c r="H427" s="74"/>
      <c r="I427" s="67" t="str">
        <f>IFERROR(__xludf.DUMMYFUNCTION("if($H427="""", """", AVERAGE(split($H427, "";"")))"),"")</f>
        <v/>
      </c>
      <c r="J427" s="67" t="str">
        <f>IFERROR(__xludf.DUMMYFUNCTION("if(H427="""", """", SUM(split(H427, "";"")))"),"")</f>
        <v/>
      </c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  <c r="AA427" s="68"/>
    </row>
    <row r="428" ht="26.25" customHeight="1">
      <c r="A428" s="68"/>
      <c r="B428" s="68"/>
      <c r="C428" s="68"/>
      <c r="D428" s="71"/>
      <c r="E428" s="71"/>
      <c r="F428" s="71"/>
      <c r="G428" s="65" t="str">
        <f t="shared" si="1"/>
        <v/>
      </c>
      <c r="H428" s="74"/>
      <c r="I428" s="67" t="str">
        <f>IFERROR(__xludf.DUMMYFUNCTION("if($H428="""", """", AVERAGE(split($H428, "";"")))"),"")</f>
        <v/>
      </c>
      <c r="J428" s="67" t="str">
        <f>IFERROR(__xludf.DUMMYFUNCTION("if(H428="""", """", SUM(split(H428, "";"")))"),"")</f>
        <v/>
      </c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  <c r="AA428" s="68"/>
    </row>
    <row r="429" ht="26.25" customHeight="1">
      <c r="A429" s="68"/>
      <c r="B429" s="68"/>
      <c r="C429" s="68"/>
      <c r="D429" s="71"/>
      <c r="E429" s="71"/>
      <c r="F429" s="71"/>
      <c r="G429" s="65" t="str">
        <f t="shared" si="1"/>
        <v/>
      </c>
      <c r="H429" s="74"/>
      <c r="I429" s="67" t="str">
        <f>IFERROR(__xludf.DUMMYFUNCTION("if($H429="""", """", AVERAGE(split($H429, "";"")))"),"")</f>
        <v/>
      </c>
      <c r="J429" s="67" t="str">
        <f>IFERROR(__xludf.DUMMYFUNCTION("if(H429="""", """", SUM(split(H429, "";"")))"),"")</f>
        <v/>
      </c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  <c r="AA429" s="68"/>
    </row>
    <row r="430" ht="26.25" customHeight="1">
      <c r="A430" s="68"/>
      <c r="B430" s="68"/>
      <c r="C430" s="68"/>
      <c r="D430" s="71"/>
      <c r="E430" s="71"/>
      <c r="F430" s="71"/>
      <c r="G430" s="65" t="str">
        <f t="shared" si="1"/>
        <v/>
      </c>
      <c r="H430" s="74"/>
      <c r="I430" s="67" t="str">
        <f>IFERROR(__xludf.DUMMYFUNCTION("if($H430="""", """", AVERAGE(split($H430, "";"")))"),"")</f>
        <v/>
      </c>
      <c r="J430" s="67" t="str">
        <f>IFERROR(__xludf.DUMMYFUNCTION("if(H430="""", """", SUM(split(H430, "";"")))"),"")</f>
        <v/>
      </c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  <c r="AA430" s="68"/>
    </row>
    <row r="431" ht="26.25" customHeight="1">
      <c r="A431" s="68"/>
      <c r="B431" s="68"/>
      <c r="C431" s="68"/>
      <c r="D431" s="71"/>
      <c r="E431" s="71"/>
      <c r="F431" s="71"/>
      <c r="G431" s="65" t="str">
        <f t="shared" si="1"/>
        <v/>
      </c>
      <c r="H431" s="74"/>
      <c r="I431" s="67" t="str">
        <f>IFERROR(__xludf.DUMMYFUNCTION("if($H431="""", """", AVERAGE(split($H431, "";"")))"),"")</f>
        <v/>
      </c>
      <c r="J431" s="67" t="str">
        <f>IFERROR(__xludf.DUMMYFUNCTION("if(H431="""", """", SUM(split(H431, "";"")))"),"")</f>
        <v/>
      </c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  <c r="AA431" s="68"/>
    </row>
    <row r="432" ht="26.25" customHeight="1">
      <c r="A432" s="68"/>
      <c r="B432" s="68"/>
      <c r="C432" s="68"/>
      <c r="D432" s="71"/>
      <c r="E432" s="71"/>
      <c r="F432" s="71"/>
      <c r="G432" s="65" t="str">
        <f t="shared" si="1"/>
        <v/>
      </c>
      <c r="H432" s="74"/>
      <c r="I432" s="67" t="str">
        <f>IFERROR(__xludf.DUMMYFUNCTION("if($H432="""", """", AVERAGE(split($H432, "";"")))"),"")</f>
        <v/>
      </c>
      <c r="J432" s="67" t="str">
        <f>IFERROR(__xludf.DUMMYFUNCTION("if(H432="""", """", SUM(split(H432, "";"")))"),"")</f>
        <v/>
      </c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  <c r="AA432" s="68"/>
    </row>
    <row r="433" ht="26.25" customHeight="1">
      <c r="A433" s="68"/>
      <c r="B433" s="68"/>
      <c r="C433" s="68"/>
      <c r="D433" s="71"/>
      <c r="E433" s="71"/>
      <c r="F433" s="71"/>
      <c r="G433" s="65" t="str">
        <f t="shared" si="1"/>
        <v/>
      </c>
      <c r="H433" s="74"/>
      <c r="I433" s="67" t="str">
        <f>IFERROR(__xludf.DUMMYFUNCTION("if($H433="""", """", AVERAGE(split($H433, "";"")))"),"")</f>
        <v/>
      </c>
      <c r="J433" s="67" t="str">
        <f>IFERROR(__xludf.DUMMYFUNCTION("if(H433="""", """", SUM(split(H433, "";"")))"),"")</f>
        <v/>
      </c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  <c r="AA433" s="68"/>
    </row>
    <row r="434" ht="26.25" customHeight="1">
      <c r="A434" s="68"/>
      <c r="B434" s="68"/>
      <c r="C434" s="68"/>
      <c r="D434" s="71"/>
      <c r="E434" s="71"/>
      <c r="F434" s="71"/>
      <c r="G434" s="65" t="str">
        <f t="shared" si="1"/>
        <v/>
      </c>
      <c r="H434" s="74"/>
      <c r="I434" s="67" t="str">
        <f>IFERROR(__xludf.DUMMYFUNCTION("if($H434="""", """", AVERAGE(split($H434, "";"")))"),"")</f>
        <v/>
      </c>
      <c r="J434" s="67" t="str">
        <f>IFERROR(__xludf.DUMMYFUNCTION("if(H434="""", """", SUM(split(H434, "";"")))"),"")</f>
        <v/>
      </c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  <c r="AA434" s="68"/>
    </row>
    <row r="435" ht="26.25" customHeight="1">
      <c r="A435" s="68"/>
      <c r="B435" s="68"/>
      <c r="C435" s="68"/>
      <c r="D435" s="71"/>
      <c r="E435" s="71"/>
      <c r="F435" s="71"/>
      <c r="G435" s="65" t="str">
        <f t="shared" si="1"/>
        <v/>
      </c>
      <c r="H435" s="74"/>
      <c r="I435" s="67" t="str">
        <f>IFERROR(__xludf.DUMMYFUNCTION("if($H435="""", """", AVERAGE(split($H435, "";"")))"),"")</f>
        <v/>
      </c>
      <c r="J435" s="67" t="str">
        <f>IFERROR(__xludf.DUMMYFUNCTION("if(H435="""", """", SUM(split(H435, "";"")))"),"")</f>
        <v/>
      </c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  <c r="AA435" s="68"/>
    </row>
    <row r="436" ht="26.25" customHeight="1">
      <c r="A436" s="68"/>
      <c r="B436" s="68"/>
      <c r="C436" s="68"/>
      <c r="D436" s="71"/>
      <c r="E436" s="71"/>
      <c r="F436" s="71"/>
      <c r="G436" s="65" t="str">
        <f t="shared" si="1"/>
        <v/>
      </c>
      <c r="H436" s="74"/>
      <c r="I436" s="67" t="str">
        <f>IFERROR(__xludf.DUMMYFUNCTION("if($H436="""", """", AVERAGE(split($H436, "";"")))"),"")</f>
        <v/>
      </c>
      <c r="J436" s="67" t="str">
        <f>IFERROR(__xludf.DUMMYFUNCTION("if(H436="""", """", SUM(split(H436, "";"")))"),"")</f>
        <v/>
      </c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  <c r="AA436" s="68"/>
    </row>
    <row r="437" ht="26.25" customHeight="1">
      <c r="A437" s="68"/>
      <c r="B437" s="68"/>
      <c r="C437" s="68"/>
      <c r="D437" s="71"/>
      <c r="E437" s="71"/>
      <c r="F437" s="71"/>
      <c r="G437" s="65" t="str">
        <f t="shared" si="1"/>
        <v/>
      </c>
      <c r="H437" s="74"/>
      <c r="I437" s="67" t="str">
        <f>IFERROR(__xludf.DUMMYFUNCTION("if($H437="""", """", AVERAGE(split($H437, "";"")))"),"")</f>
        <v/>
      </c>
      <c r="J437" s="67" t="str">
        <f>IFERROR(__xludf.DUMMYFUNCTION("if(H437="""", """", SUM(split(H437, "";"")))"),"")</f>
        <v/>
      </c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  <c r="AA437" s="68"/>
    </row>
    <row r="438" ht="26.25" customHeight="1">
      <c r="A438" s="68"/>
      <c r="B438" s="68"/>
      <c r="C438" s="68"/>
      <c r="D438" s="71"/>
      <c r="E438" s="71"/>
      <c r="F438" s="71"/>
      <c r="G438" s="65" t="str">
        <f t="shared" si="1"/>
        <v/>
      </c>
      <c r="H438" s="74"/>
      <c r="I438" s="67" t="str">
        <f>IFERROR(__xludf.DUMMYFUNCTION("if($H438="""", """", AVERAGE(split($H438, "";"")))"),"")</f>
        <v/>
      </c>
      <c r="J438" s="67" t="str">
        <f>IFERROR(__xludf.DUMMYFUNCTION("if(H438="""", """", SUM(split(H438, "";"")))"),"")</f>
        <v/>
      </c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  <c r="AA438" s="68"/>
    </row>
    <row r="439" ht="26.25" customHeight="1">
      <c r="A439" s="68"/>
      <c r="B439" s="68"/>
      <c r="C439" s="68"/>
      <c r="D439" s="71"/>
      <c r="E439" s="71"/>
      <c r="F439" s="71"/>
      <c r="G439" s="65" t="str">
        <f t="shared" si="1"/>
        <v/>
      </c>
      <c r="H439" s="74"/>
      <c r="I439" s="67" t="str">
        <f>IFERROR(__xludf.DUMMYFUNCTION("if($H439="""", """", AVERAGE(split($H439, "";"")))"),"")</f>
        <v/>
      </c>
      <c r="J439" s="67" t="str">
        <f>IFERROR(__xludf.DUMMYFUNCTION("if(H439="""", """", SUM(split(H439, "";"")))"),"")</f>
        <v/>
      </c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  <c r="AA439" s="68"/>
    </row>
    <row r="440" ht="26.25" customHeight="1">
      <c r="A440" s="68"/>
      <c r="B440" s="68"/>
      <c r="C440" s="68"/>
      <c r="D440" s="71"/>
      <c r="E440" s="71"/>
      <c r="F440" s="71"/>
      <c r="G440" s="65" t="str">
        <f t="shared" si="1"/>
        <v/>
      </c>
      <c r="H440" s="74"/>
      <c r="I440" s="67" t="str">
        <f>IFERROR(__xludf.DUMMYFUNCTION("if($H440="""", """", AVERAGE(split($H440, "";"")))"),"")</f>
        <v/>
      </c>
      <c r="J440" s="67" t="str">
        <f>IFERROR(__xludf.DUMMYFUNCTION("if(H440="""", """", SUM(split(H440, "";"")))"),"")</f>
        <v/>
      </c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  <c r="AA440" s="68"/>
    </row>
    <row r="441" ht="26.25" customHeight="1">
      <c r="A441" s="68"/>
      <c r="B441" s="68"/>
      <c r="C441" s="68"/>
      <c r="D441" s="71"/>
      <c r="E441" s="71"/>
      <c r="F441" s="71"/>
      <c r="G441" s="65" t="str">
        <f t="shared" si="1"/>
        <v/>
      </c>
      <c r="H441" s="74"/>
      <c r="I441" s="67" t="str">
        <f>IFERROR(__xludf.DUMMYFUNCTION("if($H441="""", """", AVERAGE(split($H441, "";"")))"),"")</f>
        <v/>
      </c>
      <c r="J441" s="67" t="str">
        <f>IFERROR(__xludf.DUMMYFUNCTION("if(H441="""", """", SUM(split(H441, "";"")))"),"")</f>
        <v/>
      </c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  <c r="AA441" s="68"/>
    </row>
    <row r="442" ht="26.25" customHeight="1">
      <c r="A442" s="68"/>
      <c r="B442" s="68"/>
      <c r="C442" s="68"/>
      <c r="D442" s="71"/>
      <c r="E442" s="71"/>
      <c r="F442" s="71"/>
      <c r="G442" s="65" t="str">
        <f t="shared" si="1"/>
        <v/>
      </c>
      <c r="H442" s="74"/>
      <c r="I442" s="67" t="str">
        <f>IFERROR(__xludf.DUMMYFUNCTION("if($H442="""", """", AVERAGE(split($H442, "";"")))"),"")</f>
        <v/>
      </c>
      <c r="J442" s="67" t="str">
        <f>IFERROR(__xludf.DUMMYFUNCTION("if(H442="""", """", SUM(split(H442, "";"")))"),"")</f>
        <v/>
      </c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  <c r="AA442" s="68"/>
    </row>
    <row r="443" ht="26.25" customHeight="1">
      <c r="A443" s="68"/>
      <c r="B443" s="68"/>
      <c r="C443" s="68"/>
      <c r="D443" s="71"/>
      <c r="E443" s="71"/>
      <c r="F443" s="71"/>
      <c r="G443" s="65" t="str">
        <f t="shared" si="1"/>
        <v/>
      </c>
      <c r="H443" s="74"/>
      <c r="I443" s="67" t="str">
        <f>IFERROR(__xludf.DUMMYFUNCTION("if($H443="""", """", AVERAGE(split($H443, "";"")))"),"")</f>
        <v/>
      </c>
      <c r="J443" s="67" t="str">
        <f>IFERROR(__xludf.DUMMYFUNCTION("if(H443="""", """", SUM(split(H443, "";"")))"),"")</f>
        <v/>
      </c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  <c r="AA443" s="68"/>
    </row>
    <row r="444" ht="26.25" customHeight="1">
      <c r="A444" s="68"/>
      <c r="B444" s="68"/>
      <c r="C444" s="68"/>
      <c r="D444" s="71"/>
      <c r="E444" s="71"/>
      <c r="F444" s="71"/>
      <c r="G444" s="65" t="str">
        <f t="shared" si="1"/>
        <v/>
      </c>
      <c r="H444" s="74"/>
      <c r="I444" s="67" t="str">
        <f>IFERROR(__xludf.DUMMYFUNCTION("if($H444="""", """", AVERAGE(split($H444, "";"")))"),"")</f>
        <v/>
      </c>
      <c r="J444" s="67" t="str">
        <f>IFERROR(__xludf.DUMMYFUNCTION("if(H444="""", """", SUM(split(H444, "";"")))"),"")</f>
        <v/>
      </c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  <c r="AA444" s="68"/>
    </row>
    <row r="445" ht="26.25" customHeight="1">
      <c r="A445" s="68"/>
      <c r="B445" s="68"/>
      <c r="C445" s="68"/>
      <c r="D445" s="71"/>
      <c r="E445" s="71"/>
      <c r="F445" s="71"/>
      <c r="G445" s="65" t="str">
        <f t="shared" si="1"/>
        <v/>
      </c>
      <c r="H445" s="74"/>
      <c r="I445" s="67" t="str">
        <f>IFERROR(__xludf.DUMMYFUNCTION("if($H445="""", """", AVERAGE(split($H445, "";"")))"),"")</f>
        <v/>
      </c>
      <c r="J445" s="67" t="str">
        <f>IFERROR(__xludf.DUMMYFUNCTION("if(H445="""", """", SUM(split(H445, "";"")))"),"")</f>
        <v/>
      </c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  <c r="AA445" s="68"/>
    </row>
    <row r="446" ht="26.25" customHeight="1">
      <c r="A446" s="68"/>
      <c r="B446" s="68"/>
      <c r="C446" s="68"/>
      <c r="D446" s="71"/>
      <c r="E446" s="71"/>
      <c r="F446" s="71"/>
      <c r="G446" s="65" t="str">
        <f t="shared" si="1"/>
        <v/>
      </c>
      <c r="H446" s="74"/>
      <c r="I446" s="67" t="str">
        <f>IFERROR(__xludf.DUMMYFUNCTION("if($H446="""", """", AVERAGE(split($H446, "";"")))"),"")</f>
        <v/>
      </c>
      <c r="J446" s="67" t="str">
        <f>IFERROR(__xludf.DUMMYFUNCTION("if(H446="""", """", SUM(split(H446, "";"")))"),"")</f>
        <v/>
      </c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  <c r="AA446" s="68"/>
    </row>
    <row r="447" ht="26.25" customHeight="1">
      <c r="A447" s="68"/>
      <c r="B447" s="68"/>
      <c r="C447" s="68"/>
      <c r="D447" s="71"/>
      <c r="E447" s="71"/>
      <c r="F447" s="71"/>
      <c r="G447" s="65" t="str">
        <f t="shared" si="1"/>
        <v/>
      </c>
      <c r="H447" s="74"/>
      <c r="I447" s="67" t="str">
        <f>IFERROR(__xludf.DUMMYFUNCTION("if($H447="""", """", AVERAGE(split($H447, "";"")))"),"")</f>
        <v/>
      </c>
      <c r="J447" s="67" t="str">
        <f>IFERROR(__xludf.DUMMYFUNCTION("if(H447="""", """", SUM(split(H447, "";"")))"),"")</f>
        <v/>
      </c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  <c r="AA447" s="68"/>
    </row>
    <row r="448" ht="26.25" customHeight="1">
      <c r="A448" s="68"/>
      <c r="B448" s="68"/>
      <c r="C448" s="68"/>
      <c r="D448" s="71"/>
      <c r="E448" s="71"/>
      <c r="F448" s="71"/>
      <c r="G448" s="65" t="str">
        <f t="shared" si="1"/>
        <v/>
      </c>
      <c r="H448" s="74"/>
      <c r="I448" s="67" t="str">
        <f>IFERROR(__xludf.DUMMYFUNCTION("if($H448="""", """", AVERAGE(split($H448, "";"")))"),"")</f>
        <v/>
      </c>
      <c r="J448" s="67" t="str">
        <f>IFERROR(__xludf.DUMMYFUNCTION("if(H448="""", """", SUM(split(H448, "";"")))"),"")</f>
        <v/>
      </c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  <c r="AA448" s="68"/>
    </row>
    <row r="449" ht="26.25" customHeight="1">
      <c r="A449" s="68"/>
      <c r="B449" s="68"/>
      <c r="C449" s="68"/>
      <c r="D449" s="71"/>
      <c r="E449" s="71"/>
      <c r="F449" s="71"/>
      <c r="G449" s="65" t="str">
        <f t="shared" si="1"/>
        <v/>
      </c>
      <c r="H449" s="74"/>
      <c r="I449" s="67" t="str">
        <f>IFERROR(__xludf.DUMMYFUNCTION("if($H449="""", """", AVERAGE(split($H449, "";"")))"),"")</f>
        <v/>
      </c>
      <c r="J449" s="67" t="str">
        <f>IFERROR(__xludf.DUMMYFUNCTION("if(H449="""", """", SUM(split(H449, "";"")))"),"")</f>
        <v/>
      </c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  <c r="AA449" s="68"/>
    </row>
    <row r="450" ht="26.25" customHeight="1">
      <c r="A450" s="68"/>
      <c r="B450" s="68"/>
      <c r="C450" s="68"/>
      <c r="D450" s="71"/>
      <c r="E450" s="71"/>
      <c r="F450" s="71"/>
      <c r="G450" s="65" t="str">
        <f t="shared" si="1"/>
        <v/>
      </c>
      <c r="H450" s="74"/>
      <c r="I450" s="67" t="str">
        <f>IFERROR(__xludf.DUMMYFUNCTION("if($H450="""", """", AVERAGE(split($H450, "";"")))"),"")</f>
        <v/>
      </c>
      <c r="J450" s="67" t="str">
        <f>IFERROR(__xludf.DUMMYFUNCTION("if(H450="""", """", SUM(split(H450, "";"")))"),"")</f>
        <v/>
      </c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  <c r="AA450" s="68"/>
    </row>
    <row r="451" ht="26.25" customHeight="1">
      <c r="A451" s="68"/>
      <c r="B451" s="68"/>
      <c r="C451" s="68"/>
      <c r="D451" s="71"/>
      <c r="E451" s="71"/>
      <c r="F451" s="71"/>
      <c r="G451" s="65" t="str">
        <f t="shared" si="1"/>
        <v/>
      </c>
      <c r="H451" s="74"/>
      <c r="I451" s="67" t="str">
        <f>IFERROR(__xludf.DUMMYFUNCTION("if($H451="""", """", AVERAGE(split($H451, "";"")))"),"")</f>
        <v/>
      </c>
      <c r="J451" s="67" t="str">
        <f>IFERROR(__xludf.DUMMYFUNCTION("if(H451="""", """", SUM(split(H451, "";"")))"),"")</f>
        <v/>
      </c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  <c r="AA451" s="68"/>
    </row>
    <row r="452" ht="26.25" customHeight="1">
      <c r="A452" s="68"/>
      <c r="B452" s="68"/>
      <c r="C452" s="68"/>
      <c r="D452" s="71"/>
      <c r="E452" s="71"/>
      <c r="F452" s="71"/>
      <c r="G452" s="65" t="str">
        <f t="shared" si="1"/>
        <v/>
      </c>
      <c r="H452" s="74"/>
      <c r="I452" s="67" t="str">
        <f>IFERROR(__xludf.DUMMYFUNCTION("if($H452="""", """", AVERAGE(split($H452, "";"")))"),"")</f>
        <v/>
      </c>
      <c r="J452" s="67" t="str">
        <f>IFERROR(__xludf.DUMMYFUNCTION("if(H452="""", """", SUM(split(H452, "";"")))"),"")</f>
        <v/>
      </c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  <c r="AA452" s="68"/>
    </row>
    <row r="453" ht="26.25" customHeight="1">
      <c r="A453" s="68"/>
      <c r="B453" s="68"/>
      <c r="C453" s="68"/>
      <c r="D453" s="71"/>
      <c r="E453" s="71"/>
      <c r="F453" s="71"/>
      <c r="G453" s="65" t="str">
        <f t="shared" si="1"/>
        <v/>
      </c>
      <c r="H453" s="74"/>
      <c r="I453" s="67" t="str">
        <f>IFERROR(__xludf.DUMMYFUNCTION("if($H453="""", """", AVERAGE(split($H453, "";"")))"),"")</f>
        <v/>
      </c>
      <c r="J453" s="67" t="str">
        <f>IFERROR(__xludf.DUMMYFUNCTION("if(H453="""", """", SUM(split(H453, "";"")))"),"")</f>
        <v/>
      </c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  <c r="AA453" s="68"/>
    </row>
    <row r="454" ht="26.25" customHeight="1">
      <c r="A454" s="68"/>
      <c r="B454" s="68"/>
      <c r="C454" s="68"/>
      <c r="D454" s="71"/>
      <c r="E454" s="71"/>
      <c r="F454" s="71"/>
      <c r="G454" s="65" t="str">
        <f t="shared" si="1"/>
        <v/>
      </c>
      <c r="H454" s="74"/>
      <c r="I454" s="67" t="str">
        <f>IFERROR(__xludf.DUMMYFUNCTION("if($H454="""", """", AVERAGE(split($H454, "";"")))"),"")</f>
        <v/>
      </c>
      <c r="J454" s="67" t="str">
        <f>IFERROR(__xludf.DUMMYFUNCTION("if(H454="""", """", SUM(split(H454, "";"")))"),"")</f>
        <v/>
      </c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  <c r="AA454" s="68"/>
    </row>
    <row r="455" ht="26.25" customHeight="1">
      <c r="A455" s="68"/>
      <c r="B455" s="68"/>
      <c r="C455" s="68"/>
      <c r="D455" s="71"/>
      <c r="E455" s="71"/>
      <c r="F455" s="71"/>
      <c r="G455" s="65" t="str">
        <f t="shared" si="1"/>
        <v/>
      </c>
      <c r="H455" s="74"/>
      <c r="I455" s="67" t="str">
        <f>IFERROR(__xludf.DUMMYFUNCTION("if($H455="""", """", AVERAGE(split($H455, "";"")))"),"")</f>
        <v/>
      </c>
      <c r="J455" s="67" t="str">
        <f>IFERROR(__xludf.DUMMYFUNCTION("if(H455="""", """", SUM(split(H455, "";"")))"),"")</f>
        <v/>
      </c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  <c r="AA455" s="68"/>
    </row>
    <row r="456" ht="26.25" customHeight="1">
      <c r="A456" s="68"/>
      <c r="B456" s="68"/>
      <c r="C456" s="68"/>
      <c r="D456" s="71"/>
      <c r="E456" s="71"/>
      <c r="F456" s="71"/>
      <c r="G456" s="65" t="str">
        <f t="shared" si="1"/>
        <v/>
      </c>
      <c r="H456" s="74"/>
      <c r="I456" s="67" t="str">
        <f>IFERROR(__xludf.DUMMYFUNCTION("if($H456="""", """", AVERAGE(split($H456, "";"")))"),"")</f>
        <v/>
      </c>
      <c r="J456" s="67" t="str">
        <f>IFERROR(__xludf.DUMMYFUNCTION("if(H456="""", """", SUM(split(H456, "";"")))"),"")</f>
        <v/>
      </c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  <c r="AA456" s="68"/>
    </row>
    <row r="457" ht="26.25" customHeight="1">
      <c r="A457" s="68"/>
      <c r="B457" s="68"/>
      <c r="C457" s="68"/>
      <c r="D457" s="71"/>
      <c r="E457" s="71"/>
      <c r="F457" s="71"/>
      <c r="G457" s="65" t="str">
        <f t="shared" si="1"/>
        <v/>
      </c>
      <c r="H457" s="74"/>
      <c r="I457" s="67" t="str">
        <f>IFERROR(__xludf.DUMMYFUNCTION("if($H457="""", """", AVERAGE(split($H457, "";"")))"),"")</f>
        <v/>
      </c>
      <c r="J457" s="67" t="str">
        <f>IFERROR(__xludf.DUMMYFUNCTION("if(H457="""", """", SUM(split(H457, "";"")))"),"")</f>
        <v/>
      </c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  <c r="AA457" s="68"/>
    </row>
    <row r="458" ht="26.25" customHeight="1">
      <c r="A458" s="68"/>
      <c r="B458" s="68"/>
      <c r="C458" s="68"/>
      <c r="D458" s="71"/>
      <c r="E458" s="71"/>
      <c r="F458" s="71"/>
      <c r="G458" s="65" t="str">
        <f t="shared" si="1"/>
        <v/>
      </c>
      <c r="H458" s="74"/>
      <c r="I458" s="67" t="str">
        <f>IFERROR(__xludf.DUMMYFUNCTION("if($H458="""", """", AVERAGE(split($H458, "";"")))"),"")</f>
        <v/>
      </c>
      <c r="J458" s="67" t="str">
        <f>IFERROR(__xludf.DUMMYFUNCTION("if(H458="""", """", SUM(split(H458, "";"")))"),"")</f>
        <v/>
      </c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  <c r="AA458" s="68"/>
    </row>
    <row r="459" ht="26.25" customHeight="1">
      <c r="A459" s="68"/>
      <c r="B459" s="68"/>
      <c r="C459" s="68"/>
      <c r="D459" s="71"/>
      <c r="E459" s="71"/>
      <c r="F459" s="71"/>
      <c r="G459" s="65" t="str">
        <f t="shared" si="1"/>
        <v/>
      </c>
      <c r="H459" s="74"/>
      <c r="I459" s="67" t="str">
        <f>IFERROR(__xludf.DUMMYFUNCTION("if($H459="""", """", AVERAGE(split($H459, "";"")))"),"")</f>
        <v/>
      </c>
      <c r="J459" s="67" t="str">
        <f>IFERROR(__xludf.DUMMYFUNCTION("if(H459="""", """", SUM(split(H459, "";"")))"),"")</f>
        <v/>
      </c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  <c r="AA459" s="68"/>
    </row>
    <row r="460" ht="26.25" customHeight="1">
      <c r="A460" s="68"/>
      <c r="B460" s="68"/>
      <c r="C460" s="68"/>
      <c r="D460" s="71"/>
      <c r="E460" s="71"/>
      <c r="F460" s="71"/>
      <c r="G460" s="65" t="str">
        <f t="shared" si="1"/>
        <v/>
      </c>
      <c r="H460" s="74"/>
      <c r="I460" s="67" t="str">
        <f>IFERROR(__xludf.DUMMYFUNCTION("if($H460="""", """", AVERAGE(split($H460, "";"")))"),"")</f>
        <v/>
      </c>
      <c r="J460" s="67" t="str">
        <f>IFERROR(__xludf.DUMMYFUNCTION("if(H460="""", """", SUM(split(H460, "";"")))"),"")</f>
        <v/>
      </c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  <c r="AA460" s="68"/>
    </row>
    <row r="461" ht="26.25" customHeight="1">
      <c r="A461" s="68"/>
      <c r="B461" s="68"/>
      <c r="C461" s="68"/>
      <c r="D461" s="71"/>
      <c r="E461" s="71"/>
      <c r="F461" s="71"/>
      <c r="G461" s="65" t="str">
        <f t="shared" si="1"/>
        <v/>
      </c>
      <c r="H461" s="74"/>
      <c r="I461" s="67" t="str">
        <f>IFERROR(__xludf.DUMMYFUNCTION("if($H461="""", """", AVERAGE(split($H461, "";"")))"),"")</f>
        <v/>
      </c>
      <c r="J461" s="67" t="str">
        <f>IFERROR(__xludf.DUMMYFUNCTION("if(H461="""", """", SUM(split(H461, "";"")))"),"")</f>
        <v/>
      </c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  <c r="AA461" s="68"/>
    </row>
    <row r="462" ht="26.25" customHeight="1">
      <c r="A462" s="68"/>
      <c r="B462" s="68"/>
      <c r="C462" s="68"/>
      <c r="D462" s="71"/>
      <c r="E462" s="71"/>
      <c r="F462" s="71"/>
      <c r="G462" s="65" t="str">
        <f t="shared" si="1"/>
        <v/>
      </c>
      <c r="H462" s="74"/>
      <c r="I462" s="67" t="str">
        <f>IFERROR(__xludf.DUMMYFUNCTION("if($H462="""", """", AVERAGE(split($H462, "";"")))"),"")</f>
        <v/>
      </c>
      <c r="J462" s="67" t="str">
        <f>IFERROR(__xludf.DUMMYFUNCTION("if(H462="""", """", SUM(split(H462, "";"")))"),"")</f>
        <v/>
      </c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  <c r="AA462" s="68"/>
    </row>
    <row r="463" ht="26.25" customHeight="1">
      <c r="A463" s="68"/>
      <c r="B463" s="68"/>
      <c r="C463" s="68"/>
      <c r="D463" s="71"/>
      <c r="E463" s="71"/>
      <c r="F463" s="71"/>
      <c r="G463" s="65" t="str">
        <f t="shared" si="1"/>
        <v/>
      </c>
      <c r="H463" s="74"/>
      <c r="I463" s="67" t="str">
        <f>IFERROR(__xludf.DUMMYFUNCTION("if($H463="""", """", AVERAGE(split($H463, "";"")))"),"")</f>
        <v/>
      </c>
      <c r="J463" s="67" t="str">
        <f>IFERROR(__xludf.DUMMYFUNCTION("if(H463="""", """", SUM(split(H463, "";"")))"),"")</f>
        <v/>
      </c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  <c r="AA463" s="68"/>
    </row>
    <row r="464" ht="26.25" customHeight="1">
      <c r="A464" s="68"/>
      <c r="B464" s="68"/>
      <c r="C464" s="68"/>
      <c r="D464" s="71"/>
      <c r="E464" s="71"/>
      <c r="F464" s="71"/>
      <c r="G464" s="65" t="str">
        <f t="shared" si="1"/>
        <v/>
      </c>
      <c r="H464" s="74"/>
      <c r="I464" s="67" t="str">
        <f>IFERROR(__xludf.DUMMYFUNCTION("if($H464="""", """", AVERAGE(split($H464, "";"")))"),"")</f>
        <v/>
      </c>
      <c r="J464" s="67" t="str">
        <f>IFERROR(__xludf.DUMMYFUNCTION("if(H464="""", """", SUM(split(H464, "";"")))"),"")</f>
        <v/>
      </c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  <c r="AA464" s="68"/>
    </row>
    <row r="465" ht="26.25" customHeight="1">
      <c r="A465" s="68"/>
      <c r="B465" s="68"/>
      <c r="C465" s="68"/>
      <c r="D465" s="71"/>
      <c r="E465" s="71"/>
      <c r="F465" s="71"/>
      <c r="G465" s="65" t="str">
        <f t="shared" si="1"/>
        <v/>
      </c>
      <c r="H465" s="74"/>
      <c r="I465" s="67" t="str">
        <f>IFERROR(__xludf.DUMMYFUNCTION("if($H465="""", """", AVERAGE(split($H465, "";"")))"),"")</f>
        <v/>
      </c>
      <c r="J465" s="67" t="str">
        <f>IFERROR(__xludf.DUMMYFUNCTION("if(H465="""", """", SUM(split(H465, "";"")))"),"")</f>
        <v/>
      </c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  <c r="AA465" s="68"/>
    </row>
    <row r="466" ht="26.25" customHeight="1">
      <c r="A466" s="68"/>
      <c r="B466" s="68"/>
      <c r="C466" s="68"/>
      <c r="D466" s="71"/>
      <c r="E466" s="71"/>
      <c r="F466" s="71"/>
      <c r="G466" s="65" t="str">
        <f t="shared" si="1"/>
        <v/>
      </c>
      <c r="H466" s="74"/>
      <c r="I466" s="67" t="str">
        <f>IFERROR(__xludf.DUMMYFUNCTION("if($H466="""", """", AVERAGE(split($H466, "";"")))"),"")</f>
        <v/>
      </c>
      <c r="J466" s="67" t="str">
        <f>IFERROR(__xludf.DUMMYFUNCTION("if(H466="""", """", SUM(split(H466, "";"")))"),"")</f>
        <v/>
      </c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  <c r="AA466" s="68"/>
    </row>
    <row r="467" ht="26.25" customHeight="1">
      <c r="A467" s="68"/>
      <c r="B467" s="68"/>
      <c r="C467" s="68"/>
      <c r="D467" s="71"/>
      <c r="E467" s="71"/>
      <c r="F467" s="71"/>
      <c r="G467" s="65" t="str">
        <f t="shared" si="1"/>
        <v/>
      </c>
      <c r="H467" s="74"/>
      <c r="I467" s="67" t="str">
        <f>IFERROR(__xludf.DUMMYFUNCTION("if($H467="""", """", AVERAGE(split($H467, "";"")))"),"")</f>
        <v/>
      </c>
      <c r="J467" s="67" t="str">
        <f>IFERROR(__xludf.DUMMYFUNCTION("if(H467="""", """", SUM(split(H467, "";"")))"),"")</f>
        <v/>
      </c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  <c r="AA467" s="68"/>
    </row>
    <row r="468" ht="26.25" customHeight="1">
      <c r="A468" s="68"/>
      <c r="B468" s="68"/>
      <c r="C468" s="68"/>
      <c r="D468" s="71"/>
      <c r="E468" s="71"/>
      <c r="F468" s="71"/>
      <c r="G468" s="65" t="str">
        <f t="shared" si="1"/>
        <v/>
      </c>
      <c r="H468" s="74"/>
      <c r="I468" s="67" t="str">
        <f>IFERROR(__xludf.DUMMYFUNCTION("if($H468="""", """", AVERAGE(split($H468, "";"")))"),"")</f>
        <v/>
      </c>
      <c r="J468" s="67" t="str">
        <f>IFERROR(__xludf.DUMMYFUNCTION("if(H468="""", """", SUM(split(H468, "";"")))"),"")</f>
        <v/>
      </c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  <c r="AA468" s="68"/>
    </row>
    <row r="469" ht="26.25" customHeight="1">
      <c r="A469" s="68"/>
      <c r="B469" s="68"/>
      <c r="C469" s="68"/>
      <c r="D469" s="71"/>
      <c r="E469" s="71"/>
      <c r="F469" s="71"/>
      <c r="G469" s="65" t="str">
        <f t="shared" si="1"/>
        <v/>
      </c>
      <c r="H469" s="74"/>
      <c r="I469" s="67" t="str">
        <f>IFERROR(__xludf.DUMMYFUNCTION("if($H469="""", """", AVERAGE(split($H469, "";"")))"),"")</f>
        <v/>
      </c>
      <c r="J469" s="67" t="str">
        <f>IFERROR(__xludf.DUMMYFUNCTION("if(H469="""", """", SUM(split(H469, "";"")))"),"")</f>
        <v/>
      </c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  <c r="AA469" s="68"/>
    </row>
    <row r="470" ht="26.25" customHeight="1">
      <c r="A470" s="68"/>
      <c r="B470" s="68"/>
      <c r="C470" s="68"/>
      <c r="D470" s="71"/>
      <c r="E470" s="71"/>
      <c r="F470" s="71"/>
      <c r="G470" s="65" t="str">
        <f t="shared" si="1"/>
        <v/>
      </c>
      <c r="H470" s="74"/>
      <c r="I470" s="67" t="str">
        <f>IFERROR(__xludf.DUMMYFUNCTION("if($H470="""", """", AVERAGE(split($H470, "";"")))"),"")</f>
        <v/>
      </c>
      <c r="J470" s="67" t="str">
        <f>IFERROR(__xludf.DUMMYFUNCTION("if(H470="""", """", SUM(split(H470, "";"")))"),"")</f>
        <v/>
      </c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  <c r="AA470" s="68"/>
    </row>
    <row r="471" ht="26.25" customHeight="1">
      <c r="A471" s="68"/>
      <c r="B471" s="68"/>
      <c r="C471" s="68"/>
      <c r="D471" s="71"/>
      <c r="E471" s="71"/>
      <c r="F471" s="71"/>
      <c r="G471" s="65" t="str">
        <f t="shared" si="1"/>
        <v/>
      </c>
      <c r="H471" s="74"/>
      <c r="I471" s="67" t="str">
        <f>IFERROR(__xludf.DUMMYFUNCTION("if($H471="""", """", AVERAGE(split($H471, "";"")))"),"")</f>
        <v/>
      </c>
      <c r="J471" s="67" t="str">
        <f>IFERROR(__xludf.DUMMYFUNCTION("if(H471="""", """", SUM(split(H471, "";"")))"),"")</f>
        <v/>
      </c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  <c r="AA471" s="68"/>
    </row>
    <row r="472" ht="26.25" customHeight="1">
      <c r="A472" s="68"/>
      <c r="B472" s="68"/>
      <c r="C472" s="68"/>
      <c r="D472" s="71"/>
      <c r="E472" s="71"/>
      <c r="F472" s="71"/>
      <c r="G472" s="65" t="str">
        <f t="shared" si="1"/>
        <v/>
      </c>
      <c r="H472" s="74"/>
      <c r="I472" s="67" t="str">
        <f>IFERROR(__xludf.DUMMYFUNCTION("if($H472="""", """", AVERAGE(split($H472, "";"")))"),"")</f>
        <v/>
      </c>
      <c r="J472" s="67" t="str">
        <f>IFERROR(__xludf.DUMMYFUNCTION("if(H472="""", """", SUM(split(H472, "";"")))"),"")</f>
        <v/>
      </c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  <c r="AA472" s="68"/>
    </row>
    <row r="473" ht="26.25" customHeight="1">
      <c r="A473" s="68"/>
      <c r="B473" s="68"/>
      <c r="C473" s="68"/>
      <c r="D473" s="71"/>
      <c r="E473" s="71"/>
      <c r="F473" s="71"/>
      <c r="G473" s="65" t="str">
        <f t="shared" si="1"/>
        <v/>
      </c>
      <c r="H473" s="74"/>
      <c r="I473" s="67" t="str">
        <f>IFERROR(__xludf.DUMMYFUNCTION("if($H473="""", """", AVERAGE(split($H473, "";"")))"),"")</f>
        <v/>
      </c>
      <c r="J473" s="67" t="str">
        <f>IFERROR(__xludf.DUMMYFUNCTION("if(H473="""", """", SUM(split(H473, "";"")))"),"")</f>
        <v/>
      </c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  <c r="AA473" s="68"/>
    </row>
    <row r="474" ht="26.25" customHeight="1">
      <c r="A474" s="68"/>
      <c r="B474" s="68"/>
      <c r="C474" s="68"/>
      <c r="D474" s="71"/>
      <c r="E474" s="71"/>
      <c r="F474" s="71"/>
      <c r="G474" s="65" t="str">
        <f t="shared" si="1"/>
        <v/>
      </c>
      <c r="H474" s="74"/>
      <c r="I474" s="67" t="str">
        <f>IFERROR(__xludf.DUMMYFUNCTION("if($H474="""", """", AVERAGE(split($H474, "";"")))"),"")</f>
        <v/>
      </c>
      <c r="J474" s="67" t="str">
        <f>IFERROR(__xludf.DUMMYFUNCTION("if(H474="""", """", SUM(split(H474, "";"")))"),"")</f>
        <v/>
      </c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  <c r="AA474" s="68"/>
    </row>
    <row r="475" ht="26.25" customHeight="1">
      <c r="A475" s="68"/>
      <c r="B475" s="68"/>
      <c r="C475" s="68"/>
      <c r="D475" s="71"/>
      <c r="E475" s="71"/>
      <c r="F475" s="71"/>
      <c r="G475" s="65" t="str">
        <f t="shared" si="1"/>
        <v/>
      </c>
      <c r="H475" s="74"/>
      <c r="I475" s="67" t="str">
        <f>IFERROR(__xludf.DUMMYFUNCTION("if($H475="""", """", AVERAGE(split($H475, "";"")))"),"")</f>
        <v/>
      </c>
      <c r="J475" s="67" t="str">
        <f>IFERROR(__xludf.DUMMYFUNCTION("if(H475="""", """", SUM(split(H475, "";"")))"),"")</f>
        <v/>
      </c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  <c r="AA475" s="68"/>
    </row>
    <row r="476" ht="26.25" customHeight="1">
      <c r="A476" s="68"/>
      <c r="B476" s="68"/>
      <c r="C476" s="68"/>
      <c r="D476" s="71"/>
      <c r="E476" s="71"/>
      <c r="F476" s="71"/>
      <c r="G476" s="65" t="str">
        <f t="shared" si="1"/>
        <v/>
      </c>
      <c r="H476" s="74"/>
      <c r="I476" s="67" t="str">
        <f>IFERROR(__xludf.DUMMYFUNCTION("if($H476="""", """", AVERAGE(split($H476, "";"")))"),"")</f>
        <v/>
      </c>
      <c r="J476" s="67" t="str">
        <f>IFERROR(__xludf.DUMMYFUNCTION("if(H476="""", """", SUM(split(H476, "";"")))"),"")</f>
        <v/>
      </c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  <c r="AA476" s="68"/>
    </row>
    <row r="477" ht="26.25" customHeight="1">
      <c r="A477" s="68"/>
      <c r="B477" s="68"/>
      <c r="C477" s="68"/>
      <c r="D477" s="71"/>
      <c r="E477" s="71"/>
      <c r="F477" s="71"/>
      <c r="G477" s="65" t="str">
        <f t="shared" si="1"/>
        <v/>
      </c>
      <c r="H477" s="74"/>
      <c r="I477" s="67" t="str">
        <f>IFERROR(__xludf.DUMMYFUNCTION("if($H477="""", """", AVERAGE(split($H477, "";"")))"),"")</f>
        <v/>
      </c>
      <c r="J477" s="67" t="str">
        <f>IFERROR(__xludf.DUMMYFUNCTION("if(H477="""", """", SUM(split(H477, "";"")))"),"")</f>
        <v/>
      </c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  <c r="AA477" s="68"/>
    </row>
    <row r="478" ht="26.25" customHeight="1">
      <c r="A478" s="68"/>
      <c r="B478" s="68"/>
      <c r="C478" s="68"/>
      <c r="D478" s="71"/>
      <c r="E478" s="71"/>
      <c r="F478" s="71"/>
      <c r="G478" s="65" t="str">
        <f t="shared" si="1"/>
        <v/>
      </c>
      <c r="H478" s="74"/>
      <c r="I478" s="67" t="str">
        <f>IFERROR(__xludf.DUMMYFUNCTION("if($H478="""", """", AVERAGE(split($H478, "";"")))"),"")</f>
        <v/>
      </c>
      <c r="J478" s="67" t="str">
        <f>IFERROR(__xludf.DUMMYFUNCTION("if(H478="""", """", SUM(split(H478, "";"")))"),"")</f>
        <v/>
      </c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  <c r="AA478" s="68"/>
    </row>
    <row r="479" ht="26.25" customHeight="1">
      <c r="A479" s="68"/>
      <c r="B479" s="68"/>
      <c r="C479" s="68"/>
      <c r="D479" s="71"/>
      <c r="E479" s="71"/>
      <c r="F479" s="71"/>
      <c r="G479" s="65" t="str">
        <f t="shared" si="1"/>
        <v/>
      </c>
      <c r="H479" s="74"/>
      <c r="I479" s="67" t="str">
        <f>IFERROR(__xludf.DUMMYFUNCTION("if($H479="""", """", AVERAGE(split($H479, "";"")))"),"")</f>
        <v/>
      </c>
      <c r="J479" s="67" t="str">
        <f>IFERROR(__xludf.DUMMYFUNCTION("if(H479="""", """", SUM(split(H479, "";"")))"),"")</f>
        <v/>
      </c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  <c r="AA479" s="68"/>
    </row>
    <row r="480" ht="26.25" customHeight="1">
      <c r="A480" s="68"/>
      <c r="B480" s="68"/>
      <c r="C480" s="68"/>
      <c r="D480" s="71"/>
      <c r="E480" s="71"/>
      <c r="F480" s="71"/>
      <c r="G480" s="65" t="str">
        <f t="shared" si="1"/>
        <v/>
      </c>
      <c r="H480" s="74"/>
      <c r="I480" s="67" t="str">
        <f>IFERROR(__xludf.DUMMYFUNCTION("if($H480="""", """", AVERAGE(split($H480, "";"")))"),"")</f>
        <v/>
      </c>
      <c r="J480" s="67" t="str">
        <f>IFERROR(__xludf.DUMMYFUNCTION("if(H480="""", """", SUM(split(H480, "";"")))"),"")</f>
        <v/>
      </c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  <c r="AA480" s="68"/>
    </row>
    <row r="481" ht="26.25" customHeight="1">
      <c r="A481" s="68"/>
      <c r="B481" s="68"/>
      <c r="C481" s="68"/>
      <c r="D481" s="71"/>
      <c r="E481" s="71"/>
      <c r="F481" s="71"/>
      <c r="G481" s="65" t="str">
        <f t="shared" si="1"/>
        <v/>
      </c>
      <c r="H481" s="74"/>
      <c r="I481" s="67" t="str">
        <f>IFERROR(__xludf.DUMMYFUNCTION("if($H481="""", """", AVERAGE(split($H481, "";"")))"),"")</f>
        <v/>
      </c>
      <c r="J481" s="67" t="str">
        <f>IFERROR(__xludf.DUMMYFUNCTION("if(H481="""", """", SUM(split(H481, "";"")))"),"")</f>
        <v/>
      </c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  <c r="AA481" s="68"/>
    </row>
    <row r="482" ht="26.25" customHeight="1">
      <c r="A482" s="68"/>
      <c r="B482" s="68"/>
      <c r="C482" s="68"/>
      <c r="D482" s="71"/>
      <c r="E482" s="71"/>
      <c r="F482" s="71"/>
      <c r="G482" s="65" t="str">
        <f t="shared" si="1"/>
        <v/>
      </c>
      <c r="H482" s="74"/>
      <c r="I482" s="67" t="str">
        <f>IFERROR(__xludf.DUMMYFUNCTION("if($H482="""", """", AVERAGE(split($H482, "";"")))"),"")</f>
        <v/>
      </c>
      <c r="J482" s="67" t="str">
        <f>IFERROR(__xludf.DUMMYFUNCTION("if(H482="""", """", SUM(split(H482, "";"")))"),"")</f>
        <v/>
      </c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  <c r="AA482" s="68"/>
    </row>
    <row r="483" ht="26.25" customHeight="1">
      <c r="A483" s="68"/>
      <c r="B483" s="68"/>
      <c r="C483" s="68"/>
      <c r="D483" s="71"/>
      <c r="E483" s="71"/>
      <c r="F483" s="71"/>
      <c r="G483" s="65" t="str">
        <f t="shared" si="1"/>
        <v/>
      </c>
      <c r="H483" s="74"/>
      <c r="I483" s="67" t="str">
        <f>IFERROR(__xludf.DUMMYFUNCTION("if($H483="""", """", AVERAGE(split($H483, "";"")))"),"")</f>
        <v/>
      </c>
      <c r="J483" s="67" t="str">
        <f>IFERROR(__xludf.DUMMYFUNCTION("if(H483="""", """", SUM(split(H483, "";"")))"),"")</f>
        <v/>
      </c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  <c r="AA483" s="68"/>
    </row>
    <row r="484" ht="26.25" customHeight="1">
      <c r="A484" s="68"/>
      <c r="B484" s="68"/>
      <c r="C484" s="68"/>
      <c r="D484" s="71"/>
      <c r="E484" s="71"/>
      <c r="F484" s="71"/>
      <c r="G484" s="65" t="str">
        <f t="shared" si="1"/>
        <v/>
      </c>
      <c r="H484" s="74"/>
      <c r="I484" s="67" t="str">
        <f>IFERROR(__xludf.DUMMYFUNCTION("if($H484="""", """", AVERAGE(split($H484, "";"")))"),"")</f>
        <v/>
      </c>
      <c r="J484" s="67" t="str">
        <f>IFERROR(__xludf.DUMMYFUNCTION("if(H484="""", """", SUM(split(H484, "";"")))"),"")</f>
        <v/>
      </c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  <c r="AA484" s="68"/>
    </row>
    <row r="485" ht="26.25" customHeight="1">
      <c r="A485" s="68"/>
      <c r="B485" s="68"/>
      <c r="C485" s="68"/>
      <c r="D485" s="71"/>
      <c r="E485" s="71"/>
      <c r="F485" s="71"/>
      <c r="G485" s="65" t="str">
        <f t="shared" si="1"/>
        <v/>
      </c>
      <c r="H485" s="74"/>
      <c r="I485" s="67" t="str">
        <f>IFERROR(__xludf.DUMMYFUNCTION("if($H485="""", """", AVERAGE(split($H485, "";"")))"),"")</f>
        <v/>
      </c>
      <c r="J485" s="67" t="str">
        <f>IFERROR(__xludf.DUMMYFUNCTION("if(H485="""", """", SUM(split(H485, "";"")))"),"")</f>
        <v/>
      </c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  <c r="AA485" s="68"/>
    </row>
    <row r="486" ht="26.25" customHeight="1">
      <c r="A486" s="68"/>
      <c r="B486" s="68"/>
      <c r="C486" s="68"/>
      <c r="D486" s="71"/>
      <c r="E486" s="71"/>
      <c r="F486" s="71"/>
      <c r="G486" s="65" t="str">
        <f t="shared" si="1"/>
        <v/>
      </c>
      <c r="H486" s="74"/>
      <c r="I486" s="67" t="str">
        <f>IFERROR(__xludf.DUMMYFUNCTION("if($H486="""", """", AVERAGE(split($H486, "";"")))"),"")</f>
        <v/>
      </c>
      <c r="J486" s="67" t="str">
        <f>IFERROR(__xludf.DUMMYFUNCTION("if(H486="""", """", SUM(split(H486, "";"")))"),"")</f>
        <v/>
      </c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  <c r="AA486" s="68"/>
    </row>
    <row r="487" ht="26.25" customHeight="1">
      <c r="A487" s="68"/>
      <c r="B487" s="68"/>
      <c r="C487" s="68"/>
      <c r="D487" s="71"/>
      <c r="E487" s="71"/>
      <c r="F487" s="71"/>
      <c r="G487" s="65" t="str">
        <f t="shared" si="1"/>
        <v/>
      </c>
      <c r="H487" s="74"/>
      <c r="I487" s="67" t="str">
        <f>IFERROR(__xludf.DUMMYFUNCTION("if($H487="""", """", AVERAGE(split($H487, "";"")))"),"")</f>
        <v/>
      </c>
      <c r="J487" s="67" t="str">
        <f>IFERROR(__xludf.DUMMYFUNCTION("if(H487="""", """", SUM(split(H487, "";"")))"),"")</f>
        <v/>
      </c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  <c r="AA487" s="68"/>
    </row>
    <row r="488" ht="26.25" customHeight="1">
      <c r="A488" s="68"/>
      <c r="B488" s="68"/>
      <c r="C488" s="68"/>
      <c r="D488" s="71"/>
      <c r="E488" s="71"/>
      <c r="F488" s="71"/>
      <c r="G488" s="65" t="str">
        <f t="shared" si="1"/>
        <v/>
      </c>
      <c r="H488" s="74"/>
      <c r="I488" s="67" t="str">
        <f>IFERROR(__xludf.DUMMYFUNCTION("if($H488="""", """", AVERAGE(split($H488, "";"")))"),"")</f>
        <v/>
      </c>
      <c r="J488" s="67" t="str">
        <f>IFERROR(__xludf.DUMMYFUNCTION("if(H488="""", """", SUM(split(H488, "";"")))"),"")</f>
        <v/>
      </c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  <c r="AA488" s="68"/>
    </row>
    <row r="489" ht="26.25" customHeight="1">
      <c r="A489" s="68"/>
      <c r="B489" s="68"/>
      <c r="C489" s="68"/>
      <c r="D489" s="71"/>
      <c r="E489" s="71"/>
      <c r="F489" s="71"/>
      <c r="G489" s="65" t="str">
        <f t="shared" si="1"/>
        <v/>
      </c>
      <c r="H489" s="74"/>
      <c r="I489" s="67" t="str">
        <f>IFERROR(__xludf.DUMMYFUNCTION("if($H489="""", """", AVERAGE(split($H489, "";"")))"),"")</f>
        <v/>
      </c>
      <c r="J489" s="67" t="str">
        <f>IFERROR(__xludf.DUMMYFUNCTION("if(H489="""", """", SUM(split(H489, "";"")))"),"")</f>
        <v/>
      </c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  <c r="AA489" s="68"/>
    </row>
    <row r="490" ht="26.25" customHeight="1">
      <c r="A490" s="68"/>
      <c r="B490" s="68"/>
      <c r="C490" s="68"/>
      <c r="D490" s="71"/>
      <c r="E490" s="71"/>
      <c r="F490" s="71"/>
      <c r="G490" s="65" t="str">
        <f t="shared" si="1"/>
        <v/>
      </c>
      <c r="H490" s="74"/>
      <c r="I490" s="67" t="str">
        <f>IFERROR(__xludf.DUMMYFUNCTION("if($H490="""", """", AVERAGE(split($H490, "";"")))"),"")</f>
        <v/>
      </c>
      <c r="J490" s="67" t="str">
        <f>IFERROR(__xludf.DUMMYFUNCTION("if(H490="""", """", SUM(split(H490, "";"")))"),"")</f>
        <v/>
      </c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  <c r="AA490" s="68"/>
    </row>
    <row r="491" ht="26.25" customHeight="1">
      <c r="A491" s="68"/>
      <c r="B491" s="68"/>
      <c r="C491" s="68"/>
      <c r="D491" s="71"/>
      <c r="E491" s="71"/>
      <c r="F491" s="71"/>
      <c r="G491" s="65" t="str">
        <f t="shared" si="1"/>
        <v/>
      </c>
      <c r="H491" s="74"/>
      <c r="I491" s="67" t="str">
        <f>IFERROR(__xludf.DUMMYFUNCTION("if($H491="""", """", AVERAGE(split($H491, "";"")))"),"")</f>
        <v/>
      </c>
      <c r="J491" s="67" t="str">
        <f>IFERROR(__xludf.DUMMYFUNCTION("if(H491="""", """", SUM(split(H491, "";"")))"),"")</f>
        <v/>
      </c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  <c r="AA491" s="68"/>
    </row>
    <row r="492" ht="26.25" customHeight="1">
      <c r="A492" s="68"/>
      <c r="B492" s="68"/>
      <c r="C492" s="68"/>
      <c r="D492" s="71"/>
      <c r="E492" s="71"/>
      <c r="F492" s="71"/>
      <c r="G492" s="65" t="str">
        <f t="shared" si="1"/>
        <v/>
      </c>
      <c r="H492" s="74"/>
      <c r="I492" s="67" t="str">
        <f>IFERROR(__xludf.DUMMYFUNCTION("if($H492="""", """", AVERAGE(split($H492, "";"")))"),"")</f>
        <v/>
      </c>
      <c r="J492" s="67" t="str">
        <f>IFERROR(__xludf.DUMMYFUNCTION("if(H492="""", """", SUM(split(H492, "";"")))"),"")</f>
        <v/>
      </c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  <c r="AA492" s="68"/>
    </row>
    <row r="493" ht="26.25" customHeight="1">
      <c r="A493" s="68"/>
      <c r="B493" s="68"/>
      <c r="C493" s="68"/>
      <c r="D493" s="71"/>
      <c r="E493" s="71"/>
      <c r="F493" s="71"/>
      <c r="G493" s="65" t="str">
        <f t="shared" si="1"/>
        <v/>
      </c>
      <c r="H493" s="74"/>
      <c r="I493" s="67" t="str">
        <f>IFERROR(__xludf.DUMMYFUNCTION("if($H493="""", """", AVERAGE(split($H493, "";"")))"),"")</f>
        <v/>
      </c>
      <c r="J493" s="67" t="str">
        <f>IFERROR(__xludf.DUMMYFUNCTION("if(H493="""", """", SUM(split(H493, "";"")))"),"")</f>
        <v/>
      </c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  <c r="AA493" s="68"/>
    </row>
    <row r="494" ht="26.25" customHeight="1">
      <c r="A494" s="68"/>
      <c r="B494" s="68"/>
      <c r="C494" s="68"/>
      <c r="D494" s="71"/>
      <c r="E494" s="71"/>
      <c r="F494" s="71"/>
      <c r="G494" s="65" t="str">
        <f t="shared" si="1"/>
        <v/>
      </c>
      <c r="H494" s="74"/>
      <c r="I494" s="67" t="str">
        <f>IFERROR(__xludf.DUMMYFUNCTION("if($H494="""", """", AVERAGE(split($H494, "";"")))"),"")</f>
        <v/>
      </c>
      <c r="J494" s="67" t="str">
        <f>IFERROR(__xludf.DUMMYFUNCTION("if(H494="""", """", SUM(split(H494, "";"")))"),"")</f>
        <v/>
      </c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  <c r="AA494" s="68"/>
    </row>
    <row r="495" ht="26.25" customHeight="1">
      <c r="A495" s="68"/>
      <c r="B495" s="68"/>
      <c r="C495" s="68"/>
      <c r="D495" s="71"/>
      <c r="E495" s="71"/>
      <c r="F495" s="71"/>
      <c r="G495" s="65" t="str">
        <f t="shared" si="1"/>
        <v/>
      </c>
      <c r="H495" s="74"/>
      <c r="I495" s="67" t="str">
        <f>IFERROR(__xludf.DUMMYFUNCTION("if($H495="""", """", AVERAGE(split($H495, "";"")))"),"")</f>
        <v/>
      </c>
      <c r="J495" s="67" t="str">
        <f>IFERROR(__xludf.DUMMYFUNCTION("if(H495="""", """", SUM(split(H495, "";"")))"),"")</f>
        <v/>
      </c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  <c r="AA495" s="68"/>
    </row>
    <row r="496" ht="26.25" customHeight="1">
      <c r="A496" s="68"/>
      <c r="B496" s="68"/>
      <c r="C496" s="68"/>
      <c r="D496" s="71"/>
      <c r="E496" s="71"/>
      <c r="F496" s="71"/>
      <c r="G496" s="65" t="str">
        <f t="shared" si="1"/>
        <v/>
      </c>
      <c r="H496" s="74"/>
      <c r="I496" s="67" t="str">
        <f>IFERROR(__xludf.DUMMYFUNCTION("if($H496="""", """", AVERAGE(split($H496, "";"")))"),"")</f>
        <v/>
      </c>
      <c r="J496" s="67" t="str">
        <f>IFERROR(__xludf.DUMMYFUNCTION("if(H496="""", """", SUM(split(H496, "";"")))"),"")</f>
        <v/>
      </c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  <c r="AA496" s="68"/>
    </row>
    <row r="497" ht="26.25" customHeight="1">
      <c r="A497" s="68"/>
      <c r="B497" s="68"/>
      <c r="C497" s="68"/>
      <c r="D497" s="71"/>
      <c r="E497" s="71"/>
      <c r="F497" s="71"/>
      <c r="G497" s="65" t="str">
        <f t="shared" si="1"/>
        <v/>
      </c>
      <c r="H497" s="74"/>
      <c r="I497" s="67" t="str">
        <f>IFERROR(__xludf.DUMMYFUNCTION("if($H497="""", """", AVERAGE(split($H497, "";"")))"),"")</f>
        <v/>
      </c>
      <c r="J497" s="67" t="str">
        <f>IFERROR(__xludf.DUMMYFUNCTION("if(H497="""", """", SUM(split(H497, "";"")))"),"")</f>
        <v/>
      </c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  <c r="AA497" s="68"/>
    </row>
    <row r="498" ht="26.25" customHeight="1">
      <c r="A498" s="68"/>
      <c r="B498" s="68"/>
      <c r="C498" s="68"/>
      <c r="D498" s="71"/>
      <c r="E498" s="71"/>
      <c r="F498" s="71"/>
      <c r="G498" s="65" t="str">
        <f t="shared" si="1"/>
        <v/>
      </c>
      <c r="H498" s="74"/>
      <c r="I498" s="67" t="str">
        <f>IFERROR(__xludf.DUMMYFUNCTION("if($H498="""", """", AVERAGE(split($H498, "";"")))"),"")</f>
        <v/>
      </c>
      <c r="J498" s="67" t="str">
        <f>IFERROR(__xludf.DUMMYFUNCTION("if(H498="""", """", SUM(split(H498, "";"")))"),"")</f>
        <v/>
      </c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  <c r="AA498" s="68"/>
    </row>
    <row r="499" ht="26.25" customHeight="1">
      <c r="A499" s="68"/>
      <c r="B499" s="68"/>
      <c r="C499" s="68"/>
      <c r="D499" s="71"/>
      <c r="E499" s="71"/>
      <c r="F499" s="71"/>
      <c r="G499" s="65" t="str">
        <f t="shared" si="1"/>
        <v/>
      </c>
      <c r="H499" s="74"/>
      <c r="I499" s="67" t="str">
        <f>IFERROR(__xludf.DUMMYFUNCTION("if($H499="""", """", AVERAGE(split($H499, "";"")))"),"")</f>
        <v/>
      </c>
      <c r="J499" s="67" t="str">
        <f>IFERROR(__xludf.DUMMYFUNCTION("if(H499="""", """", SUM(split(H499, "";"")))"),"")</f>
        <v/>
      </c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  <c r="AA499" s="68"/>
    </row>
    <row r="500" ht="26.25" customHeight="1">
      <c r="A500" s="68"/>
      <c r="B500" s="68"/>
      <c r="C500" s="68"/>
      <c r="D500" s="71"/>
      <c r="E500" s="71"/>
      <c r="F500" s="71"/>
      <c r="G500" s="65" t="str">
        <f t="shared" si="1"/>
        <v/>
      </c>
      <c r="H500" s="74"/>
      <c r="I500" s="67" t="str">
        <f>IFERROR(__xludf.DUMMYFUNCTION("if($H500="""", """", AVERAGE(split($H500, "";"")))"),"")</f>
        <v/>
      </c>
      <c r="J500" s="67" t="str">
        <f>IFERROR(__xludf.DUMMYFUNCTION("if(H500="""", """", SUM(split(H500, "";"")))"),"")</f>
        <v/>
      </c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  <c r="AA500" s="68"/>
    </row>
    <row r="501" ht="26.25" customHeight="1">
      <c r="A501" s="68"/>
      <c r="B501" s="68"/>
      <c r="C501" s="68"/>
      <c r="D501" s="71"/>
      <c r="E501" s="71"/>
      <c r="F501" s="71"/>
      <c r="G501" s="65" t="str">
        <f t="shared" si="1"/>
        <v/>
      </c>
      <c r="H501" s="74"/>
      <c r="I501" s="67" t="str">
        <f>IFERROR(__xludf.DUMMYFUNCTION("if($H501="""", """", AVERAGE(split($H501, "";"")))"),"")</f>
        <v/>
      </c>
      <c r="J501" s="67" t="str">
        <f>IFERROR(__xludf.DUMMYFUNCTION("if(H501="""", """", SUM(split(H501, "";"")))"),"")</f>
        <v/>
      </c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  <c r="AA501" s="68"/>
    </row>
    <row r="502" ht="26.25" customHeight="1">
      <c r="A502" s="68"/>
      <c r="B502" s="68"/>
      <c r="C502" s="68"/>
      <c r="D502" s="71"/>
      <c r="E502" s="71"/>
      <c r="F502" s="71"/>
      <c r="G502" s="65" t="str">
        <f t="shared" si="1"/>
        <v/>
      </c>
      <c r="H502" s="74"/>
      <c r="I502" s="67" t="str">
        <f>IFERROR(__xludf.DUMMYFUNCTION("if($H502="""", """", AVERAGE(split($H502, "";"")))"),"")</f>
        <v/>
      </c>
      <c r="J502" s="67" t="str">
        <f>IFERROR(__xludf.DUMMYFUNCTION("if(H502="""", """", SUM(split(H502, "";"")))"),"")</f>
        <v/>
      </c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  <c r="AA502" s="68"/>
    </row>
    <row r="503" ht="26.25" customHeight="1">
      <c r="A503" s="68"/>
      <c r="B503" s="68"/>
      <c r="C503" s="68"/>
      <c r="D503" s="71"/>
      <c r="E503" s="71"/>
      <c r="F503" s="71"/>
      <c r="G503" s="65" t="str">
        <f t="shared" si="1"/>
        <v/>
      </c>
      <c r="H503" s="74"/>
      <c r="I503" s="67" t="str">
        <f>IFERROR(__xludf.DUMMYFUNCTION("if($H503="""", """", AVERAGE(split($H503, "";"")))"),"")</f>
        <v/>
      </c>
      <c r="J503" s="67" t="str">
        <f>IFERROR(__xludf.DUMMYFUNCTION("if(H503="""", """", SUM(split(H503, "";"")))"),"")</f>
        <v/>
      </c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  <c r="AA503" s="68"/>
    </row>
    <row r="504" ht="26.25" customHeight="1">
      <c r="A504" s="68"/>
      <c r="B504" s="68"/>
      <c r="C504" s="68"/>
      <c r="D504" s="71"/>
      <c r="E504" s="71"/>
      <c r="F504" s="71"/>
      <c r="G504" s="65" t="str">
        <f t="shared" si="1"/>
        <v/>
      </c>
      <c r="H504" s="74"/>
      <c r="I504" s="67" t="str">
        <f>IFERROR(__xludf.DUMMYFUNCTION("if($H504="""", """", AVERAGE(split($H504, "";"")))"),"")</f>
        <v/>
      </c>
      <c r="J504" s="67" t="str">
        <f>IFERROR(__xludf.DUMMYFUNCTION("if(H504="""", """", SUM(split(H504, "";"")))"),"")</f>
        <v/>
      </c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  <c r="AA504" s="68"/>
    </row>
    <row r="505" ht="26.25" customHeight="1">
      <c r="A505" s="68"/>
      <c r="B505" s="68"/>
      <c r="C505" s="68"/>
      <c r="D505" s="71"/>
      <c r="E505" s="71"/>
      <c r="F505" s="71"/>
      <c r="G505" s="65" t="str">
        <f t="shared" si="1"/>
        <v/>
      </c>
      <c r="H505" s="74"/>
      <c r="I505" s="67" t="str">
        <f>IFERROR(__xludf.DUMMYFUNCTION("if($H505="""", """", AVERAGE(split($H505, "";"")))"),"")</f>
        <v/>
      </c>
      <c r="J505" s="67" t="str">
        <f>IFERROR(__xludf.DUMMYFUNCTION("if(H505="""", """", SUM(split(H505, "";"")))"),"")</f>
        <v/>
      </c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  <c r="AA505" s="68"/>
    </row>
    <row r="506" ht="26.25" customHeight="1">
      <c r="A506" s="68"/>
      <c r="B506" s="68"/>
      <c r="C506" s="68"/>
      <c r="D506" s="71"/>
      <c r="E506" s="71"/>
      <c r="F506" s="71"/>
      <c r="G506" s="65" t="str">
        <f t="shared" si="1"/>
        <v/>
      </c>
      <c r="H506" s="74"/>
      <c r="I506" s="67" t="str">
        <f>IFERROR(__xludf.DUMMYFUNCTION("if($H506="""", """", AVERAGE(split($H506, "";"")))"),"")</f>
        <v/>
      </c>
      <c r="J506" s="67" t="str">
        <f>IFERROR(__xludf.DUMMYFUNCTION("if(H506="""", """", SUM(split(H506, "";"")))"),"")</f>
        <v/>
      </c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  <c r="AA506" s="68"/>
    </row>
    <row r="507" ht="26.25" customHeight="1">
      <c r="A507" s="68"/>
      <c r="B507" s="68"/>
      <c r="C507" s="68"/>
      <c r="D507" s="71"/>
      <c r="E507" s="71"/>
      <c r="F507" s="71"/>
      <c r="G507" s="65" t="str">
        <f t="shared" si="1"/>
        <v/>
      </c>
      <c r="H507" s="74"/>
      <c r="I507" s="67" t="str">
        <f>IFERROR(__xludf.DUMMYFUNCTION("if($H507="""", """", AVERAGE(split($H507, "";"")))"),"")</f>
        <v/>
      </c>
      <c r="J507" s="67" t="str">
        <f>IFERROR(__xludf.DUMMYFUNCTION("if(H507="""", """", SUM(split(H507, "";"")))"),"")</f>
        <v/>
      </c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  <c r="AA507" s="68"/>
    </row>
    <row r="508" ht="26.25" customHeight="1">
      <c r="A508" s="68"/>
      <c r="B508" s="68"/>
      <c r="C508" s="68"/>
      <c r="D508" s="71"/>
      <c r="E508" s="71"/>
      <c r="F508" s="71"/>
      <c r="G508" s="65" t="str">
        <f t="shared" si="1"/>
        <v/>
      </c>
      <c r="H508" s="74"/>
      <c r="I508" s="67" t="str">
        <f>IFERROR(__xludf.DUMMYFUNCTION("if($H508="""", """", AVERAGE(split($H508, "";"")))"),"")</f>
        <v/>
      </c>
      <c r="J508" s="67" t="str">
        <f>IFERROR(__xludf.DUMMYFUNCTION("if(H508="""", """", SUM(split(H508, "";"")))"),"")</f>
        <v/>
      </c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  <c r="AA508" s="68"/>
    </row>
    <row r="509" ht="26.25" customHeight="1">
      <c r="A509" s="68"/>
      <c r="B509" s="68"/>
      <c r="C509" s="68"/>
      <c r="D509" s="71"/>
      <c r="E509" s="71"/>
      <c r="F509" s="71"/>
      <c r="G509" s="65" t="str">
        <f t="shared" si="1"/>
        <v/>
      </c>
      <c r="H509" s="74"/>
      <c r="I509" s="67" t="str">
        <f>IFERROR(__xludf.DUMMYFUNCTION("if($H509="""", """", AVERAGE(split($H509, "";"")))"),"")</f>
        <v/>
      </c>
      <c r="J509" s="67" t="str">
        <f>IFERROR(__xludf.DUMMYFUNCTION("if(H509="""", """", SUM(split(H509, "";"")))"),"")</f>
        <v/>
      </c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  <c r="AA509" s="68"/>
    </row>
    <row r="510" ht="26.25" customHeight="1">
      <c r="A510" s="68"/>
      <c r="B510" s="68"/>
      <c r="C510" s="68"/>
      <c r="D510" s="71"/>
      <c r="E510" s="71"/>
      <c r="F510" s="71"/>
      <c r="G510" s="65" t="str">
        <f t="shared" si="1"/>
        <v/>
      </c>
      <c r="H510" s="74"/>
      <c r="I510" s="67" t="str">
        <f>IFERROR(__xludf.DUMMYFUNCTION("if($H510="""", """", AVERAGE(split($H510, "";"")))"),"")</f>
        <v/>
      </c>
      <c r="J510" s="67" t="str">
        <f>IFERROR(__xludf.DUMMYFUNCTION("if(H510="""", """", SUM(split(H510, "";"")))"),"")</f>
        <v/>
      </c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  <c r="AA510" s="68"/>
    </row>
    <row r="511" ht="26.25" customHeight="1">
      <c r="A511" s="68"/>
      <c r="B511" s="68"/>
      <c r="C511" s="68"/>
      <c r="D511" s="71"/>
      <c r="E511" s="71"/>
      <c r="F511" s="71"/>
      <c r="G511" s="65" t="str">
        <f t="shared" si="1"/>
        <v/>
      </c>
      <c r="H511" s="74"/>
      <c r="I511" s="67" t="str">
        <f>IFERROR(__xludf.DUMMYFUNCTION("if($H511="""", """", AVERAGE(split($H511, "";"")))"),"")</f>
        <v/>
      </c>
      <c r="J511" s="67" t="str">
        <f>IFERROR(__xludf.DUMMYFUNCTION("if(H511="""", """", SUM(split(H511, "";"")))"),"")</f>
        <v/>
      </c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  <c r="AA511" s="68"/>
    </row>
    <row r="512" ht="26.25" customHeight="1">
      <c r="A512" s="68"/>
      <c r="B512" s="68"/>
      <c r="C512" s="68"/>
      <c r="D512" s="71"/>
      <c r="E512" s="71"/>
      <c r="F512" s="71"/>
      <c r="G512" s="65" t="str">
        <f t="shared" si="1"/>
        <v/>
      </c>
      <c r="H512" s="74"/>
      <c r="I512" s="67" t="str">
        <f>IFERROR(__xludf.DUMMYFUNCTION("if($H512="""", """", AVERAGE(split($H512, "";"")))"),"")</f>
        <v/>
      </c>
      <c r="J512" s="67" t="str">
        <f>IFERROR(__xludf.DUMMYFUNCTION("if(H512="""", """", SUM(split(H512, "";"")))"),"")</f>
        <v/>
      </c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  <c r="AA512" s="68"/>
    </row>
    <row r="513" ht="26.25" customHeight="1">
      <c r="A513" s="68"/>
      <c r="B513" s="68"/>
      <c r="C513" s="68"/>
      <c r="D513" s="71"/>
      <c r="E513" s="71"/>
      <c r="F513" s="71"/>
      <c r="G513" s="65" t="str">
        <f t="shared" si="1"/>
        <v/>
      </c>
      <c r="H513" s="74"/>
      <c r="I513" s="67" t="str">
        <f>IFERROR(__xludf.DUMMYFUNCTION("if($H513="""", """", AVERAGE(split($H513, "";"")))"),"")</f>
        <v/>
      </c>
      <c r="J513" s="67" t="str">
        <f>IFERROR(__xludf.DUMMYFUNCTION("if(H513="""", """", SUM(split(H513, "";"")))"),"")</f>
        <v/>
      </c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  <c r="AA513" s="68"/>
    </row>
    <row r="514" ht="26.25" customHeight="1">
      <c r="A514" s="68"/>
      <c r="B514" s="68"/>
      <c r="C514" s="68"/>
      <c r="D514" s="71"/>
      <c r="E514" s="71"/>
      <c r="F514" s="71"/>
      <c r="G514" s="65" t="str">
        <f t="shared" si="1"/>
        <v/>
      </c>
      <c r="H514" s="74"/>
      <c r="I514" s="67" t="str">
        <f>IFERROR(__xludf.DUMMYFUNCTION("if($H514="""", """", AVERAGE(split($H514, "";"")))"),"")</f>
        <v/>
      </c>
      <c r="J514" s="67" t="str">
        <f>IFERROR(__xludf.DUMMYFUNCTION("if(H514="""", """", SUM(split(H514, "";"")))"),"")</f>
        <v/>
      </c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  <c r="AA514" s="68"/>
    </row>
    <row r="515" ht="26.25" customHeight="1">
      <c r="A515" s="68"/>
      <c r="B515" s="68"/>
      <c r="C515" s="68"/>
      <c r="D515" s="71"/>
      <c r="E515" s="71"/>
      <c r="F515" s="71"/>
      <c r="G515" s="65" t="str">
        <f t="shared" si="1"/>
        <v/>
      </c>
      <c r="H515" s="74"/>
      <c r="I515" s="67" t="str">
        <f>IFERROR(__xludf.DUMMYFUNCTION("if($H515="""", """", AVERAGE(split($H515, "";"")))"),"")</f>
        <v/>
      </c>
      <c r="J515" s="67" t="str">
        <f>IFERROR(__xludf.DUMMYFUNCTION("if(H515="""", """", SUM(split(H515, "";"")))"),"")</f>
        <v/>
      </c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  <c r="AA515" s="68"/>
    </row>
    <row r="516" ht="26.25" customHeight="1">
      <c r="A516" s="68"/>
      <c r="B516" s="68"/>
      <c r="C516" s="68"/>
      <c r="D516" s="71"/>
      <c r="E516" s="71"/>
      <c r="F516" s="71"/>
      <c r="G516" s="65" t="str">
        <f t="shared" si="1"/>
        <v/>
      </c>
      <c r="H516" s="74"/>
      <c r="I516" s="67" t="str">
        <f>IFERROR(__xludf.DUMMYFUNCTION("if($H516="""", """", AVERAGE(split($H516, "";"")))"),"")</f>
        <v/>
      </c>
      <c r="J516" s="67" t="str">
        <f>IFERROR(__xludf.DUMMYFUNCTION("if(H516="""", """", SUM(split(H516, "";"")))"),"")</f>
        <v/>
      </c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  <c r="AA516" s="68"/>
    </row>
    <row r="517" ht="26.25" customHeight="1">
      <c r="A517" s="68"/>
      <c r="B517" s="68"/>
      <c r="C517" s="68"/>
      <c r="D517" s="71"/>
      <c r="E517" s="71"/>
      <c r="F517" s="71"/>
      <c r="G517" s="65" t="str">
        <f t="shared" si="1"/>
        <v/>
      </c>
      <c r="H517" s="74"/>
      <c r="I517" s="67" t="str">
        <f>IFERROR(__xludf.DUMMYFUNCTION("if($H517="""", """", AVERAGE(split($H517, "";"")))"),"")</f>
        <v/>
      </c>
      <c r="J517" s="67" t="str">
        <f>IFERROR(__xludf.DUMMYFUNCTION("if(H517="""", """", SUM(split(H517, "";"")))"),"")</f>
        <v/>
      </c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  <c r="AA517" s="68"/>
    </row>
    <row r="518" ht="26.25" customHeight="1">
      <c r="A518" s="68"/>
      <c r="B518" s="68"/>
      <c r="C518" s="68"/>
      <c r="D518" s="71"/>
      <c r="E518" s="71"/>
      <c r="F518" s="71"/>
      <c r="G518" s="65" t="str">
        <f t="shared" si="1"/>
        <v/>
      </c>
      <c r="H518" s="74"/>
      <c r="I518" s="67" t="str">
        <f>IFERROR(__xludf.DUMMYFUNCTION("if($H518="""", """", AVERAGE(split($H518, "";"")))"),"")</f>
        <v/>
      </c>
      <c r="J518" s="67" t="str">
        <f>IFERROR(__xludf.DUMMYFUNCTION("if(H518="""", """", SUM(split(H518, "";"")))"),"")</f>
        <v/>
      </c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  <c r="AA518" s="68"/>
    </row>
    <row r="519" ht="26.25" customHeight="1">
      <c r="A519" s="68"/>
      <c r="B519" s="68"/>
      <c r="C519" s="68"/>
      <c r="D519" s="71"/>
      <c r="E519" s="71"/>
      <c r="F519" s="71"/>
      <c r="G519" s="65" t="str">
        <f t="shared" si="1"/>
        <v/>
      </c>
      <c r="H519" s="74"/>
      <c r="I519" s="67" t="str">
        <f>IFERROR(__xludf.DUMMYFUNCTION("if($H519="""", """", AVERAGE(split($H519, "";"")))"),"")</f>
        <v/>
      </c>
      <c r="J519" s="67" t="str">
        <f>IFERROR(__xludf.DUMMYFUNCTION("if(H519="""", """", SUM(split(H519, "";"")))"),"")</f>
        <v/>
      </c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  <c r="AA519" s="68"/>
    </row>
    <row r="520" ht="26.25" customHeight="1">
      <c r="A520" s="68"/>
      <c r="B520" s="68"/>
      <c r="C520" s="68"/>
      <c r="D520" s="71"/>
      <c r="E520" s="71"/>
      <c r="F520" s="71"/>
      <c r="G520" s="65" t="str">
        <f t="shared" si="1"/>
        <v/>
      </c>
      <c r="H520" s="74"/>
      <c r="I520" s="67" t="str">
        <f>IFERROR(__xludf.DUMMYFUNCTION("if($H520="""", """", AVERAGE(split($H520, "";"")))"),"")</f>
        <v/>
      </c>
      <c r="J520" s="67" t="str">
        <f>IFERROR(__xludf.DUMMYFUNCTION("if(H520="""", """", SUM(split(H520, "";"")))"),"")</f>
        <v/>
      </c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  <c r="AA520" s="68"/>
    </row>
    <row r="521" ht="26.25" customHeight="1">
      <c r="A521" s="68"/>
      <c r="B521" s="68"/>
      <c r="C521" s="68"/>
      <c r="D521" s="71"/>
      <c r="E521" s="71"/>
      <c r="F521" s="71"/>
      <c r="G521" s="65" t="str">
        <f t="shared" si="1"/>
        <v/>
      </c>
      <c r="H521" s="74"/>
      <c r="I521" s="67" t="str">
        <f>IFERROR(__xludf.DUMMYFUNCTION("if($H521="""", """", AVERAGE(split($H521, "";"")))"),"")</f>
        <v/>
      </c>
      <c r="J521" s="67" t="str">
        <f>IFERROR(__xludf.DUMMYFUNCTION("if(H521="""", """", SUM(split(H521, "";"")))"),"")</f>
        <v/>
      </c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  <c r="AA521" s="68"/>
    </row>
    <row r="522" ht="26.25" customHeight="1">
      <c r="A522" s="68"/>
      <c r="B522" s="68"/>
      <c r="C522" s="68"/>
      <c r="D522" s="71"/>
      <c r="E522" s="71"/>
      <c r="F522" s="71"/>
      <c r="G522" s="65" t="str">
        <f t="shared" si="1"/>
        <v/>
      </c>
      <c r="H522" s="74"/>
      <c r="I522" s="67" t="str">
        <f>IFERROR(__xludf.DUMMYFUNCTION("if($H522="""", """", AVERAGE(split($H522, "";"")))"),"")</f>
        <v/>
      </c>
      <c r="J522" s="67" t="str">
        <f>IFERROR(__xludf.DUMMYFUNCTION("if(H522="""", """", SUM(split(H522, "";"")))"),"")</f>
        <v/>
      </c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  <c r="AA522" s="68"/>
    </row>
    <row r="523" ht="26.25" customHeight="1">
      <c r="A523" s="68"/>
      <c r="B523" s="68"/>
      <c r="C523" s="68"/>
      <c r="D523" s="71"/>
      <c r="E523" s="71"/>
      <c r="F523" s="71"/>
      <c r="G523" s="65" t="str">
        <f t="shared" si="1"/>
        <v/>
      </c>
      <c r="H523" s="74"/>
      <c r="I523" s="67" t="str">
        <f>IFERROR(__xludf.DUMMYFUNCTION("if($H523="""", """", AVERAGE(split($H523, "";"")))"),"")</f>
        <v/>
      </c>
      <c r="J523" s="67" t="str">
        <f>IFERROR(__xludf.DUMMYFUNCTION("if(H523="""", """", SUM(split(H523, "";"")))"),"")</f>
        <v/>
      </c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  <c r="AA523" s="68"/>
    </row>
    <row r="524" ht="26.25" customHeight="1">
      <c r="A524" s="68"/>
      <c r="B524" s="68"/>
      <c r="C524" s="68"/>
      <c r="D524" s="71"/>
      <c r="E524" s="71"/>
      <c r="F524" s="71"/>
      <c r="G524" s="65" t="str">
        <f t="shared" si="1"/>
        <v/>
      </c>
      <c r="H524" s="74"/>
      <c r="I524" s="67" t="str">
        <f>IFERROR(__xludf.DUMMYFUNCTION("if($H524="""", """", AVERAGE(split($H524, "";"")))"),"")</f>
        <v/>
      </c>
      <c r="J524" s="67" t="str">
        <f>IFERROR(__xludf.DUMMYFUNCTION("if(H524="""", """", SUM(split(H524, "";"")))"),"")</f>
        <v/>
      </c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  <c r="AA524" s="68"/>
    </row>
    <row r="525" ht="26.25" customHeight="1">
      <c r="A525" s="68"/>
      <c r="B525" s="68"/>
      <c r="C525" s="68"/>
      <c r="D525" s="71"/>
      <c r="E525" s="71"/>
      <c r="F525" s="71"/>
      <c r="G525" s="65" t="str">
        <f t="shared" si="1"/>
        <v/>
      </c>
      <c r="H525" s="74"/>
      <c r="I525" s="67" t="str">
        <f>IFERROR(__xludf.DUMMYFUNCTION("if($H525="""", """", AVERAGE(split($H525, "";"")))"),"")</f>
        <v/>
      </c>
      <c r="J525" s="67" t="str">
        <f>IFERROR(__xludf.DUMMYFUNCTION("if(H525="""", """", SUM(split(H525, "";"")))"),"")</f>
        <v/>
      </c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  <c r="AA525" s="68"/>
    </row>
    <row r="526" ht="26.25" customHeight="1">
      <c r="A526" s="68"/>
      <c r="B526" s="68"/>
      <c r="C526" s="68"/>
      <c r="D526" s="71"/>
      <c r="E526" s="71"/>
      <c r="F526" s="71"/>
      <c r="G526" s="65" t="str">
        <f t="shared" si="1"/>
        <v/>
      </c>
      <c r="H526" s="74"/>
      <c r="I526" s="67" t="str">
        <f>IFERROR(__xludf.DUMMYFUNCTION("if($H526="""", """", AVERAGE(split($H526, "";"")))"),"")</f>
        <v/>
      </c>
      <c r="J526" s="67" t="str">
        <f>IFERROR(__xludf.DUMMYFUNCTION("if(H526="""", """", SUM(split(H526, "";"")))"),"")</f>
        <v/>
      </c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  <c r="AA526" s="68"/>
    </row>
    <row r="527" ht="26.25" customHeight="1">
      <c r="A527" s="68"/>
      <c r="B527" s="68"/>
      <c r="C527" s="68"/>
      <c r="D527" s="71"/>
      <c r="E527" s="71"/>
      <c r="F527" s="71"/>
      <c r="G527" s="65" t="str">
        <f t="shared" si="1"/>
        <v/>
      </c>
      <c r="H527" s="74"/>
      <c r="I527" s="67" t="str">
        <f>IFERROR(__xludf.DUMMYFUNCTION("if($H527="""", """", AVERAGE(split($H527, "";"")))"),"")</f>
        <v/>
      </c>
      <c r="J527" s="67" t="str">
        <f>IFERROR(__xludf.DUMMYFUNCTION("if(H527="""", """", SUM(split(H527, "";"")))"),"")</f>
        <v/>
      </c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  <c r="AA527" s="68"/>
    </row>
    <row r="528" ht="26.25" customHeight="1">
      <c r="A528" s="68"/>
      <c r="B528" s="68"/>
      <c r="C528" s="68"/>
      <c r="D528" s="71"/>
      <c r="E528" s="71"/>
      <c r="F528" s="71"/>
      <c r="G528" s="65" t="str">
        <f t="shared" si="1"/>
        <v/>
      </c>
      <c r="H528" s="74"/>
      <c r="I528" s="67" t="str">
        <f>IFERROR(__xludf.DUMMYFUNCTION("if($H528="""", """", AVERAGE(split($H528, "";"")))"),"")</f>
        <v/>
      </c>
      <c r="J528" s="67" t="str">
        <f>IFERROR(__xludf.DUMMYFUNCTION("if(H528="""", """", SUM(split(H528, "";"")))"),"")</f>
        <v/>
      </c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  <c r="AA528" s="68"/>
    </row>
    <row r="529" ht="26.25" customHeight="1">
      <c r="A529" s="68"/>
      <c r="B529" s="68"/>
      <c r="C529" s="68"/>
      <c r="D529" s="71"/>
      <c r="E529" s="71"/>
      <c r="F529" s="71"/>
      <c r="G529" s="65" t="str">
        <f t="shared" si="1"/>
        <v/>
      </c>
      <c r="H529" s="74"/>
      <c r="I529" s="67" t="str">
        <f>IFERROR(__xludf.DUMMYFUNCTION("if($H529="""", """", AVERAGE(split($H529, "";"")))"),"")</f>
        <v/>
      </c>
      <c r="J529" s="67" t="str">
        <f>IFERROR(__xludf.DUMMYFUNCTION("if(H529="""", """", SUM(split(H529, "";"")))"),"")</f>
        <v/>
      </c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  <c r="AA529" s="68"/>
    </row>
    <row r="530" ht="26.25" customHeight="1">
      <c r="A530" s="68"/>
      <c r="B530" s="68"/>
      <c r="C530" s="68"/>
      <c r="D530" s="71"/>
      <c r="E530" s="71"/>
      <c r="F530" s="71"/>
      <c r="G530" s="65" t="str">
        <f t="shared" si="1"/>
        <v/>
      </c>
      <c r="H530" s="74"/>
      <c r="I530" s="67" t="str">
        <f>IFERROR(__xludf.DUMMYFUNCTION("if($H530="""", """", AVERAGE(split($H530, "";"")))"),"")</f>
        <v/>
      </c>
      <c r="J530" s="67" t="str">
        <f>IFERROR(__xludf.DUMMYFUNCTION("if(H530="""", """", SUM(split(H530, "";"")))"),"")</f>
        <v/>
      </c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  <c r="AA530" s="68"/>
    </row>
    <row r="531" ht="26.25" customHeight="1">
      <c r="A531" s="68"/>
      <c r="B531" s="68"/>
      <c r="C531" s="68"/>
      <c r="D531" s="71"/>
      <c r="E531" s="71"/>
      <c r="F531" s="71"/>
      <c r="G531" s="65" t="str">
        <f t="shared" si="1"/>
        <v/>
      </c>
      <c r="H531" s="74"/>
      <c r="I531" s="67" t="str">
        <f>IFERROR(__xludf.DUMMYFUNCTION("if($H531="""", """", AVERAGE(split($H531, "";"")))"),"")</f>
        <v/>
      </c>
      <c r="J531" s="67" t="str">
        <f>IFERROR(__xludf.DUMMYFUNCTION("if(H531="""", """", SUM(split(H531, "";"")))"),"")</f>
        <v/>
      </c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  <c r="AA531" s="68"/>
    </row>
    <row r="532" ht="26.25" customHeight="1">
      <c r="A532" s="68"/>
      <c r="B532" s="68"/>
      <c r="C532" s="68"/>
      <c r="D532" s="71"/>
      <c r="E532" s="71"/>
      <c r="F532" s="71"/>
      <c r="G532" s="65" t="str">
        <f t="shared" si="1"/>
        <v/>
      </c>
      <c r="H532" s="74"/>
      <c r="I532" s="67" t="str">
        <f>IFERROR(__xludf.DUMMYFUNCTION("if($H532="""", """", AVERAGE(split($H532, "";"")))"),"")</f>
        <v/>
      </c>
      <c r="J532" s="67" t="str">
        <f>IFERROR(__xludf.DUMMYFUNCTION("if(H532="""", """", SUM(split(H532, "";"")))"),"")</f>
        <v/>
      </c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  <c r="AA532" s="68"/>
    </row>
    <row r="533" ht="26.25" customHeight="1">
      <c r="A533" s="68"/>
      <c r="B533" s="68"/>
      <c r="C533" s="68"/>
      <c r="D533" s="71"/>
      <c r="E533" s="71"/>
      <c r="F533" s="71"/>
      <c r="G533" s="65" t="str">
        <f t="shared" si="1"/>
        <v/>
      </c>
      <c r="H533" s="74"/>
      <c r="I533" s="67" t="str">
        <f>IFERROR(__xludf.DUMMYFUNCTION("if($H533="""", """", AVERAGE(split($H533, "";"")))"),"")</f>
        <v/>
      </c>
      <c r="J533" s="67" t="str">
        <f>IFERROR(__xludf.DUMMYFUNCTION("if(H533="""", """", SUM(split(H533, "";"")))"),"")</f>
        <v/>
      </c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  <c r="AA533" s="68"/>
    </row>
    <row r="534" ht="26.25" customHeight="1">
      <c r="A534" s="68"/>
      <c r="B534" s="68"/>
      <c r="C534" s="68"/>
      <c r="D534" s="71"/>
      <c r="E534" s="71"/>
      <c r="F534" s="71"/>
      <c r="G534" s="65" t="str">
        <f t="shared" si="1"/>
        <v/>
      </c>
      <c r="H534" s="74"/>
      <c r="I534" s="67" t="str">
        <f>IFERROR(__xludf.DUMMYFUNCTION("if($H534="""", """", AVERAGE(split($H534, "";"")))"),"")</f>
        <v/>
      </c>
      <c r="J534" s="67" t="str">
        <f>IFERROR(__xludf.DUMMYFUNCTION("if(H534="""", """", SUM(split(H534, "";"")))"),"")</f>
        <v/>
      </c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  <c r="AA534" s="68"/>
    </row>
    <row r="535" ht="26.25" customHeight="1">
      <c r="A535" s="68"/>
      <c r="B535" s="68"/>
      <c r="C535" s="68"/>
      <c r="D535" s="71"/>
      <c r="E535" s="71"/>
      <c r="F535" s="71"/>
      <c r="G535" s="65" t="str">
        <f t="shared" si="1"/>
        <v/>
      </c>
      <c r="H535" s="74"/>
      <c r="I535" s="67" t="str">
        <f>IFERROR(__xludf.DUMMYFUNCTION("if($H535="""", """", AVERAGE(split($H535, "";"")))"),"")</f>
        <v/>
      </c>
      <c r="J535" s="67" t="str">
        <f>IFERROR(__xludf.DUMMYFUNCTION("if(H535="""", """", SUM(split(H535, "";"")))"),"")</f>
        <v/>
      </c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  <c r="AA535" s="68"/>
    </row>
    <row r="536" ht="26.25" customHeight="1">
      <c r="A536" s="68"/>
      <c r="B536" s="68"/>
      <c r="C536" s="68"/>
      <c r="D536" s="71"/>
      <c r="E536" s="71"/>
      <c r="F536" s="71"/>
      <c r="G536" s="65" t="str">
        <f t="shared" si="1"/>
        <v/>
      </c>
      <c r="H536" s="74"/>
      <c r="I536" s="67" t="str">
        <f>IFERROR(__xludf.DUMMYFUNCTION("if($H536="""", """", AVERAGE(split($H536, "";"")))"),"")</f>
        <v/>
      </c>
      <c r="J536" s="67" t="str">
        <f>IFERROR(__xludf.DUMMYFUNCTION("if(H536="""", """", SUM(split(H536, "";"")))"),"")</f>
        <v/>
      </c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  <c r="AA536" s="68"/>
    </row>
    <row r="537" ht="26.25" customHeight="1">
      <c r="A537" s="68"/>
      <c r="B537" s="68"/>
      <c r="C537" s="68"/>
      <c r="D537" s="71"/>
      <c r="E537" s="71"/>
      <c r="F537" s="71"/>
      <c r="G537" s="65" t="str">
        <f t="shared" si="1"/>
        <v/>
      </c>
      <c r="H537" s="74"/>
      <c r="I537" s="67" t="str">
        <f>IFERROR(__xludf.DUMMYFUNCTION("if($H537="""", """", AVERAGE(split($H537, "";"")))"),"")</f>
        <v/>
      </c>
      <c r="J537" s="67" t="str">
        <f>IFERROR(__xludf.DUMMYFUNCTION("if(H537="""", """", SUM(split(H537, "";"")))"),"")</f>
        <v/>
      </c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  <c r="AA537" s="68"/>
    </row>
    <row r="538" ht="26.25" customHeight="1">
      <c r="A538" s="68"/>
      <c r="B538" s="68"/>
      <c r="C538" s="68"/>
      <c r="D538" s="71"/>
      <c r="E538" s="71"/>
      <c r="F538" s="71"/>
      <c r="G538" s="65" t="str">
        <f t="shared" si="1"/>
        <v/>
      </c>
      <c r="H538" s="74"/>
      <c r="I538" s="67" t="str">
        <f>IFERROR(__xludf.DUMMYFUNCTION("if($H538="""", """", AVERAGE(split($H538, "";"")))"),"")</f>
        <v/>
      </c>
      <c r="J538" s="67" t="str">
        <f>IFERROR(__xludf.DUMMYFUNCTION("if(H538="""", """", SUM(split(H538, "";"")))"),"")</f>
        <v/>
      </c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  <c r="AA538" s="68"/>
    </row>
    <row r="539" ht="26.25" customHeight="1">
      <c r="A539" s="68"/>
      <c r="B539" s="68"/>
      <c r="C539" s="68"/>
      <c r="D539" s="71"/>
      <c r="E539" s="71"/>
      <c r="F539" s="71"/>
      <c r="G539" s="65" t="str">
        <f t="shared" si="1"/>
        <v/>
      </c>
      <c r="H539" s="74"/>
      <c r="I539" s="67" t="str">
        <f>IFERROR(__xludf.DUMMYFUNCTION("if($H539="""", """", AVERAGE(split($H539, "";"")))"),"")</f>
        <v/>
      </c>
      <c r="J539" s="67" t="str">
        <f>IFERROR(__xludf.DUMMYFUNCTION("if(H539="""", """", SUM(split(H539, "";"")))"),"")</f>
        <v/>
      </c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  <c r="AA539" s="68"/>
    </row>
    <row r="540" ht="26.25" customHeight="1">
      <c r="A540" s="68"/>
      <c r="B540" s="68"/>
      <c r="C540" s="68"/>
      <c r="D540" s="71"/>
      <c r="E540" s="71"/>
      <c r="F540" s="71"/>
      <c r="G540" s="65" t="str">
        <f t="shared" si="1"/>
        <v/>
      </c>
      <c r="H540" s="74"/>
      <c r="I540" s="67" t="str">
        <f>IFERROR(__xludf.DUMMYFUNCTION("if($H540="""", """", AVERAGE(split($H540, "";"")))"),"")</f>
        <v/>
      </c>
      <c r="J540" s="67" t="str">
        <f>IFERROR(__xludf.DUMMYFUNCTION("if(H540="""", """", SUM(split(H540, "";"")))"),"")</f>
        <v/>
      </c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  <c r="AA540" s="68"/>
    </row>
    <row r="541" ht="26.25" customHeight="1">
      <c r="A541" s="68"/>
      <c r="B541" s="68"/>
      <c r="C541" s="68"/>
      <c r="D541" s="71"/>
      <c r="E541" s="71"/>
      <c r="F541" s="71"/>
      <c r="G541" s="65" t="str">
        <f t="shared" si="1"/>
        <v/>
      </c>
      <c r="H541" s="74"/>
      <c r="I541" s="67" t="str">
        <f>IFERROR(__xludf.DUMMYFUNCTION("if($H541="""", """", AVERAGE(split($H541, "";"")))"),"")</f>
        <v/>
      </c>
      <c r="J541" s="67" t="str">
        <f>IFERROR(__xludf.DUMMYFUNCTION("if(H541="""", """", SUM(split(H541, "";"")))"),"")</f>
        <v/>
      </c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  <c r="AA541" s="68"/>
    </row>
    <row r="542" ht="26.25" customHeight="1">
      <c r="A542" s="68"/>
      <c r="B542" s="68"/>
      <c r="C542" s="68"/>
      <c r="D542" s="71"/>
      <c r="E542" s="71"/>
      <c r="F542" s="71"/>
      <c r="G542" s="65" t="str">
        <f t="shared" si="1"/>
        <v/>
      </c>
      <c r="H542" s="74"/>
      <c r="I542" s="67" t="str">
        <f>IFERROR(__xludf.DUMMYFUNCTION("if($H542="""", """", AVERAGE(split($H542, "";"")))"),"")</f>
        <v/>
      </c>
      <c r="J542" s="67" t="str">
        <f>IFERROR(__xludf.DUMMYFUNCTION("if(H542="""", """", SUM(split(H542, "";"")))"),"")</f>
        <v/>
      </c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  <c r="AA542" s="68"/>
    </row>
    <row r="543" ht="26.25" customHeight="1">
      <c r="A543" s="68"/>
      <c r="B543" s="68"/>
      <c r="C543" s="68"/>
      <c r="D543" s="71"/>
      <c r="E543" s="71"/>
      <c r="F543" s="71"/>
      <c r="G543" s="65" t="str">
        <f t="shared" si="1"/>
        <v/>
      </c>
      <c r="H543" s="74"/>
      <c r="I543" s="67" t="str">
        <f>IFERROR(__xludf.DUMMYFUNCTION("if($H543="""", """", AVERAGE(split($H543, "";"")))"),"")</f>
        <v/>
      </c>
      <c r="J543" s="67" t="str">
        <f>IFERROR(__xludf.DUMMYFUNCTION("if(H543="""", """", SUM(split(H543, "";"")))"),"")</f>
        <v/>
      </c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  <c r="AA543" s="68"/>
    </row>
    <row r="544" ht="26.25" customHeight="1">
      <c r="A544" s="68"/>
      <c r="B544" s="68"/>
      <c r="C544" s="68"/>
      <c r="D544" s="71"/>
      <c r="E544" s="71"/>
      <c r="F544" s="71"/>
      <c r="G544" s="65" t="str">
        <f t="shared" si="1"/>
        <v/>
      </c>
      <c r="H544" s="74"/>
      <c r="I544" s="67" t="str">
        <f>IFERROR(__xludf.DUMMYFUNCTION("if($H544="""", """", AVERAGE(split($H544, "";"")))"),"")</f>
        <v/>
      </c>
      <c r="J544" s="67" t="str">
        <f>IFERROR(__xludf.DUMMYFUNCTION("if(H544="""", """", SUM(split(H544, "";"")))"),"")</f>
        <v/>
      </c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  <c r="AA544" s="68"/>
    </row>
    <row r="545" ht="26.25" customHeight="1">
      <c r="A545" s="68"/>
      <c r="B545" s="68"/>
      <c r="C545" s="68"/>
      <c r="D545" s="71"/>
      <c r="E545" s="71"/>
      <c r="F545" s="71"/>
      <c r="G545" s="65" t="str">
        <f t="shared" si="1"/>
        <v/>
      </c>
      <c r="H545" s="74"/>
      <c r="I545" s="67" t="str">
        <f>IFERROR(__xludf.DUMMYFUNCTION("if($H545="""", """", AVERAGE(split($H545, "";"")))"),"")</f>
        <v/>
      </c>
      <c r="J545" s="67" t="str">
        <f>IFERROR(__xludf.DUMMYFUNCTION("if(H545="""", """", SUM(split(H545, "";"")))"),"")</f>
        <v/>
      </c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  <c r="AA545" s="68"/>
    </row>
    <row r="546" ht="26.25" customHeight="1">
      <c r="A546" s="68"/>
      <c r="B546" s="68"/>
      <c r="C546" s="68"/>
      <c r="D546" s="71"/>
      <c r="E546" s="71"/>
      <c r="F546" s="71"/>
      <c r="G546" s="65" t="str">
        <f t="shared" si="1"/>
        <v/>
      </c>
      <c r="H546" s="74"/>
      <c r="I546" s="67" t="str">
        <f>IFERROR(__xludf.DUMMYFUNCTION("if($H546="""", """", AVERAGE(split($H546, "";"")))"),"")</f>
        <v/>
      </c>
      <c r="J546" s="67" t="str">
        <f>IFERROR(__xludf.DUMMYFUNCTION("if(H546="""", """", SUM(split(H546, "";"")))"),"")</f>
        <v/>
      </c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  <c r="AA546" s="68"/>
    </row>
    <row r="547" ht="26.25" customHeight="1">
      <c r="A547" s="68"/>
      <c r="B547" s="68"/>
      <c r="C547" s="68"/>
      <c r="D547" s="71"/>
      <c r="E547" s="71"/>
      <c r="F547" s="71"/>
      <c r="G547" s="65" t="str">
        <f t="shared" si="1"/>
        <v/>
      </c>
      <c r="H547" s="74"/>
      <c r="I547" s="67" t="str">
        <f>IFERROR(__xludf.DUMMYFUNCTION("if($H547="""", """", AVERAGE(split($H547, "";"")))"),"")</f>
        <v/>
      </c>
      <c r="J547" s="67" t="str">
        <f>IFERROR(__xludf.DUMMYFUNCTION("if(H547="""", """", SUM(split(H547, "";"")))"),"")</f>
        <v/>
      </c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  <c r="AA547" s="68"/>
    </row>
    <row r="548" ht="26.25" customHeight="1">
      <c r="A548" s="68"/>
      <c r="B548" s="68"/>
      <c r="C548" s="68"/>
      <c r="D548" s="71"/>
      <c r="E548" s="71"/>
      <c r="F548" s="71"/>
      <c r="G548" s="65" t="str">
        <f t="shared" si="1"/>
        <v/>
      </c>
      <c r="H548" s="74"/>
      <c r="I548" s="67" t="str">
        <f>IFERROR(__xludf.DUMMYFUNCTION("if($H548="""", """", AVERAGE(split($H548, "";"")))"),"")</f>
        <v/>
      </c>
      <c r="J548" s="67" t="str">
        <f>IFERROR(__xludf.DUMMYFUNCTION("if(H548="""", """", SUM(split(H548, "";"")))"),"")</f>
        <v/>
      </c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  <c r="AA548" s="68"/>
    </row>
    <row r="549" ht="26.25" customHeight="1">
      <c r="A549" s="68"/>
      <c r="B549" s="68"/>
      <c r="C549" s="68"/>
      <c r="D549" s="71"/>
      <c r="E549" s="71"/>
      <c r="F549" s="71"/>
      <c r="G549" s="65" t="str">
        <f t="shared" si="1"/>
        <v/>
      </c>
      <c r="H549" s="74"/>
      <c r="I549" s="67" t="str">
        <f>IFERROR(__xludf.DUMMYFUNCTION("if($H549="""", """", AVERAGE(split($H549, "";"")))"),"")</f>
        <v/>
      </c>
      <c r="J549" s="67" t="str">
        <f>IFERROR(__xludf.DUMMYFUNCTION("if(H549="""", """", SUM(split(H549, "";"")))"),"")</f>
        <v/>
      </c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  <c r="AA549" s="68"/>
    </row>
    <row r="550" ht="26.25" customHeight="1">
      <c r="A550" s="68"/>
      <c r="B550" s="68"/>
      <c r="C550" s="68"/>
      <c r="D550" s="71"/>
      <c r="E550" s="71"/>
      <c r="F550" s="71"/>
      <c r="G550" s="65" t="str">
        <f t="shared" si="1"/>
        <v/>
      </c>
      <c r="H550" s="74"/>
      <c r="I550" s="67" t="str">
        <f>IFERROR(__xludf.DUMMYFUNCTION("if($H550="""", """", AVERAGE(split($H550, "";"")))"),"")</f>
        <v/>
      </c>
      <c r="J550" s="67" t="str">
        <f>IFERROR(__xludf.DUMMYFUNCTION("if(H550="""", """", SUM(split(H550, "";"")))"),"")</f>
        <v/>
      </c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  <c r="AA550" s="68"/>
    </row>
    <row r="551" ht="26.25" customHeight="1">
      <c r="A551" s="68"/>
      <c r="B551" s="68"/>
      <c r="C551" s="68"/>
      <c r="D551" s="71"/>
      <c r="E551" s="71"/>
      <c r="F551" s="71"/>
      <c r="G551" s="65" t="str">
        <f t="shared" si="1"/>
        <v/>
      </c>
      <c r="H551" s="74"/>
      <c r="I551" s="67" t="str">
        <f>IFERROR(__xludf.DUMMYFUNCTION("if($H551="""", """", AVERAGE(split($H551, "";"")))"),"")</f>
        <v/>
      </c>
      <c r="J551" s="67" t="str">
        <f>IFERROR(__xludf.DUMMYFUNCTION("if(H551="""", """", SUM(split(H551, "";"")))"),"")</f>
        <v/>
      </c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  <c r="AA551" s="68"/>
    </row>
    <row r="552" ht="26.25" customHeight="1">
      <c r="A552" s="68"/>
      <c r="B552" s="68"/>
      <c r="C552" s="68"/>
      <c r="D552" s="71"/>
      <c r="E552" s="71"/>
      <c r="F552" s="71"/>
      <c r="G552" s="65" t="str">
        <f t="shared" si="1"/>
        <v/>
      </c>
      <c r="H552" s="74"/>
      <c r="I552" s="67" t="str">
        <f>IFERROR(__xludf.DUMMYFUNCTION("if($H552="""", """", AVERAGE(split($H552, "";"")))"),"")</f>
        <v/>
      </c>
      <c r="J552" s="67" t="str">
        <f>IFERROR(__xludf.DUMMYFUNCTION("if(H552="""", """", SUM(split(H552, "";"")))"),"")</f>
        <v/>
      </c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  <c r="AA552" s="68"/>
    </row>
    <row r="553" ht="26.25" customHeight="1">
      <c r="A553" s="68"/>
      <c r="B553" s="68"/>
      <c r="C553" s="68"/>
      <c r="D553" s="71"/>
      <c r="E553" s="71"/>
      <c r="F553" s="71"/>
      <c r="G553" s="65" t="str">
        <f t="shared" si="1"/>
        <v/>
      </c>
      <c r="H553" s="74"/>
      <c r="I553" s="67" t="str">
        <f>IFERROR(__xludf.DUMMYFUNCTION("if($H553="""", """", AVERAGE(split($H553, "";"")))"),"")</f>
        <v/>
      </c>
      <c r="J553" s="67" t="str">
        <f>IFERROR(__xludf.DUMMYFUNCTION("if(H553="""", """", SUM(split(H553, "";"")))"),"")</f>
        <v/>
      </c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  <c r="AA553" s="68"/>
    </row>
    <row r="554" ht="26.25" customHeight="1">
      <c r="A554" s="68"/>
      <c r="B554" s="68"/>
      <c r="C554" s="68"/>
      <c r="D554" s="71"/>
      <c r="E554" s="71"/>
      <c r="F554" s="71"/>
      <c r="G554" s="65" t="str">
        <f t="shared" si="1"/>
        <v/>
      </c>
      <c r="H554" s="74"/>
      <c r="I554" s="67" t="str">
        <f>IFERROR(__xludf.DUMMYFUNCTION("if($H554="""", """", AVERAGE(split($H554, "";"")))"),"")</f>
        <v/>
      </c>
      <c r="J554" s="67" t="str">
        <f>IFERROR(__xludf.DUMMYFUNCTION("if(H554="""", """", SUM(split(H554, "";"")))"),"")</f>
        <v/>
      </c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  <c r="AA554" s="68"/>
    </row>
    <row r="555" ht="26.25" customHeight="1">
      <c r="A555" s="68"/>
      <c r="B555" s="68"/>
      <c r="C555" s="68"/>
      <c r="D555" s="71"/>
      <c r="E555" s="71"/>
      <c r="F555" s="71"/>
      <c r="G555" s="65" t="str">
        <f t="shared" si="1"/>
        <v/>
      </c>
      <c r="H555" s="74"/>
      <c r="I555" s="67" t="str">
        <f>IFERROR(__xludf.DUMMYFUNCTION("if($H555="""", """", AVERAGE(split($H555, "";"")))"),"")</f>
        <v/>
      </c>
      <c r="J555" s="67" t="str">
        <f>IFERROR(__xludf.DUMMYFUNCTION("if(H555="""", """", SUM(split(H555, "";"")))"),"")</f>
        <v/>
      </c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  <c r="AA555" s="68"/>
    </row>
    <row r="556" ht="26.25" customHeight="1">
      <c r="A556" s="68"/>
      <c r="B556" s="68"/>
      <c r="C556" s="68"/>
      <c r="D556" s="71"/>
      <c r="E556" s="71"/>
      <c r="F556" s="71"/>
      <c r="G556" s="65" t="str">
        <f t="shared" si="1"/>
        <v/>
      </c>
      <c r="H556" s="74"/>
      <c r="I556" s="67" t="str">
        <f>IFERROR(__xludf.DUMMYFUNCTION("if($H556="""", """", AVERAGE(split($H556, "";"")))"),"")</f>
        <v/>
      </c>
      <c r="J556" s="67" t="str">
        <f>IFERROR(__xludf.DUMMYFUNCTION("if(H556="""", """", SUM(split(H556, "";"")))"),"")</f>
        <v/>
      </c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  <c r="AA556" s="68"/>
    </row>
    <row r="557" ht="26.25" customHeight="1">
      <c r="A557" s="68"/>
      <c r="B557" s="68"/>
      <c r="C557" s="68"/>
      <c r="D557" s="71"/>
      <c r="E557" s="71"/>
      <c r="F557" s="71"/>
      <c r="G557" s="65" t="str">
        <f t="shared" si="1"/>
        <v/>
      </c>
      <c r="H557" s="74"/>
      <c r="I557" s="67" t="str">
        <f>IFERROR(__xludf.DUMMYFUNCTION("if($H557="""", """", AVERAGE(split($H557, "";"")))"),"")</f>
        <v/>
      </c>
      <c r="J557" s="67" t="str">
        <f>IFERROR(__xludf.DUMMYFUNCTION("if(H557="""", """", SUM(split(H557, "";"")))"),"")</f>
        <v/>
      </c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  <c r="AA557" s="68"/>
    </row>
    <row r="558" ht="26.25" customHeight="1">
      <c r="A558" s="68"/>
      <c r="B558" s="68"/>
      <c r="C558" s="68"/>
      <c r="D558" s="71"/>
      <c r="E558" s="71"/>
      <c r="F558" s="71"/>
      <c r="G558" s="65" t="str">
        <f t="shared" si="1"/>
        <v/>
      </c>
      <c r="H558" s="74"/>
      <c r="I558" s="67" t="str">
        <f>IFERROR(__xludf.DUMMYFUNCTION("if($H558="""", """", AVERAGE(split($H558, "";"")))"),"")</f>
        <v/>
      </c>
      <c r="J558" s="67" t="str">
        <f>IFERROR(__xludf.DUMMYFUNCTION("if(H558="""", """", SUM(split(H558, "";"")))"),"")</f>
        <v/>
      </c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  <c r="AA558" s="68"/>
    </row>
    <row r="559" ht="26.25" customHeight="1">
      <c r="A559" s="68"/>
      <c r="B559" s="68"/>
      <c r="C559" s="68"/>
      <c r="D559" s="71"/>
      <c r="E559" s="71"/>
      <c r="F559" s="71"/>
      <c r="G559" s="65" t="str">
        <f t="shared" si="1"/>
        <v/>
      </c>
      <c r="H559" s="74"/>
      <c r="I559" s="67" t="str">
        <f>IFERROR(__xludf.DUMMYFUNCTION("if($H559="""", """", AVERAGE(split($H559, "";"")))"),"")</f>
        <v/>
      </c>
      <c r="J559" s="67" t="str">
        <f>IFERROR(__xludf.DUMMYFUNCTION("if(H559="""", """", SUM(split(H559, "";"")))"),"")</f>
        <v/>
      </c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  <c r="AA559" s="68"/>
    </row>
    <row r="560" ht="26.25" customHeight="1">
      <c r="A560" s="68"/>
      <c r="B560" s="68"/>
      <c r="C560" s="68"/>
      <c r="D560" s="71"/>
      <c r="E560" s="71"/>
      <c r="F560" s="71"/>
      <c r="G560" s="65" t="str">
        <f t="shared" si="1"/>
        <v/>
      </c>
      <c r="H560" s="74"/>
      <c r="I560" s="67" t="str">
        <f>IFERROR(__xludf.DUMMYFUNCTION("if($H560="""", """", AVERAGE(split($H560, "";"")))"),"")</f>
        <v/>
      </c>
      <c r="J560" s="67" t="str">
        <f>IFERROR(__xludf.DUMMYFUNCTION("if(H560="""", """", SUM(split(H560, "";"")))"),"")</f>
        <v/>
      </c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  <c r="AA560" s="68"/>
    </row>
    <row r="561" ht="26.25" customHeight="1">
      <c r="A561" s="68"/>
      <c r="B561" s="68"/>
      <c r="C561" s="68"/>
      <c r="D561" s="71"/>
      <c r="E561" s="71"/>
      <c r="F561" s="71"/>
      <c r="G561" s="65" t="str">
        <f t="shared" si="1"/>
        <v/>
      </c>
      <c r="H561" s="74"/>
      <c r="I561" s="67" t="str">
        <f>IFERROR(__xludf.DUMMYFUNCTION("if($H561="""", """", AVERAGE(split($H561, "";"")))"),"")</f>
        <v/>
      </c>
      <c r="J561" s="67" t="str">
        <f>IFERROR(__xludf.DUMMYFUNCTION("if(H561="""", """", SUM(split(H561, "";"")))"),"")</f>
        <v/>
      </c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  <c r="AA561" s="68"/>
    </row>
    <row r="562" ht="26.25" customHeight="1">
      <c r="A562" s="68"/>
      <c r="B562" s="68"/>
      <c r="C562" s="68"/>
      <c r="D562" s="71"/>
      <c r="E562" s="71"/>
      <c r="F562" s="71"/>
      <c r="G562" s="65" t="str">
        <f t="shared" si="1"/>
        <v/>
      </c>
      <c r="H562" s="74"/>
      <c r="I562" s="67" t="str">
        <f>IFERROR(__xludf.DUMMYFUNCTION("if($H562="""", """", AVERAGE(split($H562, "";"")))"),"")</f>
        <v/>
      </c>
      <c r="J562" s="67" t="str">
        <f>IFERROR(__xludf.DUMMYFUNCTION("if(H562="""", """", SUM(split(H562, "";"")))"),"")</f>
        <v/>
      </c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  <c r="AA562" s="68"/>
    </row>
    <row r="563" ht="26.25" customHeight="1">
      <c r="A563" s="68"/>
      <c r="B563" s="68"/>
      <c r="C563" s="68"/>
      <c r="D563" s="71"/>
      <c r="E563" s="71"/>
      <c r="F563" s="71"/>
      <c r="G563" s="65" t="str">
        <f t="shared" si="1"/>
        <v/>
      </c>
      <c r="H563" s="74"/>
      <c r="I563" s="67" t="str">
        <f>IFERROR(__xludf.DUMMYFUNCTION("if($H563="""", """", AVERAGE(split($H563, "";"")))"),"")</f>
        <v/>
      </c>
      <c r="J563" s="67" t="str">
        <f>IFERROR(__xludf.DUMMYFUNCTION("if(H563="""", """", SUM(split(H563, "";"")))"),"")</f>
        <v/>
      </c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  <c r="AA563" s="68"/>
    </row>
    <row r="564" ht="26.25" customHeight="1">
      <c r="A564" s="68"/>
      <c r="B564" s="68"/>
      <c r="C564" s="68"/>
      <c r="D564" s="71"/>
      <c r="E564" s="71"/>
      <c r="F564" s="71"/>
      <c r="G564" s="65" t="str">
        <f t="shared" si="1"/>
        <v/>
      </c>
      <c r="H564" s="74"/>
      <c r="I564" s="67" t="str">
        <f>IFERROR(__xludf.DUMMYFUNCTION("if($H564="""", """", AVERAGE(split($H564, "";"")))"),"")</f>
        <v/>
      </c>
      <c r="J564" s="67" t="str">
        <f>IFERROR(__xludf.DUMMYFUNCTION("if(H564="""", """", SUM(split(H564, "";"")))"),"")</f>
        <v/>
      </c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  <c r="AA564" s="68"/>
    </row>
    <row r="565" ht="26.25" customHeight="1">
      <c r="A565" s="68"/>
      <c r="B565" s="68"/>
      <c r="C565" s="68"/>
      <c r="D565" s="71"/>
      <c r="E565" s="71"/>
      <c r="F565" s="71"/>
      <c r="G565" s="65" t="str">
        <f t="shared" si="1"/>
        <v/>
      </c>
      <c r="H565" s="74"/>
      <c r="I565" s="67" t="str">
        <f>IFERROR(__xludf.DUMMYFUNCTION("if($H565="""", """", AVERAGE(split($H565, "";"")))"),"")</f>
        <v/>
      </c>
      <c r="J565" s="67" t="str">
        <f>IFERROR(__xludf.DUMMYFUNCTION("if(H565="""", """", SUM(split(H565, "";"")))"),"")</f>
        <v/>
      </c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  <c r="AA565" s="68"/>
    </row>
    <row r="566" ht="26.25" customHeight="1">
      <c r="A566" s="68"/>
      <c r="B566" s="68"/>
      <c r="C566" s="68"/>
      <c r="D566" s="71"/>
      <c r="E566" s="71"/>
      <c r="F566" s="71"/>
      <c r="G566" s="65" t="str">
        <f t="shared" si="1"/>
        <v/>
      </c>
      <c r="H566" s="74"/>
      <c r="I566" s="67" t="str">
        <f>IFERROR(__xludf.DUMMYFUNCTION("if($H566="""", """", AVERAGE(split($H566, "";"")))"),"")</f>
        <v/>
      </c>
      <c r="J566" s="67" t="str">
        <f>IFERROR(__xludf.DUMMYFUNCTION("if(H566="""", """", SUM(split(H566, "";"")))"),"")</f>
        <v/>
      </c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  <c r="AA566" s="68"/>
    </row>
    <row r="567" ht="26.25" customHeight="1">
      <c r="A567" s="68"/>
      <c r="B567" s="68"/>
      <c r="C567" s="68"/>
      <c r="D567" s="71"/>
      <c r="E567" s="71"/>
      <c r="F567" s="71"/>
      <c r="G567" s="65" t="str">
        <f t="shared" si="1"/>
        <v/>
      </c>
      <c r="H567" s="74"/>
      <c r="I567" s="67" t="str">
        <f>IFERROR(__xludf.DUMMYFUNCTION("if($H567="""", """", AVERAGE(split($H567, "";"")))"),"")</f>
        <v/>
      </c>
      <c r="J567" s="67" t="str">
        <f>IFERROR(__xludf.DUMMYFUNCTION("if(H567="""", """", SUM(split(H567, "";"")))"),"")</f>
        <v/>
      </c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  <c r="AA567" s="68"/>
    </row>
    <row r="568" ht="26.25" customHeight="1">
      <c r="A568" s="68"/>
      <c r="B568" s="68"/>
      <c r="C568" s="68"/>
      <c r="D568" s="71"/>
      <c r="E568" s="71"/>
      <c r="F568" s="71"/>
      <c r="G568" s="65" t="str">
        <f t="shared" si="1"/>
        <v/>
      </c>
      <c r="H568" s="74"/>
      <c r="I568" s="67" t="str">
        <f>IFERROR(__xludf.DUMMYFUNCTION("if($H568="""", """", AVERAGE(split($H568, "";"")))"),"")</f>
        <v/>
      </c>
      <c r="J568" s="67" t="str">
        <f>IFERROR(__xludf.DUMMYFUNCTION("if(H568="""", """", SUM(split(H568, "";"")))"),"")</f>
        <v/>
      </c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  <c r="AA568" s="68"/>
    </row>
    <row r="569" ht="26.25" customHeight="1">
      <c r="A569" s="68"/>
      <c r="B569" s="68"/>
      <c r="C569" s="68"/>
      <c r="D569" s="71"/>
      <c r="E569" s="71"/>
      <c r="F569" s="71"/>
      <c r="G569" s="65" t="str">
        <f t="shared" si="1"/>
        <v/>
      </c>
      <c r="H569" s="74"/>
      <c r="I569" s="67" t="str">
        <f>IFERROR(__xludf.DUMMYFUNCTION("if($H569="""", """", AVERAGE(split($H569, "";"")))"),"")</f>
        <v/>
      </c>
      <c r="J569" s="67" t="str">
        <f>IFERROR(__xludf.DUMMYFUNCTION("if(H569="""", """", SUM(split(H569, "";"")))"),"")</f>
        <v/>
      </c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  <c r="AA569" s="68"/>
    </row>
    <row r="570" ht="26.25" customHeight="1">
      <c r="A570" s="68"/>
      <c r="B570" s="68"/>
      <c r="C570" s="68"/>
      <c r="D570" s="71"/>
      <c r="E570" s="71"/>
      <c r="F570" s="71"/>
      <c r="G570" s="65" t="str">
        <f t="shared" si="1"/>
        <v/>
      </c>
      <c r="H570" s="74"/>
      <c r="I570" s="67" t="str">
        <f>IFERROR(__xludf.DUMMYFUNCTION("if($H570="""", """", AVERAGE(split($H570, "";"")))"),"")</f>
        <v/>
      </c>
      <c r="J570" s="67" t="str">
        <f>IFERROR(__xludf.DUMMYFUNCTION("if(H570="""", """", SUM(split(H570, "";"")))"),"")</f>
        <v/>
      </c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  <c r="AA570" s="68"/>
    </row>
    <row r="571" ht="26.25" customHeight="1">
      <c r="A571" s="68"/>
      <c r="B571" s="68"/>
      <c r="C571" s="68"/>
      <c r="D571" s="71"/>
      <c r="E571" s="71"/>
      <c r="F571" s="71"/>
      <c r="G571" s="65" t="str">
        <f t="shared" si="1"/>
        <v/>
      </c>
      <c r="H571" s="74"/>
      <c r="I571" s="67" t="str">
        <f>IFERROR(__xludf.DUMMYFUNCTION("if($H571="""", """", AVERAGE(split($H571, "";"")))"),"")</f>
        <v/>
      </c>
      <c r="J571" s="67" t="str">
        <f>IFERROR(__xludf.DUMMYFUNCTION("if(H571="""", """", SUM(split(H571, "";"")))"),"")</f>
        <v/>
      </c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  <c r="AA571" s="68"/>
    </row>
    <row r="572" ht="26.25" customHeight="1">
      <c r="A572" s="68"/>
      <c r="B572" s="68"/>
      <c r="C572" s="68"/>
      <c r="D572" s="71"/>
      <c r="E572" s="71"/>
      <c r="F572" s="71"/>
      <c r="G572" s="65" t="str">
        <f t="shared" si="1"/>
        <v/>
      </c>
      <c r="H572" s="74"/>
      <c r="I572" s="67" t="str">
        <f>IFERROR(__xludf.DUMMYFUNCTION("if($H572="""", """", AVERAGE(split($H572, "";"")))"),"")</f>
        <v/>
      </c>
      <c r="J572" s="67" t="str">
        <f>IFERROR(__xludf.DUMMYFUNCTION("if(H572="""", """", SUM(split(H572, "";"")))"),"")</f>
        <v/>
      </c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  <c r="AA572" s="68"/>
    </row>
    <row r="573" ht="26.25" customHeight="1">
      <c r="A573" s="68"/>
      <c r="B573" s="68"/>
      <c r="C573" s="68"/>
      <c r="D573" s="71"/>
      <c r="E573" s="71"/>
      <c r="F573" s="71"/>
      <c r="G573" s="65" t="str">
        <f t="shared" si="1"/>
        <v/>
      </c>
      <c r="H573" s="74"/>
      <c r="I573" s="67" t="str">
        <f>IFERROR(__xludf.DUMMYFUNCTION("if($H573="""", """", AVERAGE(split($H573, "";"")))"),"")</f>
        <v/>
      </c>
      <c r="J573" s="67" t="str">
        <f>IFERROR(__xludf.DUMMYFUNCTION("if(H573="""", """", SUM(split(H573, "";"")))"),"")</f>
        <v/>
      </c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  <c r="AA573" s="68"/>
    </row>
    <row r="574" ht="26.25" customHeight="1">
      <c r="A574" s="68"/>
      <c r="B574" s="68"/>
      <c r="C574" s="68"/>
      <c r="D574" s="71"/>
      <c r="E574" s="71"/>
      <c r="F574" s="71"/>
      <c r="G574" s="65" t="str">
        <f t="shared" si="1"/>
        <v/>
      </c>
      <c r="H574" s="74"/>
      <c r="I574" s="67" t="str">
        <f>IFERROR(__xludf.DUMMYFUNCTION("if($H574="""", """", AVERAGE(split($H574, "";"")))"),"")</f>
        <v/>
      </c>
      <c r="J574" s="67" t="str">
        <f>IFERROR(__xludf.DUMMYFUNCTION("if(H574="""", """", SUM(split(H574, "";"")))"),"")</f>
        <v/>
      </c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  <c r="AA574" s="68"/>
    </row>
    <row r="575" ht="26.25" customHeight="1">
      <c r="A575" s="68"/>
      <c r="B575" s="68"/>
      <c r="C575" s="68"/>
      <c r="D575" s="71"/>
      <c r="E575" s="71"/>
      <c r="F575" s="71"/>
      <c r="G575" s="65" t="str">
        <f t="shared" si="1"/>
        <v/>
      </c>
      <c r="H575" s="74"/>
      <c r="I575" s="67" t="str">
        <f>IFERROR(__xludf.DUMMYFUNCTION("if($H575="""", """", AVERAGE(split($H575, "";"")))"),"")</f>
        <v/>
      </c>
      <c r="J575" s="67" t="str">
        <f>IFERROR(__xludf.DUMMYFUNCTION("if(H575="""", """", SUM(split(H575, "";"")))"),"")</f>
        <v/>
      </c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  <c r="AA575" s="68"/>
    </row>
    <row r="576" ht="26.25" customHeight="1">
      <c r="A576" s="68"/>
      <c r="B576" s="68"/>
      <c r="C576" s="68"/>
      <c r="D576" s="71"/>
      <c r="E576" s="71"/>
      <c r="F576" s="71"/>
      <c r="G576" s="65" t="str">
        <f t="shared" si="1"/>
        <v/>
      </c>
      <c r="H576" s="74"/>
      <c r="I576" s="67" t="str">
        <f>IFERROR(__xludf.DUMMYFUNCTION("if($H576="""", """", AVERAGE(split($H576, "";"")))"),"")</f>
        <v/>
      </c>
      <c r="J576" s="67" t="str">
        <f>IFERROR(__xludf.DUMMYFUNCTION("if(H576="""", """", SUM(split(H576, "";"")))"),"")</f>
        <v/>
      </c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  <c r="AA576" s="68"/>
    </row>
    <row r="577" ht="26.25" customHeight="1">
      <c r="A577" s="68"/>
      <c r="B577" s="68"/>
      <c r="C577" s="68"/>
      <c r="D577" s="71"/>
      <c r="E577" s="71"/>
      <c r="F577" s="71"/>
      <c r="G577" s="65" t="str">
        <f t="shared" si="1"/>
        <v/>
      </c>
      <c r="H577" s="74"/>
      <c r="I577" s="67" t="str">
        <f>IFERROR(__xludf.DUMMYFUNCTION("if($H577="""", """", AVERAGE(split($H577, "";"")))"),"")</f>
        <v/>
      </c>
      <c r="J577" s="67" t="str">
        <f>IFERROR(__xludf.DUMMYFUNCTION("if(H577="""", """", SUM(split(H577, "";"")))"),"")</f>
        <v/>
      </c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  <c r="AA577" s="68"/>
    </row>
    <row r="578" ht="26.25" customHeight="1">
      <c r="A578" s="68"/>
      <c r="B578" s="68"/>
      <c r="C578" s="68"/>
      <c r="D578" s="71"/>
      <c r="E578" s="71"/>
      <c r="F578" s="71"/>
      <c r="G578" s="65" t="str">
        <f t="shared" si="1"/>
        <v/>
      </c>
      <c r="H578" s="74"/>
      <c r="I578" s="67" t="str">
        <f>IFERROR(__xludf.DUMMYFUNCTION("if($H578="""", """", AVERAGE(split($H578, "";"")))"),"")</f>
        <v/>
      </c>
      <c r="J578" s="67" t="str">
        <f>IFERROR(__xludf.DUMMYFUNCTION("if(H578="""", """", SUM(split(H578, "";"")))"),"")</f>
        <v/>
      </c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  <c r="AA578" s="68"/>
    </row>
    <row r="579" ht="26.25" customHeight="1">
      <c r="A579" s="68"/>
      <c r="B579" s="68"/>
      <c r="C579" s="68"/>
      <c r="D579" s="71"/>
      <c r="E579" s="71"/>
      <c r="F579" s="71"/>
      <c r="G579" s="65" t="str">
        <f t="shared" si="1"/>
        <v/>
      </c>
      <c r="H579" s="74"/>
      <c r="I579" s="67" t="str">
        <f>IFERROR(__xludf.DUMMYFUNCTION("if($H579="""", """", AVERAGE(split($H579, "";"")))"),"")</f>
        <v/>
      </c>
      <c r="J579" s="67" t="str">
        <f>IFERROR(__xludf.DUMMYFUNCTION("if(H579="""", """", SUM(split(H579, "";"")))"),"")</f>
        <v/>
      </c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  <c r="AA579" s="68"/>
    </row>
    <row r="580" ht="26.25" customHeight="1">
      <c r="A580" s="68"/>
      <c r="B580" s="68"/>
      <c r="C580" s="68"/>
      <c r="D580" s="71"/>
      <c r="E580" s="71"/>
      <c r="F580" s="71"/>
      <c r="G580" s="65" t="str">
        <f t="shared" si="1"/>
        <v/>
      </c>
      <c r="H580" s="74"/>
      <c r="I580" s="67" t="str">
        <f>IFERROR(__xludf.DUMMYFUNCTION("if($H580="""", """", AVERAGE(split($H580, "";"")))"),"")</f>
        <v/>
      </c>
      <c r="J580" s="67" t="str">
        <f>IFERROR(__xludf.DUMMYFUNCTION("if(H580="""", """", SUM(split(H580, "";"")))"),"")</f>
        <v/>
      </c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  <c r="AA580" s="68"/>
    </row>
    <row r="581" ht="26.25" customHeight="1">
      <c r="A581" s="68"/>
      <c r="B581" s="68"/>
      <c r="C581" s="68"/>
      <c r="D581" s="71"/>
      <c r="E581" s="71"/>
      <c r="F581" s="71"/>
      <c r="G581" s="65" t="str">
        <f t="shared" si="1"/>
        <v/>
      </c>
      <c r="H581" s="74"/>
      <c r="I581" s="67" t="str">
        <f>IFERROR(__xludf.DUMMYFUNCTION("if($H581="""", """", AVERAGE(split($H581, "";"")))"),"")</f>
        <v/>
      </c>
      <c r="J581" s="67" t="str">
        <f>IFERROR(__xludf.DUMMYFUNCTION("if(H581="""", """", SUM(split(H581, "";"")))"),"")</f>
        <v/>
      </c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  <c r="AA581" s="68"/>
    </row>
    <row r="582" ht="26.25" customHeight="1">
      <c r="A582" s="68"/>
      <c r="B582" s="68"/>
      <c r="C582" s="68"/>
      <c r="D582" s="71"/>
      <c r="E582" s="71"/>
      <c r="F582" s="71"/>
      <c r="G582" s="65" t="str">
        <f t="shared" si="1"/>
        <v/>
      </c>
      <c r="H582" s="74"/>
      <c r="I582" s="67" t="str">
        <f>IFERROR(__xludf.DUMMYFUNCTION("if($H582="""", """", AVERAGE(split($H582, "";"")))"),"")</f>
        <v/>
      </c>
      <c r="J582" s="67" t="str">
        <f>IFERROR(__xludf.DUMMYFUNCTION("if(H582="""", """", SUM(split(H582, "";"")))"),"")</f>
        <v/>
      </c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  <c r="AA582" s="68"/>
    </row>
    <row r="583" ht="26.25" customHeight="1">
      <c r="A583" s="68"/>
      <c r="B583" s="68"/>
      <c r="C583" s="68"/>
      <c r="D583" s="71"/>
      <c r="E583" s="71"/>
      <c r="F583" s="71"/>
      <c r="G583" s="65" t="str">
        <f t="shared" si="1"/>
        <v/>
      </c>
      <c r="H583" s="74"/>
      <c r="I583" s="67" t="str">
        <f>IFERROR(__xludf.DUMMYFUNCTION("if($H583="""", """", AVERAGE(split($H583, "";"")))"),"")</f>
        <v/>
      </c>
      <c r="J583" s="67" t="str">
        <f>IFERROR(__xludf.DUMMYFUNCTION("if(H583="""", """", SUM(split(H583, "";"")))"),"")</f>
        <v/>
      </c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  <c r="AA583" s="68"/>
    </row>
    <row r="584" ht="26.25" customHeight="1">
      <c r="A584" s="68"/>
      <c r="B584" s="68"/>
      <c r="C584" s="68"/>
      <c r="D584" s="71"/>
      <c r="E584" s="71"/>
      <c r="F584" s="71"/>
      <c r="G584" s="65" t="str">
        <f t="shared" si="1"/>
        <v/>
      </c>
      <c r="H584" s="74"/>
      <c r="I584" s="67" t="str">
        <f>IFERROR(__xludf.DUMMYFUNCTION("if($H584="""", """", AVERAGE(split($H584, "";"")))"),"")</f>
        <v/>
      </c>
      <c r="J584" s="67" t="str">
        <f>IFERROR(__xludf.DUMMYFUNCTION("if(H584="""", """", SUM(split(H584, "";"")))"),"")</f>
        <v/>
      </c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  <c r="AA584" s="68"/>
    </row>
    <row r="585" ht="26.25" customHeight="1">
      <c r="A585" s="68"/>
      <c r="B585" s="68"/>
      <c r="C585" s="68"/>
      <c r="D585" s="71"/>
      <c r="E585" s="71"/>
      <c r="F585" s="71"/>
      <c r="G585" s="65" t="str">
        <f t="shared" si="1"/>
        <v/>
      </c>
      <c r="H585" s="74"/>
      <c r="I585" s="67" t="str">
        <f>IFERROR(__xludf.DUMMYFUNCTION("if($H585="""", """", AVERAGE(split($H585, "";"")))"),"")</f>
        <v/>
      </c>
      <c r="J585" s="67" t="str">
        <f>IFERROR(__xludf.DUMMYFUNCTION("if(H585="""", """", SUM(split(H585, "";"")))"),"")</f>
        <v/>
      </c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  <c r="AA585" s="68"/>
    </row>
    <row r="586" ht="26.25" customHeight="1">
      <c r="A586" s="68"/>
      <c r="B586" s="68"/>
      <c r="C586" s="68"/>
      <c r="D586" s="71"/>
      <c r="E586" s="71"/>
      <c r="F586" s="71"/>
      <c r="G586" s="65" t="str">
        <f t="shared" si="1"/>
        <v/>
      </c>
      <c r="H586" s="74"/>
      <c r="I586" s="67" t="str">
        <f>IFERROR(__xludf.DUMMYFUNCTION("if($H586="""", """", AVERAGE(split($H586, "";"")))"),"")</f>
        <v/>
      </c>
      <c r="J586" s="67" t="str">
        <f>IFERROR(__xludf.DUMMYFUNCTION("if(H586="""", """", SUM(split(H586, "";"")))"),"")</f>
        <v/>
      </c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  <c r="AA586" s="68"/>
    </row>
    <row r="587" ht="26.25" customHeight="1">
      <c r="A587" s="68"/>
      <c r="B587" s="68"/>
      <c r="C587" s="68"/>
      <c r="D587" s="71"/>
      <c r="E587" s="71"/>
      <c r="F587" s="71"/>
      <c r="G587" s="65" t="str">
        <f t="shared" si="1"/>
        <v/>
      </c>
      <c r="H587" s="74"/>
      <c r="I587" s="67" t="str">
        <f>IFERROR(__xludf.DUMMYFUNCTION("if($H587="""", """", AVERAGE(split($H587, "";"")))"),"")</f>
        <v/>
      </c>
      <c r="J587" s="67" t="str">
        <f>IFERROR(__xludf.DUMMYFUNCTION("if(H587="""", """", SUM(split(H587, "";"")))"),"")</f>
        <v/>
      </c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  <c r="AA587" s="68"/>
    </row>
    <row r="588" ht="26.25" customHeight="1">
      <c r="A588" s="68"/>
      <c r="B588" s="68"/>
      <c r="C588" s="68"/>
      <c r="D588" s="71"/>
      <c r="E588" s="71"/>
      <c r="F588" s="71"/>
      <c r="G588" s="65" t="str">
        <f t="shared" si="1"/>
        <v/>
      </c>
      <c r="H588" s="74"/>
      <c r="I588" s="67" t="str">
        <f>IFERROR(__xludf.DUMMYFUNCTION("if($H588="""", """", AVERAGE(split($H588, "";"")))"),"")</f>
        <v/>
      </c>
      <c r="J588" s="67" t="str">
        <f>IFERROR(__xludf.DUMMYFUNCTION("if(H588="""", """", SUM(split(H588, "";"")))"),"")</f>
        <v/>
      </c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  <c r="AA588" s="68"/>
    </row>
    <row r="589" ht="26.25" customHeight="1">
      <c r="A589" s="68"/>
      <c r="B589" s="68"/>
      <c r="C589" s="68"/>
      <c r="D589" s="71"/>
      <c r="E589" s="71"/>
      <c r="F589" s="71"/>
      <c r="G589" s="65" t="str">
        <f t="shared" si="1"/>
        <v/>
      </c>
      <c r="H589" s="74"/>
      <c r="I589" s="67" t="str">
        <f>IFERROR(__xludf.DUMMYFUNCTION("if($H589="""", """", AVERAGE(split($H589, "";"")))"),"")</f>
        <v/>
      </c>
      <c r="J589" s="67" t="str">
        <f>IFERROR(__xludf.DUMMYFUNCTION("if(H589="""", """", SUM(split(H589, "";"")))"),"")</f>
        <v/>
      </c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  <c r="AA589" s="68"/>
    </row>
    <row r="590" ht="26.25" customHeight="1">
      <c r="A590" s="68"/>
      <c r="B590" s="68"/>
      <c r="C590" s="68"/>
      <c r="D590" s="71"/>
      <c r="E590" s="71"/>
      <c r="F590" s="71"/>
      <c r="G590" s="65" t="str">
        <f t="shared" si="1"/>
        <v/>
      </c>
      <c r="H590" s="74"/>
      <c r="I590" s="67" t="str">
        <f>IFERROR(__xludf.DUMMYFUNCTION("if($H590="""", """", AVERAGE(split($H590, "";"")))"),"")</f>
        <v/>
      </c>
      <c r="J590" s="67" t="str">
        <f>IFERROR(__xludf.DUMMYFUNCTION("if(H590="""", """", SUM(split(H590, "";"")))"),"")</f>
        <v/>
      </c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  <c r="AA590" s="68"/>
    </row>
    <row r="591" ht="26.25" customHeight="1">
      <c r="A591" s="68"/>
      <c r="B591" s="68"/>
      <c r="C591" s="68"/>
      <c r="D591" s="71"/>
      <c r="E591" s="71"/>
      <c r="F591" s="71"/>
      <c r="G591" s="65" t="str">
        <f t="shared" si="1"/>
        <v/>
      </c>
      <c r="H591" s="74"/>
      <c r="I591" s="67" t="str">
        <f>IFERROR(__xludf.DUMMYFUNCTION("if($H591="""", """", AVERAGE(split($H591, "";"")))"),"")</f>
        <v/>
      </c>
      <c r="J591" s="67" t="str">
        <f>IFERROR(__xludf.DUMMYFUNCTION("if(H591="""", """", SUM(split(H591, "";"")))"),"")</f>
        <v/>
      </c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  <c r="AA591" s="68"/>
    </row>
    <row r="592" ht="26.25" customHeight="1">
      <c r="A592" s="68"/>
      <c r="B592" s="68"/>
      <c r="C592" s="68"/>
      <c r="D592" s="71"/>
      <c r="E592" s="71"/>
      <c r="F592" s="71"/>
      <c r="G592" s="65" t="str">
        <f t="shared" si="1"/>
        <v/>
      </c>
      <c r="H592" s="74"/>
      <c r="I592" s="67" t="str">
        <f>IFERROR(__xludf.DUMMYFUNCTION("if($H592="""", """", AVERAGE(split($H592, "";"")))"),"")</f>
        <v/>
      </c>
      <c r="J592" s="67" t="str">
        <f>IFERROR(__xludf.DUMMYFUNCTION("if(H592="""", """", SUM(split(H592, "";"")))"),"")</f>
        <v/>
      </c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  <c r="AA592" s="68"/>
    </row>
    <row r="593" ht="26.25" customHeight="1">
      <c r="A593" s="68"/>
      <c r="B593" s="68"/>
      <c r="C593" s="68"/>
      <c r="D593" s="71"/>
      <c r="E593" s="71"/>
      <c r="F593" s="71"/>
      <c r="G593" s="65" t="str">
        <f t="shared" si="1"/>
        <v/>
      </c>
      <c r="H593" s="74"/>
      <c r="I593" s="67" t="str">
        <f>IFERROR(__xludf.DUMMYFUNCTION("if($H593="""", """", AVERAGE(split($H593, "";"")))"),"")</f>
        <v/>
      </c>
      <c r="J593" s="67" t="str">
        <f>IFERROR(__xludf.DUMMYFUNCTION("if(H593="""", """", SUM(split(H593, "";"")))"),"")</f>
        <v/>
      </c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  <c r="AA593" s="68"/>
    </row>
    <row r="594" ht="26.25" customHeight="1">
      <c r="A594" s="68"/>
      <c r="B594" s="68"/>
      <c r="C594" s="68"/>
      <c r="D594" s="71"/>
      <c r="E594" s="71"/>
      <c r="F594" s="71"/>
      <c r="G594" s="65" t="str">
        <f t="shared" si="1"/>
        <v/>
      </c>
      <c r="H594" s="74"/>
      <c r="I594" s="67" t="str">
        <f>IFERROR(__xludf.DUMMYFUNCTION("if($H594="""", """", AVERAGE(split($H594, "";"")))"),"")</f>
        <v/>
      </c>
      <c r="J594" s="67" t="str">
        <f>IFERROR(__xludf.DUMMYFUNCTION("if(H594="""", """", SUM(split(H594, "";"")))"),"")</f>
        <v/>
      </c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  <c r="AA594" s="68"/>
    </row>
    <row r="595" ht="26.25" customHeight="1">
      <c r="A595" s="68"/>
      <c r="B595" s="68"/>
      <c r="C595" s="68"/>
      <c r="D595" s="71"/>
      <c r="E595" s="71"/>
      <c r="F595" s="71"/>
      <c r="G595" s="65" t="str">
        <f t="shared" si="1"/>
        <v/>
      </c>
      <c r="H595" s="74"/>
      <c r="I595" s="67" t="str">
        <f>IFERROR(__xludf.DUMMYFUNCTION("if($H595="""", """", AVERAGE(split($H595, "";"")))"),"")</f>
        <v/>
      </c>
      <c r="J595" s="67" t="str">
        <f>IFERROR(__xludf.DUMMYFUNCTION("if(H595="""", """", SUM(split(H595, "";"")))"),"")</f>
        <v/>
      </c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  <c r="AA595" s="68"/>
    </row>
    <row r="596" ht="26.25" customHeight="1">
      <c r="A596" s="68"/>
      <c r="B596" s="68"/>
      <c r="C596" s="68"/>
      <c r="D596" s="71"/>
      <c r="E596" s="71"/>
      <c r="F596" s="71"/>
      <c r="G596" s="65" t="str">
        <f t="shared" si="1"/>
        <v/>
      </c>
      <c r="H596" s="74"/>
      <c r="I596" s="67" t="str">
        <f>IFERROR(__xludf.DUMMYFUNCTION("if($H596="""", """", AVERAGE(split($H596, "";"")))"),"")</f>
        <v/>
      </c>
      <c r="J596" s="67" t="str">
        <f>IFERROR(__xludf.DUMMYFUNCTION("if(H596="""", """", SUM(split(H596, "";"")))"),"")</f>
        <v/>
      </c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  <c r="AA596" s="68"/>
    </row>
    <row r="597" ht="26.25" customHeight="1">
      <c r="A597" s="68"/>
      <c r="B597" s="68"/>
      <c r="C597" s="68"/>
      <c r="D597" s="71"/>
      <c r="E597" s="71"/>
      <c r="F597" s="71"/>
      <c r="G597" s="65" t="str">
        <f t="shared" si="1"/>
        <v/>
      </c>
      <c r="H597" s="74"/>
      <c r="I597" s="67" t="str">
        <f>IFERROR(__xludf.DUMMYFUNCTION("if($H597="""", """", AVERAGE(split($H597, "";"")))"),"")</f>
        <v/>
      </c>
      <c r="J597" s="67" t="str">
        <f>IFERROR(__xludf.DUMMYFUNCTION("if(H597="""", """", SUM(split(H597, "";"")))"),"")</f>
        <v/>
      </c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  <c r="AA597" s="68"/>
    </row>
    <row r="598" ht="26.25" customHeight="1">
      <c r="A598" s="68"/>
      <c r="B598" s="68"/>
      <c r="C598" s="68"/>
      <c r="D598" s="71"/>
      <c r="E598" s="71"/>
      <c r="F598" s="71"/>
      <c r="G598" s="65" t="str">
        <f t="shared" si="1"/>
        <v/>
      </c>
      <c r="H598" s="74"/>
      <c r="I598" s="67" t="str">
        <f>IFERROR(__xludf.DUMMYFUNCTION("if($H598="""", """", AVERAGE(split($H598, "";"")))"),"")</f>
        <v/>
      </c>
      <c r="J598" s="67" t="str">
        <f>IFERROR(__xludf.DUMMYFUNCTION("if(H598="""", """", SUM(split(H598, "";"")))"),"")</f>
        <v/>
      </c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  <c r="AA598" s="68"/>
    </row>
    <row r="599" ht="26.25" customHeight="1">
      <c r="A599" s="68"/>
      <c r="B599" s="68"/>
      <c r="C599" s="68"/>
      <c r="D599" s="71"/>
      <c r="E599" s="71"/>
      <c r="F599" s="71"/>
      <c r="G599" s="65" t="str">
        <f t="shared" si="1"/>
        <v/>
      </c>
      <c r="H599" s="74"/>
      <c r="I599" s="67" t="str">
        <f>IFERROR(__xludf.DUMMYFUNCTION("if($H599="""", """", AVERAGE(split($H599, "";"")))"),"")</f>
        <v/>
      </c>
      <c r="J599" s="67" t="str">
        <f>IFERROR(__xludf.DUMMYFUNCTION("if(H599="""", """", SUM(split(H599, "";"")))"),"")</f>
        <v/>
      </c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  <c r="AA599" s="68"/>
    </row>
    <row r="600" ht="26.25" customHeight="1">
      <c r="A600" s="68"/>
      <c r="B600" s="68"/>
      <c r="C600" s="68"/>
      <c r="D600" s="71"/>
      <c r="E600" s="71"/>
      <c r="F600" s="71"/>
      <c r="G600" s="65" t="str">
        <f t="shared" si="1"/>
        <v/>
      </c>
      <c r="H600" s="74"/>
      <c r="I600" s="67" t="str">
        <f>IFERROR(__xludf.DUMMYFUNCTION("if($H600="""", """", AVERAGE(split($H600, "";"")))"),"")</f>
        <v/>
      </c>
      <c r="J600" s="67" t="str">
        <f>IFERROR(__xludf.DUMMYFUNCTION("if(H600="""", """", SUM(split(H600, "";"")))"),"")</f>
        <v/>
      </c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  <c r="AA600" s="68"/>
    </row>
    <row r="601" ht="26.25" customHeight="1">
      <c r="A601" s="68"/>
      <c r="B601" s="68"/>
      <c r="C601" s="68"/>
      <c r="D601" s="71"/>
      <c r="E601" s="71"/>
      <c r="F601" s="71"/>
      <c r="G601" s="65" t="str">
        <f t="shared" si="1"/>
        <v/>
      </c>
      <c r="H601" s="74"/>
      <c r="I601" s="67" t="str">
        <f>IFERROR(__xludf.DUMMYFUNCTION("if($H601="""", """", AVERAGE(split($H601, "";"")))"),"")</f>
        <v/>
      </c>
      <c r="J601" s="67" t="str">
        <f>IFERROR(__xludf.DUMMYFUNCTION("if(H601="""", """", SUM(split(H601, "";"")))"),"")</f>
        <v/>
      </c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  <c r="AA601" s="68"/>
    </row>
    <row r="602" ht="26.25" customHeight="1">
      <c r="A602" s="68"/>
      <c r="B602" s="68"/>
      <c r="C602" s="68"/>
      <c r="D602" s="71"/>
      <c r="E602" s="71"/>
      <c r="F602" s="71"/>
      <c r="G602" s="65" t="str">
        <f t="shared" si="1"/>
        <v/>
      </c>
      <c r="H602" s="74"/>
      <c r="I602" s="67" t="str">
        <f>IFERROR(__xludf.DUMMYFUNCTION("if($H602="""", """", AVERAGE(split($H602, "";"")))"),"")</f>
        <v/>
      </c>
      <c r="J602" s="67" t="str">
        <f>IFERROR(__xludf.DUMMYFUNCTION("if(H602="""", """", SUM(split(H602, "";"")))"),"")</f>
        <v/>
      </c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  <c r="AA602" s="68"/>
    </row>
    <row r="603" ht="26.25" customHeight="1">
      <c r="A603" s="68"/>
      <c r="B603" s="68"/>
      <c r="C603" s="68"/>
      <c r="D603" s="71"/>
      <c r="E603" s="71"/>
      <c r="F603" s="71"/>
      <c r="G603" s="65" t="str">
        <f t="shared" si="1"/>
        <v/>
      </c>
      <c r="H603" s="74"/>
      <c r="I603" s="67" t="str">
        <f>IFERROR(__xludf.DUMMYFUNCTION("if($H603="""", """", AVERAGE(split($H603, "";"")))"),"")</f>
        <v/>
      </c>
      <c r="J603" s="67" t="str">
        <f>IFERROR(__xludf.DUMMYFUNCTION("if(H603="""", """", SUM(split(H603, "";"")))"),"")</f>
        <v/>
      </c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  <c r="AA603" s="68"/>
    </row>
    <row r="604" ht="26.25" customHeight="1">
      <c r="A604" s="68"/>
      <c r="B604" s="68"/>
      <c r="C604" s="68"/>
      <c r="D604" s="71"/>
      <c r="E604" s="71"/>
      <c r="F604" s="71"/>
      <c r="G604" s="65" t="str">
        <f t="shared" si="1"/>
        <v/>
      </c>
      <c r="H604" s="74"/>
      <c r="I604" s="67" t="str">
        <f>IFERROR(__xludf.DUMMYFUNCTION("if($H604="""", """", AVERAGE(split($H604, "";"")))"),"")</f>
        <v/>
      </c>
      <c r="J604" s="67" t="str">
        <f>IFERROR(__xludf.DUMMYFUNCTION("if(H604="""", """", SUM(split(H604, "";"")))"),"")</f>
        <v/>
      </c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  <c r="AA604" s="68"/>
    </row>
    <row r="605" ht="26.25" customHeight="1">
      <c r="A605" s="68"/>
      <c r="B605" s="68"/>
      <c r="C605" s="68"/>
      <c r="D605" s="71"/>
      <c r="E605" s="71"/>
      <c r="F605" s="71"/>
      <c r="G605" s="65" t="str">
        <f t="shared" si="1"/>
        <v/>
      </c>
      <c r="H605" s="74"/>
      <c r="I605" s="67" t="str">
        <f>IFERROR(__xludf.DUMMYFUNCTION("if($H605="""", """", AVERAGE(split($H605, "";"")))"),"")</f>
        <v/>
      </c>
      <c r="J605" s="67" t="str">
        <f>IFERROR(__xludf.DUMMYFUNCTION("if(H605="""", """", SUM(split(H605, "";"")))"),"")</f>
        <v/>
      </c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  <c r="AA605" s="68"/>
    </row>
    <row r="606" ht="26.25" customHeight="1">
      <c r="A606" s="68"/>
      <c r="B606" s="68"/>
      <c r="C606" s="68"/>
      <c r="D606" s="71"/>
      <c r="E606" s="71"/>
      <c r="F606" s="71"/>
      <c r="G606" s="65" t="str">
        <f t="shared" si="1"/>
        <v/>
      </c>
      <c r="H606" s="74"/>
      <c r="I606" s="67" t="str">
        <f>IFERROR(__xludf.DUMMYFUNCTION("if($H606="""", """", AVERAGE(split($H606, "";"")))"),"")</f>
        <v/>
      </c>
      <c r="J606" s="67" t="str">
        <f>IFERROR(__xludf.DUMMYFUNCTION("if(H606="""", """", SUM(split(H606, "";"")))"),"")</f>
        <v/>
      </c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  <c r="AA606" s="68"/>
    </row>
    <row r="607" ht="26.25" customHeight="1">
      <c r="A607" s="68"/>
      <c r="B607" s="68"/>
      <c r="C607" s="68"/>
      <c r="D607" s="71"/>
      <c r="E607" s="71"/>
      <c r="F607" s="71"/>
      <c r="G607" s="65" t="str">
        <f t="shared" si="1"/>
        <v/>
      </c>
      <c r="H607" s="74"/>
      <c r="I607" s="67" t="str">
        <f>IFERROR(__xludf.DUMMYFUNCTION("if($H607="""", """", AVERAGE(split($H607, "";"")))"),"")</f>
        <v/>
      </c>
      <c r="J607" s="67" t="str">
        <f>IFERROR(__xludf.DUMMYFUNCTION("if(H607="""", """", SUM(split(H607, "";"")))"),"")</f>
        <v/>
      </c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  <c r="AA607" s="68"/>
    </row>
    <row r="608" ht="26.25" customHeight="1">
      <c r="A608" s="68"/>
      <c r="B608" s="68"/>
      <c r="C608" s="68"/>
      <c r="D608" s="71"/>
      <c r="E608" s="71"/>
      <c r="F608" s="71"/>
      <c r="G608" s="65" t="str">
        <f t="shared" si="1"/>
        <v/>
      </c>
      <c r="H608" s="74"/>
      <c r="I608" s="67" t="str">
        <f>IFERROR(__xludf.DUMMYFUNCTION("if($H608="""", """", AVERAGE(split($H608, "";"")))"),"")</f>
        <v/>
      </c>
      <c r="J608" s="67" t="str">
        <f>IFERROR(__xludf.DUMMYFUNCTION("if(H608="""", """", SUM(split(H608, "";"")))"),"")</f>
        <v/>
      </c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  <c r="AA608" s="68"/>
    </row>
    <row r="609" ht="26.25" customHeight="1">
      <c r="A609" s="68"/>
      <c r="B609" s="68"/>
      <c r="C609" s="68"/>
      <c r="D609" s="71"/>
      <c r="E609" s="71"/>
      <c r="F609" s="71"/>
      <c r="G609" s="65" t="str">
        <f t="shared" si="1"/>
        <v/>
      </c>
      <c r="H609" s="74"/>
      <c r="I609" s="67" t="str">
        <f>IFERROR(__xludf.DUMMYFUNCTION("if($H609="""", """", AVERAGE(split($H609, "";"")))"),"")</f>
        <v/>
      </c>
      <c r="J609" s="67" t="str">
        <f>IFERROR(__xludf.DUMMYFUNCTION("if(H609="""", """", SUM(split(H609, "";"")))"),"")</f>
        <v/>
      </c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  <c r="AA609" s="68"/>
    </row>
    <row r="610" ht="26.25" customHeight="1">
      <c r="A610" s="68"/>
      <c r="B610" s="68"/>
      <c r="C610" s="68"/>
      <c r="D610" s="71"/>
      <c r="E610" s="71"/>
      <c r="F610" s="71"/>
      <c r="G610" s="65" t="str">
        <f t="shared" si="1"/>
        <v/>
      </c>
      <c r="H610" s="74"/>
      <c r="I610" s="67" t="str">
        <f>IFERROR(__xludf.DUMMYFUNCTION("if($H610="""", """", AVERAGE(split($H610, "";"")))"),"")</f>
        <v/>
      </c>
      <c r="J610" s="67" t="str">
        <f>IFERROR(__xludf.DUMMYFUNCTION("if(H610="""", """", SUM(split(H610, "";"")))"),"")</f>
        <v/>
      </c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  <c r="AA610" s="68"/>
    </row>
    <row r="611" ht="26.25" customHeight="1">
      <c r="A611" s="68"/>
      <c r="B611" s="68"/>
      <c r="C611" s="68"/>
      <c r="D611" s="71"/>
      <c r="E611" s="71"/>
      <c r="F611" s="71"/>
      <c r="G611" s="65" t="str">
        <f t="shared" si="1"/>
        <v/>
      </c>
      <c r="H611" s="74"/>
      <c r="I611" s="67" t="str">
        <f>IFERROR(__xludf.DUMMYFUNCTION("if($H611="""", """", AVERAGE(split($H611, "";"")))"),"")</f>
        <v/>
      </c>
      <c r="J611" s="67" t="str">
        <f>IFERROR(__xludf.DUMMYFUNCTION("if(H611="""", """", SUM(split(H611, "";"")))"),"")</f>
        <v/>
      </c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  <c r="AA611" s="68"/>
    </row>
    <row r="612" ht="26.25" customHeight="1">
      <c r="A612" s="68"/>
      <c r="B612" s="68"/>
      <c r="C612" s="68"/>
      <c r="D612" s="71"/>
      <c r="E612" s="71"/>
      <c r="F612" s="71"/>
      <c r="G612" s="65" t="str">
        <f t="shared" si="1"/>
        <v/>
      </c>
      <c r="H612" s="74"/>
      <c r="I612" s="67" t="str">
        <f>IFERROR(__xludf.DUMMYFUNCTION("if($H612="""", """", AVERAGE(split($H612, "";"")))"),"")</f>
        <v/>
      </c>
      <c r="J612" s="67" t="str">
        <f>IFERROR(__xludf.DUMMYFUNCTION("if(H612="""", """", SUM(split(H612, "";"")))"),"")</f>
        <v/>
      </c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  <c r="AA612" s="68"/>
    </row>
    <row r="613" ht="26.25" customHeight="1">
      <c r="A613" s="68"/>
      <c r="B613" s="68"/>
      <c r="C613" s="68"/>
      <c r="D613" s="71"/>
      <c r="E613" s="71"/>
      <c r="F613" s="71"/>
      <c r="G613" s="65" t="str">
        <f t="shared" si="1"/>
        <v/>
      </c>
      <c r="H613" s="74"/>
      <c r="I613" s="67" t="str">
        <f>IFERROR(__xludf.DUMMYFUNCTION("if($H613="""", """", AVERAGE(split($H613, "";"")))"),"")</f>
        <v/>
      </c>
      <c r="J613" s="67" t="str">
        <f>IFERROR(__xludf.DUMMYFUNCTION("if(H613="""", """", SUM(split(H613, "";"")))"),"")</f>
        <v/>
      </c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  <c r="AA613" s="68"/>
    </row>
    <row r="614" ht="26.25" customHeight="1">
      <c r="A614" s="68"/>
      <c r="B614" s="68"/>
      <c r="C614" s="68"/>
      <c r="D614" s="71"/>
      <c r="E614" s="71"/>
      <c r="F614" s="71"/>
      <c r="G614" s="65" t="str">
        <f t="shared" si="1"/>
        <v/>
      </c>
      <c r="H614" s="74"/>
      <c r="I614" s="67" t="str">
        <f>IFERROR(__xludf.DUMMYFUNCTION("if($H614="""", """", AVERAGE(split($H614, "";"")))"),"")</f>
        <v/>
      </c>
      <c r="J614" s="67" t="str">
        <f>IFERROR(__xludf.DUMMYFUNCTION("if(H614="""", """", SUM(split(H614, "";"")))"),"")</f>
        <v/>
      </c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  <c r="AA614" s="68"/>
    </row>
    <row r="615" ht="26.25" customHeight="1">
      <c r="A615" s="68"/>
      <c r="B615" s="68"/>
      <c r="C615" s="68"/>
      <c r="D615" s="71"/>
      <c r="E615" s="71"/>
      <c r="F615" s="71"/>
      <c r="G615" s="65" t="str">
        <f t="shared" si="1"/>
        <v/>
      </c>
      <c r="H615" s="74"/>
      <c r="I615" s="67" t="str">
        <f>IFERROR(__xludf.DUMMYFUNCTION("if($H615="""", """", AVERAGE(split($H615, "";"")))"),"")</f>
        <v/>
      </c>
      <c r="J615" s="67" t="str">
        <f>IFERROR(__xludf.DUMMYFUNCTION("if(H615="""", """", SUM(split(H615, "";"")))"),"")</f>
        <v/>
      </c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  <c r="AA615" s="68"/>
    </row>
    <row r="616" ht="26.25" customHeight="1">
      <c r="A616" s="68"/>
      <c r="B616" s="68"/>
      <c r="C616" s="68"/>
      <c r="D616" s="71"/>
      <c r="E616" s="71"/>
      <c r="F616" s="71"/>
      <c r="G616" s="65" t="str">
        <f t="shared" si="1"/>
        <v/>
      </c>
      <c r="H616" s="74"/>
      <c r="I616" s="67" t="str">
        <f>IFERROR(__xludf.DUMMYFUNCTION("if($H616="""", """", AVERAGE(split($H616, "";"")))"),"")</f>
        <v/>
      </c>
      <c r="J616" s="67" t="str">
        <f>IFERROR(__xludf.DUMMYFUNCTION("if(H616="""", """", SUM(split(H616, "";"")))"),"")</f>
        <v/>
      </c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  <c r="AA616" s="68"/>
    </row>
    <row r="617" ht="26.25" customHeight="1">
      <c r="A617" s="68"/>
      <c r="B617" s="68"/>
      <c r="C617" s="68"/>
      <c r="D617" s="71"/>
      <c r="E617" s="71"/>
      <c r="F617" s="71"/>
      <c r="G617" s="65" t="str">
        <f t="shared" si="1"/>
        <v/>
      </c>
      <c r="H617" s="74"/>
      <c r="I617" s="67" t="str">
        <f>IFERROR(__xludf.DUMMYFUNCTION("if($H617="""", """", AVERAGE(split($H617, "";"")))"),"")</f>
        <v/>
      </c>
      <c r="J617" s="67" t="str">
        <f>IFERROR(__xludf.DUMMYFUNCTION("if(H617="""", """", SUM(split(H617, "";"")))"),"")</f>
        <v/>
      </c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  <c r="AA617" s="68"/>
    </row>
    <row r="618" ht="26.25" customHeight="1">
      <c r="A618" s="68"/>
      <c r="B618" s="68"/>
      <c r="C618" s="68"/>
      <c r="D618" s="71"/>
      <c r="E618" s="71"/>
      <c r="F618" s="71"/>
      <c r="G618" s="65" t="str">
        <f t="shared" si="1"/>
        <v/>
      </c>
      <c r="H618" s="74"/>
      <c r="I618" s="67" t="str">
        <f>IFERROR(__xludf.DUMMYFUNCTION("if($H618="""", """", AVERAGE(split($H618, "";"")))"),"")</f>
        <v/>
      </c>
      <c r="J618" s="67" t="str">
        <f>IFERROR(__xludf.DUMMYFUNCTION("if(H618="""", """", SUM(split(H618, "";"")))"),"")</f>
        <v/>
      </c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  <c r="AA618" s="68"/>
    </row>
    <row r="619" ht="26.25" customHeight="1">
      <c r="A619" s="68"/>
      <c r="B619" s="68"/>
      <c r="C619" s="68"/>
      <c r="D619" s="71"/>
      <c r="E619" s="71"/>
      <c r="F619" s="71"/>
      <c r="G619" s="65" t="str">
        <f t="shared" si="1"/>
        <v/>
      </c>
      <c r="H619" s="74"/>
      <c r="I619" s="67" t="str">
        <f>IFERROR(__xludf.DUMMYFUNCTION("if($H619="""", """", AVERAGE(split($H619, "";"")))"),"")</f>
        <v/>
      </c>
      <c r="J619" s="67" t="str">
        <f>IFERROR(__xludf.DUMMYFUNCTION("if(H619="""", """", SUM(split(H619, "";"")))"),"")</f>
        <v/>
      </c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  <c r="AA619" s="68"/>
    </row>
    <row r="620" ht="26.25" customHeight="1">
      <c r="A620" s="68"/>
      <c r="B620" s="68"/>
      <c r="C620" s="68"/>
      <c r="D620" s="71"/>
      <c r="E620" s="71"/>
      <c r="F620" s="71"/>
      <c r="G620" s="65" t="str">
        <f t="shared" si="1"/>
        <v/>
      </c>
      <c r="H620" s="74"/>
      <c r="I620" s="67" t="str">
        <f>IFERROR(__xludf.DUMMYFUNCTION("if($H620="""", """", AVERAGE(split($H620, "";"")))"),"")</f>
        <v/>
      </c>
      <c r="J620" s="67" t="str">
        <f>IFERROR(__xludf.DUMMYFUNCTION("if(H620="""", """", SUM(split(H620, "";"")))"),"")</f>
        <v/>
      </c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  <c r="AA620" s="68"/>
    </row>
    <row r="621" ht="26.25" customHeight="1">
      <c r="A621" s="68"/>
      <c r="B621" s="68"/>
      <c r="C621" s="68"/>
      <c r="D621" s="71"/>
      <c r="E621" s="71"/>
      <c r="F621" s="71"/>
      <c r="G621" s="65" t="str">
        <f t="shared" si="1"/>
        <v/>
      </c>
      <c r="H621" s="74"/>
      <c r="I621" s="67" t="str">
        <f>IFERROR(__xludf.DUMMYFUNCTION("if($H621="""", """", AVERAGE(split($H621, "";"")))"),"")</f>
        <v/>
      </c>
      <c r="J621" s="67" t="str">
        <f>IFERROR(__xludf.DUMMYFUNCTION("if(H621="""", """", SUM(split(H621, "";"")))"),"")</f>
        <v/>
      </c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  <c r="AA621" s="68"/>
    </row>
    <row r="622" ht="26.25" customHeight="1">
      <c r="A622" s="68"/>
      <c r="B622" s="68"/>
      <c r="C622" s="68"/>
      <c r="D622" s="71"/>
      <c r="E622" s="71"/>
      <c r="F622" s="71"/>
      <c r="G622" s="65" t="str">
        <f t="shared" si="1"/>
        <v/>
      </c>
      <c r="H622" s="74"/>
      <c r="I622" s="67" t="str">
        <f>IFERROR(__xludf.DUMMYFUNCTION("if($H622="""", """", AVERAGE(split($H622, "";"")))"),"")</f>
        <v/>
      </c>
      <c r="J622" s="67" t="str">
        <f>IFERROR(__xludf.DUMMYFUNCTION("if(H622="""", """", SUM(split(H622, "";"")))"),"")</f>
        <v/>
      </c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  <c r="AA622" s="68"/>
    </row>
    <row r="623" ht="26.25" customHeight="1">
      <c r="A623" s="68"/>
      <c r="B623" s="68"/>
      <c r="C623" s="68"/>
      <c r="D623" s="71"/>
      <c r="E623" s="71"/>
      <c r="F623" s="71"/>
      <c r="G623" s="65" t="str">
        <f t="shared" si="1"/>
        <v/>
      </c>
      <c r="H623" s="74"/>
      <c r="I623" s="67" t="str">
        <f>IFERROR(__xludf.DUMMYFUNCTION("if($H623="""", """", AVERAGE(split($H623, "";"")))"),"")</f>
        <v/>
      </c>
      <c r="J623" s="67" t="str">
        <f>IFERROR(__xludf.DUMMYFUNCTION("if(H623="""", """", SUM(split(H623, "";"")))"),"")</f>
        <v/>
      </c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  <c r="AA623" s="68"/>
    </row>
    <row r="624" ht="26.25" customHeight="1">
      <c r="A624" s="68"/>
      <c r="B624" s="68"/>
      <c r="C624" s="68"/>
      <c r="D624" s="71"/>
      <c r="E624" s="71"/>
      <c r="F624" s="71"/>
      <c r="G624" s="65" t="str">
        <f t="shared" si="1"/>
        <v/>
      </c>
      <c r="H624" s="74"/>
      <c r="I624" s="67" t="str">
        <f>IFERROR(__xludf.DUMMYFUNCTION("if($H624="""", """", AVERAGE(split($H624, "";"")))"),"")</f>
        <v/>
      </c>
      <c r="J624" s="67" t="str">
        <f>IFERROR(__xludf.DUMMYFUNCTION("if(H624="""", """", SUM(split(H624, "";"")))"),"")</f>
        <v/>
      </c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  <c r="AA624" s="68"/>
    </row>
    <row r="625" ht="26.25" customHeight="1">
      <c r="A625" s="68"/>
      <c r="B625" s="68"/>
      <c r="C625" s="68"/>
      <c r="D625" s="71"/>
      <c r="E625" s="71"/>
      <c r="F625" s="71"/>
      <c r="G625" s="65" t="str">
        <f t="shared" si="1"/>
        <v/>
      </c>
      <c r="H625" s="74"/>
      <c r="I625" s="67" t="str">
        <f>IFERROR(__xludf.DUMMYFUNCTION("if($H625="""", """", AVERAGE(split($H625, "";"")))"),"")</f>
        <v/>
      </c>
      <c r="J625" s="67" t="str">
        <f>IFERROR(__xludf.DUMMYFUNCTION("if(H625="""", """", SUM(split(H625, "";"")))"),"")</f>
        <v/>
      </c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  <c r="AA625" s="68"/>
    </row>
    <row r="626" ht="26.25" customHeight="1">
      <c r="A626" s="68"/>
      <c r="B626" s="68"/>
      <c r="C626" s="68"/>
      <c r="D626" s="71"/>
      <c r="E626" s="71"/>
      <c r="F626" s="71"/>
      <c r="G626" s="65" t="str">
        <f t="shared" si="1"/>
        <v/>
      </c>
      <c r="H626" s="74"/>
      <c r="I626" s="67" t="str">
        <f>IFERROR(__xludf.DUMMYFUNCTION("if($H626="""", """", AVERAGE(split($H626, "";"")))"),"")</f>
        <v/>
      </c>
      <c r="J626" s="67" t="str">
        <f>IFERROR(__xludf.DUMMYFUNCTION("if(H626="""", """", SUM(split(H626, "";"")))"),"")</f>
        <v/>
      </c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  <c r="AA626" s="68"/>
    </row>
    <row r="627" ht="26.25" customHeight="1">
      <c r="A627" s="68"/>
      <c r="B627" s="68"/>
      <c r="C627" s="68"/>
      <c r="D627" s="71"/>
      <c r="E627" s="71"/>
      <c r="F627" s="71"/>
      <c r="G627" s="65" t="str">
        <f t="shared" si="1"/>
        <v/>
      </c>
      <c r="H627" s="74"/>
      <c r="I627" s="67" t="str">
        <f>IFERROR(__xludf.DUMMYFUNCTION("if($H627="""", """", AVERAGE(split($H627, "";"")))"),"")</f>
        <v/>
      </c>
      <c r="J627" s="67" t="str">
        <f>IFERROR(__xludf.DUMMYFUNCTION("if(H627="""", """", SUM(split(H627, "";"")))"),"")</f>
        <v/>
      </c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  <c r="AA627" s="68"/>
    </row>
    <row r="628" ht="26.25" customHeight="1">
      <c r="A628" s="68"/>
      <c r="B628" s="68"/>
      <c r="C628" s="68"/>
      <c r="D628" s="71"/>
      <c r="E628" s="71"/>
      <c r="F628" s="71"/>
      <c r="G628" s="65" t="str">
        <f t="shared" si="1"/>
        <v/>
      </c>
      <c r="H628" s="74"/>
      <c r="I628" s="67" t="str">
        <f>IFERROR(__xludf.DUMMYFUNCTION("if($H628="""", """", AVERAGE(split($H628, "";"")))"),"")</f>
        <v/>
      </c>
      <c r="J628" s="67" t="str">
        <f>IFERROR(__xludf.DUMMYFUNCTION("if(H628="""", """", SUM(split(H628, "";"")))"),"")</f>
        <v/>
      </c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  <c r="AA628" s="68"/>
    </row>
    <row r="629" ht="26.25" customHeight="1">
      <c r="A629" s="68"/>
      <c r="B629" s="68"/>
      <c r="C629" s="68"/>
      <c r="D629" s="71"/>
      <c r="E629" s="71"/>
      <c r="F629" s="71"/>
      <c r="G629" s="65" t="str">
        <f t="shared" si="1"/>
        <v/>
      </c>
      <c r="H629" s="74"/>
      <c r="I629" s="67" t="str">
        <f>IFERROR(__xludf.DUMMYFUNCTION("if($H629="""", """", AVERAGE(split($H629, "";"")))"),"")</f>
        <v/>
      </c>
      <c r="J629" s="67" t="str">
        <f>IFERROR(__xludf.DUMMYFUNCTION("if(H629="""", """", SUM(split(H629, "";"")))"),"")</f>
        <v/>
      </c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  <c r="AA629" s="68"/>
    </row>
    <row r="630" ht="26.25" customHeight="1">
      <c r="A630" s="68"/>
      <c r="B630" s="68"/>
      <c r="C630" s="68"/>
      <c r="D630" s="71"/>
      <c r="E630" s="71"/>
      <c r="F630" s="71"/>
      <c r="G630" s="65" t="str">
        <f t="shared" si="1"/>
        <v/>
      </c>
      <c r="H630" s="74"/>
      <c r="I630" s="67" t="str">
        <f>IFERROR(__xludf.DUMMYFUNCTION("if($H630="""", """", AVERAGE(split($H630, "";"")))"),"")</f>
        <v/>
      </c>
      <c r="J630" s="67" t="str">
        <f>IFERROR(__xludf.DUMMYFUNCTION("if(H630="""", """", SUM(split(H630, "";"")))"),"")</f>
        <v/>
      </c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  <c r="AA630" s="68"/>
    </row>
    <row r="631" ht="26.25" customHeight="1">
      <c r="A631" s="68"/>
      <c r="B631" s="68"/>
      <c r="C631" s="68"/>
      <c r="D631" s="71"/>
      <c r="E631" s="71"/>
      <c r="F631" s="71"/>
      <c r="G631" s="65" t="str">
        <f t="shared" si="1"/>
        <v/>
      </c>
      <c r="H631" s="74"/>
      <c r="I631" s="67" t="str">
        <f>IFERROR(__xludf.DUMMYFUNCTION("if($H631="""", """", AVERAGE(split($H631, "";"")))"),"")</f>
        <v/>
      </c>
      <c r="J631" s="67" t="str">
        <f>IFERROR(__xludf.DUMMYFUNCTION("if(H631="""", """", SUM(split(H631, "";"")))"),"")</f>
        <v/>
      </c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  <c r="AA631" s="68"/>
    </row>
    <row r="632" ht="26.25" customHeight="1">
      <c r="A632" s="68"/>
      <c r="B632" s="68"/>
      <c r="C632" s="68"/>
      <c r="D632" s="71"/>
      <c r="E632" s="71"/>
      <c r="F632" s="71"/>
      <c r="G632" s="65" t="str">
        <f t="shared" si="1"/>
        <v/>
      </c>
      <c r="H632" s="74"/>
      <c r="I632" s="67" t="str">
        <f>IFERROR(__xludf.DUMMYFUNCTION("if($H632="""", """", AVERAGE(split($H632, "";"")))"),"")</f>
        <v/>
      </c>
      <c r="J632" s="67" t="str">
        <f>IFERROR(__xludf.DUMMYFUNCTION("if(H632="""", """", SUM(split(H632, "";"")))"),"")</f>
        <v/>
      </c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  <c r="AA632" s="68"/>
    </row>
    <row r="633" ht="26.25" customHeight="1">
      <c r="A633" s="68"/>
      <c r="B633" s="68"/>
      <c r="C633" s="68"/>
      <c r="D633" s="71"/>
      <c r="E633" s="71"/>
      <c r="F633" s="71"/>
      <c r="G633" s="65" t="str">
        <f t="shared" si="1"/>
        <v/>
      </c>
      <c r="H633" s="74"/>
      <c r="I633" s="67" t="str">
        <f>IFERROR(__xludf.DUMMYFUNCTION("if($H633="""", """", AVERAGE(split($H633, "";"")))"),"")</f>
        <v/>
      </c>
      <c r="J633" s="67" t="str">
        <f>IFERROR(__xludf.DUMMYFUNCTION("if(H633="""", """", SUM(split(H633, "";"")))"),"")</f>
        <v/>
      </c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  <c r="AA633" s="68"/>
    </row>
    <row r="634" ht="26.25" customHeight="1">
      <c r="A634" s="68"/>
      <c r="B634" s="68"/>
      <c r="C634" s="68"/>
      <c r="D634" s="71"/>
      <c r="E634" s="71"/>
      <c r="F634" s="71"/>
      <c r="G634" s="65" t="str">
        <f t="shared" si="1"/>
        <v/>
      </c>
      <c r="H634" s="74"/>
      <c r="I634" s="67" t="str">
        <f>IFERROR(__xludf.DUMMYFUNCTION("if($H634="""", """", AVERAGE(split($H634, "";"")))"),"")</f>
        <v/>
      </c>
      <c r="J634" s="67" t="str">
        <f>IFERROR(__xludf.DUMMYFUNCTION("if(H634="""", """", SUM(split(H634, "";"")))"),"")</f>
        <v/>
      </c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  <c r="AA634" s="68"/>
    </row>
    <row r="635" ht="26.25" customHeight="1">
      <c r="A635" s="68"/>
      <c r="B635" s="68"/>
      <c r="C635" s="68"/>
      <c r="D635" s="71"/>
      <c r="E635" s="71"/>
      <c r="F635" s="71"/>
      <c r="G635" s="65" t="str">
        <f t="shared" si="1"/>
        <v/>
      </c>
      <c r="H635" s="74"/>
      <c r="I635" s="67" t="str">
        <f>IFERROR(__xludf.DUMMYFUNCTION("if($H635="""", """", AVERAGE(split($H635, "";"")))"),"")</f>
        <v/>
      </c>
      <c r="J635" s="67" t="str">
        <f>IFERROR(__xludf.DUMMYFUNCTION("if(H635="""", """", SUM(split(H635, "";"")))"),"")</f>
        <v/>
      </c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  <c r="AA635" s="68"/>
    </row>
    <row r="636" ht="26.25" customHeight="1">
      <c r="A636" s="68"/>
      <c r="B636" s="68"/>
      <c r="C636" s="68"/>
      <c r="D636" s="71"/>
      <c r="E636" s="71"/>
      <c r="F636" s="71"/>
      <c r="G636" s="65" t="str">
        <f t="shared" si="1"/>
        <v/>
      </c>
      <c r="H636" s="74"/>
      <c r="I636" s="67" t="str">
        <f>IFERROR(__xludf.DUMMYFUNCTION("if($H636="""", """", AVERAGE(split($H636, "";"")))"),"")</f>
        <v/>
      </c>
      <c r="J636" s="67" t="str">
        <f>IFERROR(__xludf.DUMMYFUNCTION("if(H636="""", """", SUM(split(H636, "";"")))"),"")</f>
        <v/>
      </c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  <c r="AA636" s="68"/>
    </row>
    <row r="637" ht="26.25" customHeight="1">
      <c r="A637" s="68"/>
      <c r="B637" s="68"/>
      <c r="C637" s="68"/>
      <c r="D637" s="71"/>
      <c r="E637" s="71"/>
      <c r="F637" s="71"/>
      <c r="G637" s="65" t="str">
        <f t="shared" si="1"/>
        <v/>
      </c>
      <c r="H637" s="74"/>
      <c r="I637" s="67" t="str">
        <f>IFERROR(__xludf.DUMMYFUNCTION("if($H637="""", """", AVERAGE(split($H637, "";"")))"),"")</f>
        <v/>
      </c>
      <c r="J637" s="67" t="str">
        <f>IFERROR(__xludf.DUMMYFUNCTION("if(H637="""", """", SUM(split(H637, "";"")))"),"")</f>
        <v/>
      </c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  <c r="AA637" s="68"/>
    </row>
    <row r="638" ht="26.25" customHeight="1">
      <c r="A638" s="68"/>
      <c r="B638" s="68"/>
      <c r="C638" s="68"/>
      <c r="D638" s="71"/>
      <c r="E638" s="71"/>
      <c r="F638" s="71"/>
      <c r="G638" s="65" t="str">
        <f t="shared" si="1"/>
        <v/>
      </c>
      <c r="H638" s="74"/>
      <c r="I638" s="67" t="str">
        <f>IFERROR(__xludf.DUMMYFUNCTION("if($H638="""", """", AVERAGE(split($H638, "";"")))"),"")</f>
        <v/>
      </c>
      <c r="J638" s="67" t="str">
        <f>IFERROR(__xludf.DUMMYFUNCTION("if(H638="""", """", SUM(split(H638, "";"")))"),"")</f>
        <v/>
      </c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  <c r="AA638" s="68"/>
    </row>
    <row r="639" ht="26.25" customHeight="1">
      <c r="A639" s="68"/>
      <c r="B639" s="68"/>
      <c r="C639" s="68"/>
      <c r="D639" s="71"/>
      <c r="E639" s="71"/>
      <c r="F639" s="71"/>
      <c r="G639" s="65" t="str">
        <f t="shared" si="1"/>
        <v/>
      </c>
      <c r="H639" s="74"/>
      <c r="I639" s="67" t="str">
        <f>IFERROR(__xludf.DUMMYFUNCTION("if($H639="""", """", AVERAGE(split($H639, "";"")))"),"")</f>
        <v/>
      </c>
      <c r="J639" s="67" t="str">
        <f>IFERROR(__xludf.DUMMYFUNCTION("if(H639="""", """", SUM(split(H639, "";"")))"),"")</f>
        <v/>
      </c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  <c r="AA639" s="68"/>
    </row>
    <row r="640" ht="26.25" customHeight="1">
      <c r="A640" s="68"/>
      <c r="B640" s="68"/>
      <c r="C640" s="68"/>
      <c r="D640" s="71"/>
      <c r="E640" s="71"/>
      <c r="F640" s="71"/>
      <c r="G640" s="65" t="str">
        <f t="shared" si="1"/>
        <v/>
      </c>
      <c r="H640" s="74"/>
      <c r="I640" s="67" t="str">
        <f>IFERROR(__xludf.DUMMYFUNCTION("if($H640="""", """", AVERAGE(split($H640, "";"")))"),"")</f>
        <v/>
      </c>
      <c r="J640" s="67" t="str">
        <f>IFERROR(__xludf.DUMMYFUNCTION("if(H640="""", """", SUM(split(H640, "";"")))"),"")</f>
        <v/>
      </c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  <c r="AA640" s="68"/>
    </row>
    <row r="641" ht="26.25" customHeight="1">
      <c r="A641" s="68"/>
      <c r="B641" s="68"/>
      <c r="C641" s="68"/>
      <c r="D641" s="71"/>
      <c r="E641" s="71"/>
      <c r="F641" s="71"/>
      <c r="G641" s="65" t="str">
        <f t="shared" si="1"/>
        <v/>
      </c>
      <c r="H641" s="74"/>
      <c r="I641" s="67" t="str">
        <f>IFERROR(__xludf.DUMMYFUNCTION("if($H641="""", """", AVERAGE(split($H641, "";"")))"),"")</f>
        <v/>
      </c>
      <c r="J641" s="67" t="str">
        <f>IFERROR(__xludf.DUMMYFUNCTION("if(H641="""", """", SUM(split(H641, "";"")))"),"")</f>
        <v/>
      </c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  <c r="AA641" s="68"/>
    </row>
    <row r="642" ht="26.25" customHeight="1">
      <c r="A642" s="68"/>
      <c r="B642" s="68"/>
      <c r="C642" s="68"/>
      <c r="D642" s="71"/>
      <c r="E642" s="71"/>
      <c r="F642" s="71"/>
      <c r="G642" s="65" t="str">
        <f t="shared" si="1"/>
        <v/>
      </c>
      <c r="H642" s="74"/>
      <c r="I642" s="67" t="str">
        <f>IFERROR(__xludf.DUMMYFUNCTION("if($H642="""", """", AVERAGE(split($H642, "";"")))"),"")</f>
        <v/>
      </c>
      <c r="J642" s="67" t="str">
        <f>IFERROR(__xludf.DUMMYFUNCTION("if(H642="""", """", SUM(split(H642, "";"")))"),"")</f>
        <v/>
      </c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  <c r="AA642" s="68"/>
    </row>
    <row r="643" ht="26.25" customHeight="1">
      <c r="A643" s="68"/>
      <c r="B643" s="68"/>
      <c r="C643" s="68"/>
      <c r="D643" s="71"/>
      <c r="E643" s="71"/>
      <c r="F643" s="71"/>
      <c r="G643" s="65" t="str">
        <f t="shared" si="1"/>
        <v/>
      </c>
      <c r="H643" s="74"/>
      <c r="I643" s="67" t="str">
        <f>IFERROR(__xludf.DUMMYFUNCTION("if($H643="""", """", AVERAGE(split($H643, "";"")))"),"")</f>
        <v/>
      </c>
      <c r="J643" s="67" t="str">
        <f>IFERROR(__xludf.DUMMYFUNCTION("if(H643="""", """", SUM(split(H643, "";"")))"),"")</f>
        <v/>
      </c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  <c r="AA643" s="68"/>
    </row>
    <row r="644" ht="26.25" customHeight="1">
      <c r="A644" s="68"/>
      <c r="B644" s="68"/>
      <c r="C644" s="68"/>
      <c r="D644" s="71"/>
      <c r="E644" s="71"/>
      <c r="F644" s="71"/>
      <c r="G644" s="65" t="str">
        <f t="shared" si="1"/>
        <v/>
      </c>
      <c r="H644" s="74"/>
      <c r="I644" s="67" t="str">
        <f>IFERROR(__xludf.DUMMYFUNCTION("if($H644="""", """", AVERAGE(split($H644, "";"")))"),"")</f>
        <v/>
      </c>
      <c r="J644" s="67" t="str">
        <f>IFERROR(__xludf.DUMMYFUNCTION("if(H644="""", """", SUM(split(H644, "";"")))"),"")</f>
        <v/>
      </c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  <c r="AA644" s="68"/>
    </row>
    <row r="645" ht="26.25" customHeight="1">
      <c r="A645" s="68"/>
      <c r="B645" s="68"/>
      <c r="C645" s="68"/>
      <c r="D645" s="71"/>
      <c r="E645" s="71"/>
      <c r="F645" s="71"/>
      <c r="G645" s="65" t="str">
        <f t="shared" si="1"/>
        <v/>
      </c>
      <c r="H645" s="74"/>
      <c r="I645" s="67" t="str">
        <f>IFERROR(__xludf.DUMMYFUNCTION("if($H645="""", """", AVERAGE(split($H645, "";"")))"),"")</f>
        <v/>
      </c>
      <c r="J645" s="67" t="str">
        <f>IFERROR(__xludf.DUMMYFUNCTION("if(H645="""", """", SUM(split(H645, "";"")))"),"")</f>
        <v/>
      </c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  <c r="AA645" s="68"/>
    </row>
    <row r="646" ht="26.25" customHeight="1">
      <c r="A646" s="68"/>
      <c r="B646" s="68"/>
      <c r="C646" s="68"/>
      <c r="D646" s="71"/>
      <c r="E646" s="71"/>
      <c r="F646" s="71"/>
      <c r="G646" s="65" t="str">
        <f t="shared" si="1"/>
        <v/>
      </c>
      <c r="H646" s="74"/>
      <c r="I646" s="67" t="str">
        <f>IFERROR(__xludf.DUMMYFUNCTION("if($H646="""", """", AVERAGE(split($H646, "";"")))"),"")</f>
        <v/>
      </c>
      <c r="J646" s="67" t="str">
        <f>IFERROR(__xludf.DUMMYFUNCTION("if(H646="""", """", SUM(split(H646, "";"")))"),"")</f>
        <v/>
      </c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  <c r="AA646" s="68"/>
    </row>
    <row r="647" ht="26.25" customHeight="1">
      <c r="A647" s="68"/>
      <c r="B647" s="68"/>
      <c r="C647" s="68"/>
      <c r="D647" s="71"/>
      <c r="E647" s="71"/>
      <c r="F647" s="71"/>
      <c r="G647" s="65" t="str">
        <f t="shared" si="1"/>
        <v/>
      </c>
      <c r="H647" s="74"/>
      <c r="I647" s="67" t="str">
        <f>IFERROR(__xludf.DUMMYFUNCTION("if($H647="""", """", AVERAGE(split($H647, "";"")))"),"")</f>
        <v/>
      </c>
      <c r="J647" s="67" t="str">
        <f>IFERROR(__xludf.DUMMYFUNCTION("if(H647="""", """", SUM(split(H647, "";"")))"),"")</f>
        <v/>
      </c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  <c r="AA647" s="68"/>
    </row>
    <row r="648" ht="26.25" customHeight="1">
      <c r="A648" s="68"/>
      <c r="B648" s="68"/>
      <c r="C648" s="68"/>
      <c r="D648" s="71"/>
      <c r="E648" s="71"/>
      <c r="F648" s="71"/>
      <c r="G648" s="65" t="str">
        <f t="shared" si="1"/>
        <v/>
      </c>
      <c r="H648" s="74"/>
      <c r="I648" s="67" t="str">
        <f>IFERROR(__xludf.DUMMYFUNCTION("if($H648="""", """", AVERAGE(split($H648, "";"")))"),"")</f>
        <v/>
      </c>
      <c r="J648" s="67" t="str">
        <f>IFERROR(__xludf.DUMMYFUNCTION("if(H648="""", """", SUM(split(H648, "";"")))"),"")</f>
        <v/>
      </c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  <c r="AA648" s="68"/>
    </row>
    <row r="649" ht="26.25" customHeight="1">
      <c r="A649" s="68"/>
      <c r="B649" s="68"/>
      <c r="C649" s="68"/>
      <c r="D649" s="71"/>
      <c r="E649" s="71"/>
      <c r="F649" s="71"/>
      <c r="G649" s="65" t="str">
        <f t="shared" si="1"/>
        <v/>
      </c>
      <c r="H649" s="74"/>
      <c r="I649" s="67" t="str">
        <f>IFERROR(__xludf.DUMMYFUNCTION("if($H649="""", """", AVERAGE(split($H649, "";"")))"),"")</f>
        <v/>
      </c>
      <c r="J649" s="67" t="str">
        <f>IFERROR(__xludf.DUMMYFUNCTION("if(H649="""", """", SUM(split(H649, "";"")))"),"")</f>
        <v/>
      </c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  <c r="AA649" s="68"/>
    </row>
    <row r="650" ht="26.25" customHeight="1">
      <c r="A650" s="68"/>
      <c r="B650" s="68"/>
      <c r="C650" s="68"/>
      <c r="D650" s="71"/>
      <c r="E650" s="71"/>
      <c r="F650" s="71"/>
      <c r="G650" s="65" t="str">
        <f t="shared" si="1"/>
        <v/>
      </c>
      <c r="H650" s="74"/>
      <c r="I650" s="67" t="str">
        <f>IFERROR(__xludf.DUMMYFUNCTION("if($H650="""", """", AVERAGE(split($H650, "";"")))"),"")</f>
        <v/>
      </c>
      <c r="J650" s="67" t="str">
        <f>IFERROR(__xludf.DUMMYFUNCTION("if(H650="""", """", SUM(split(H650, "";"")))"),"")</f>
        <v/>
      </c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  <c r="AA650" s="68"/>
    </row>
    <row r="651" ht="26.25" customHeight="1">
      <c r="A651" s="68"/>
      <c r="B651" s="68"/>
      <c r="C651" s="68"/>
      <c r="D651" s="71"/>
      <c r="E651" s="71"/>
      <c r="F651" s="71"/>
      <c r="G651" s="65" t="str">
        <f t="shared" si="1"/>
        <v/>
      </c>
      <c r="H651" s="74"/>
      <c r="I651" s="67" t="str">
        <f>IFERROR(__xludf.DUMMYFUNCTION("if($H651="""", """", AVERAGE(split($H651, "";"")))"),"")</f>
        <v/>
      </c>
      <c r="J651" s="67" t="str">
        <f>IFERROR(__xludf.DUMMYFUNCTION("if(H651="""", """", SUM(split(H651, "";"")))"),"")</f>
        <v/>
      </c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  <c r="AA651" s="68"/>
    </row>
    <row r="652" ht="26.25" customHeight="1">
      <c r="A652" s="68"/>
      <c r="B652" s="68"/>
      <c r="C652" s="68"/>
      <c r="D652" s="71"/>
      <c r="E652" s="71"/>
      <c r="F652" s="71"/>
      <c r="G652" s="65" t="str">
        <f t="shared" si="1"/>
        <v/>
      </c>
      <c r="H652" s="74"/>
      <c r="I652" s="67" t="str">
        <f>IFERROR(__xludf.DUMMYFUNCTION("if($H652="""", """", AVERAGE(split($H652, "";"")))"),"")</f>
        <v/>
      </c>
      <c r="J652" s="67" t="str">
        <f>IFERROR(__xludf.DUMMYFUNCTION("if(H652="""", """", SUM(split(H652, "";"")))"),"")</f>
        <v/>
      </c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  <c r="AA652" s="68"/>
    </row>
    <row r="653" ht="26.25" customHeight="1">
      <c r="A653" s="68"/>
      <c r="B653" s="68"/>
      <c r="C653" s="68"/>
      <c r="D653" s="71"/>
      <c r="E653" s="71"/>
      <c r="F653" s="71"/>
      <c r="G653" s="65" t="str">
        <f t="shared" si="1"/>
        <v/>
      </c>
      <c r="H653" s="74"/>
      <c r="I653" s="67" t="str">
        <f>IFERROR(__xludf.DUMMYFUNCTION("if($H653="""", """", AVERAGE(split($H653, "";"")))"),"")</f>
        <v/>
      </c>
      <c r="J653" s="67" t="str">
        <f>IFERROR(__xludf.DUMMYFUNCTION("if(H653="""", """", SUM(split(H653, "";"")))"),"")</f>
        <v/>
      </c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  <c r="AA653" s="68"/>
    </row>
    <row r="654" ht="26.25" customHeight="1">
      <c r="A654" s="68"/>
      <c r="B654" s="68"/>
      <c r="C654" s="68"/>
      <c r="D654" s="71"/>
      <c r="E654" s="71"/>
      <c r="F654" s="71"/>
      <c r="G654" s="65" t="str">
        <f t="shared" si="1"/>
        <v/>
      </c>
      <c r="H654" s="74"/>
      <c r="I654" s="67" t="str">
        <f>IFERROR(__xludf.DUMMYFUNCTION("if($H654="""", """", AVERAGE(split($H654, "";"")))"),"")</f>
        <v/>
      </c>
      <c r="J654" s="67" t="str">
        <f>IFERROR(__xludf.DUMMYFUNCTION("if(H654="""", """", SUM(split(H654, "";"")))"),"")</f>
        <v/>
      </c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  <c r="AA654" s="68"/>
    </row>
    <row r="655" ht="26.25" customHeight="1">
      <c r="A655" s="68"/>
      <c r="B655" s="68"/>
      <c r="C655" s="68"/>
      <c r="D655" s="71"/>
      <c r="E655" s="71"/>
      <c r="F655" s="71"/>
      <c r="G655" s="65" t="str">
        <f t="shared" si="1"/>
        <v/>
      </c>
      <c r="H655" s="74"/>
      <c r="I655" s="67" t="str">
        <f>IFERROR(__xludf.DUMMYFUNCTION("if($H655="""", """", AVERAGE(split($H655, "";"")))"),"")</f>
        <v/>
      </c>
      <c r="J655" s="67" t="str">
        <f>IFERROR(__xludf.DUMMYFUNCTION("if(H655="""", """", SUM(split(H655, "";"")))"),"")</f>
        <v/>
      </c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  <c r="AA655" s="68"/>
    </row>
    <row r="656" ht="26.25" customHeight="1">
      <c r="A656" s="68"/>
      <c r="B656" s="68"/>
      <c r="C656" s="68"/>
      <c r="D656" s="71"/>
      <c r="E656" s="71"/>
      <c r="F656" s="71"/>
      <c r="G656" s="65" t="str">
        <f t="shared" si="1"/>
        <v/>
      </c>
      <c r="H656" s="74"/>
      <c r="I656" s="67" t="str">
        <f>IFERROR(__xludf.DUMMYFUNCTION("if($H656="""", """", AVERAGE(split($H656, "";"")))"),"")</f>
        <v/>
      </c>
      <c r="J656" s="67" t="str">
        <f>IFERROR(__xludf.DUMMYFUNCTION("if(H656="""", """", SUM(split(H656, "";"")))"),"")</f>
        <v/>
      </c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  <c r="AA656" s="68"/>
    </row>
    <row r="657" ht="26.25" customHeight="1">
      <c r="A657" s="68"/>
      <c r="B657" s="68"/>
      <c r="C657" s="68"/>
      <c r="D657" s="71"/>
      <c r="E657" s="71"/>
      <c r="F657" s="71"/>
      <c r="G657" s="65" t="str">
        <f t="shared" si="1"/>
        <v/>
      </c>
      <c r="H657" s="74"/>
      <c r="I657" s="67" t="str">
        <f>IFERROR(__xludf.DUMMYFUNCTION("if($H657="""", """", AVERAGE(split($H657, "";"")))"),"")</f>
        <v/>
      </c>
      <c r="J657" s="67" t="str">
        <f>IFERROR(__xludf.DUMMYFUNCTION("if(H657="""", """", SUM(split(H657, "";"")))"),"")</f>
        <v/>
      </c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  <c r="AA657" s="68"/>
    </row>
    <row r="658" ht="26.25" customHeight="1">
      <c r="A658" s="68"/>
      <c r="B658" s="68"/>
      <c r="C658" s="68"/>
      <c r="D658" s="71"/>
      <c r="E658" s="71"/>
      <c r="F658" s="71"/>
      <c r="G658" s="65" t="str">
        <f t="shared" si="1"/>
        <v/>
      </c>
      <c r="H658" s="74"/>
      <c r="I658" s="67" t="str">
        <f>IFERROR(__xludf.DUMMYFUNCTION("if($H658="""", """", AVERAGE(split($H658, "";"")))"),"")</f>
        <v/>
      </c>
      <c r="J658" s="67" t="str">
        <f>IFERROR(__xludf.DUMMYFUNCTION("if(H658="""", """", SUM(split(H658, "";"")))"),"")</f>
        <v/>
      </c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  <c r="AA658" s="68"/>
    </row>
    <row r="659" ht="26.25" customHeight="1">
      <c r="A659" s="68"/>
      <c r="B659" s="68"/>
      <c r="C659" s="68"/>
      <c r="D659" s="71"/>
      <c r="E659" s="71"/>
      <c r="F659" s="71"/>
      <c r="G659" s="65" t="str">
        <f t="shared" si="1"/>
        <v/>
      </c>
      <c r="H659" s="74"/>
      <c r="I659" s="67" t="str">
        <f>IFERROR(__xludf.DUMMYFUNCTION("if($H659="""", """", AVERAGE(split($H659, "";"")))"),"")</f>
        <v/>
      </c>
      <c r="J659" s="67" t="str">
        <f>IFERROR(__xludf.DUMMYFUNCTION("if(H659="""", """", SUM(split(H659, "";"")))"),"")</f>
        <v/>
      </c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  <c r="AA659" s="68"/>
    </row>
    <row r="660" ht="26.25" customHeight="1">
      <c r="A660" s="68"/>
      <c r="B660" s="68"/>
      <c r="C660" s="68"/>
      <c r="D660" s="71"/>
      <c r="E660" s="71"/>
      <c r="F660" s="71"/>
      <c r="G660" s="65" t="str">
        <f t="shared" si="1"/>
        <v/>
      </c>
      <c r="H660" s="74"/>
      <c r="I660" s="67" t="str">
        <f>IFERROR(__xludf.DUMMYFUNCTION("if($H660="""", """", AVERAGE(split($H660, "";"")))"),"")</f>
        <v/>
      </c>
      <c r="J660" s="67" t="str">
        <f>IFERROR(__xludf.DUMMYFUNCTION("if(H660="""", """", SUM(split(H660, "";"")))"),"")</f>
        <v/>
      </c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  <c r="AA660" s="68"/>
    </row>
    <row r="661" ht="26.25" customHeight="1">
      <c r="A661" s="68"/>
      <c r="B661" s="68"/>
      <c r="C661" s="68"/>
      <c r="D661" s="71"/>
      <c r="E661" s="71"/>
      <c r="F661" s="71"/>
      <c r="G661" s="65" t="str">
        <f t="shared" si="1"/>
        <v/>
      </c>
      <c r="H661" s="74"/>
      <c r="I661" s="67" t="str">
        <f>IFERROR(__xludf.DUMMYFUNCTION("if($H661="""", """", AVERAGE(split($H661, "";"")))"),"")</f>
        <v/>
      </c>
      <c r="J661" s="67" t="str">
        <f>IFERROR(__xludf.DUMMYFUNCTION("if(H661="""", """", SUM(split(H661, "";"")))"),"")</f>
        <v/>
      </c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  <c r="AA661" s="68"/>
    </row>
    <row r="662" ht="26.25" customHeight="1">
      <c r="A662" s="68"/>
      <c r="B662" s="68"/>
      <c r="C662" s="68"/>
      <c r="D662" s="71"/>
      <c r="E662" s="71"/>
      <c r="F662" s="71"/>
      <c r="G662" s="65" t="str">
        <f t="shared" si="1"/>
        <v/>
      </c>
      <c r="H662" s="74"/>
      <c r="I662" s="67" t="str">
        <f>IFERROR(__xludf.DUMMYFUNCTION("if($H662="""", """", AVERAGE(split($H662, "";"")))"),"")</f>
        <v/>
      </c>
      <c r="J662" s="67" t="str">
        <f>IFERROR(__xludf.DUMMYFUNCTION("if(H662="""", """", SUM(split(H662, "";"")))"),"")</f>
        <v/>
      </c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  <c r="AA662" s="68"/>
    </row>
    <row r="663" ht="26.25" customHeight="1">
      <c r="A663" s="68"/>
      <c r="B663" s="68"/>
      <c r="C663" s="68"/>
      <c r="D663" s="71"/>
      <c r="E663" s="71"/>
      <c r="F663" s="71"/>
      <c r="G663" s="65" t="str">
        <f t="shared" si="1"/>
        <v/>
      </c>
      <c r="H663" s="74"/>
      <c r="I663" s="67" t="str">
        <f>IFERROR(__xludf.DUMMYFUNCTION("if($H663="""", """", AVERAGE(split($H663, "";"")))"),"")</f>
        <v/>
      </c>
      <c r="J663" s="67" t="str">
        <f>IFERROR(__xludf.DUMMYFUNCTION("if(H663="""", """", SUM(split(H663, "";"")))"),"")</f>
        <v/>
      </c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  <c r="AA663" s="68"/>
    </row>
    <row r="664" ht="26.25" customHeight="1">
      <c r="A664" s="68"/>
      <c r="B664" s="68"/>
      <c r="C664" s="68"/>
      <c r="D664" s="71"/>
      <c r="E664" s="71"/>
      <c r="F664" s="71"/>
      <c r="G664" s="65" t="str">
        <f t="shared" si="1"/>
        <v/>
      </c>
      <c r="H664" s="74"/>
      <c r="I664" s="67" t="str">
        <f>IFERROR(__xludf.DUMMYFUNCTION("if($H664="""", """", AVERAGE(split($H664, "";"")))"),"")</f>
        <v/>
      </c>
      <c r="J664" s="67" t="str">
        <f>IFERROR(__xludf.DUMMYFUNCTION("if(H664="""", """", SUM(split(H664, "";"")))"),"")</f>
        <v/>
      </c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  <c r="AA664" s="68"/>
    </row>
    <row r="665" ht="26.25" customHeight="1">
      <c r="A665" s="68"/>
      <c r="B665" s="68"/>
      <c r="C665" s="68"/>
      <c r="D665" s="71"/>
      <c r="E665" s="71"/>
      <c r="F665" s="71"/>
      <c r="G665" s="65" t="str">
        <f t="shared" si="1"/>
        <v/>
      </c>
      <c r="H665" s="74"/>
      <c r="I665" s="67" t="str">
        <f>IFERROR(__xludf.DUMMYFUNCTION("if($H665="""", """", AVERAGE(split($H665, "";"")))"),"")</f>
        <v/>
      </c>
      <c r="J665" s="67" t="str">
        <f>IFERROR(__xludf.DUMMYFUNCTION("if(H665="""", """", SUM(split(H665, "";"")))"),"")</f>
        <v/>
      </c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  <c r="AA665" s="68"/>
    </row>
    <row r="666" ht="26.25" customHeight="1">
      <c r="A666" s="68"/>
      <c r="B666" s="68"/>
      <c r="C666" s="68"/>
      <c r="D666" s="71"/>
      <c r="E666" s="71"/>
      <c r="F666" s="71"/>
      <c r="G666" s="65" t="str">
        <f t="shared" si="1"/>
        <v/>
      </c>
      <c r="H666" s="74"/>
      <c r="I666" s="67" t="str">
        <f>IFERROR(__xludf.DUMMYFUNCTION("if($H666="""", """", AVERAGE(split($H666, "";"")))"),"")</f>
        <v/>
      </c>
      <c r="J666" s="67" t="str">
        <f>IFERROR(__xludf.DUMMYFUNCTION("if(H666="""", """", SUM(split(H666, "";"")))"),"")</f>
        <v/>
      </c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  <c r="AA666" s="68"/>
    </row>
    <row r="667" ht="26.25" customHeight="1">
      <c r="A667" s="68"/>
      <c r="B667" s="68"/>
      <c r="C667" s="68"/>
      <c r="D667" s="71"/>
      <c r="E667" s="71"/>
      <c r="F667" s="71"/>
      <c r="G667" s="65" t="str">
        <f t="shared" si="1"/>
        <v/>
      </c>
      <c r="H667" s="74"/>
      <c r="I667" s="67" t="str">
        <f>IFERROR(__xludf.DUMMYFUNCTION("if($H667="""", """", AVERAGE(split($H667, "";"")))"),"")</f>
        <v/>
      </c>
      <c r="J667" s="67" t="str">
        <f>IFERROR(__xludf.DUMMYFUNCTION("if(H667="""", """", SUM(split(H667, "";"")))"),"")</f>
        <v/>
      </c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  <c r="AA667" s="68"/>
    </row>
    <row r="668" ht="26.25" customHeight="1">
      <c r="A668" s="68"/>
      <c r="B668" s="68"/>
      <c r="C668" s="68"/>
      <c r="D668" s="71"/>
      <c r="E668" s="71"/>
      <c r="F668" s="71"/>
      <c r="G668" s="65" t="str">
        <f t="shared" si="1"/>
        <v/>
      </c>
      <c r="H668" s="74"/>
      <c r="I668" s="67" t="str">
        <f>IFERROR(__xludf.DUMMYFUNCTION("if($H668="""", """", AVERAGE(split($H668, "";"")))"),"")</f>
        <v/>
      </c>
      <c r="J668" s="67" t="str">
        <f>IFERROR(__xludf.DUMMYFUNCTION("if(H668="""", """", SUM(split(H668, "";"")))"),"")</f>
        <v/>
      </c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  <c r="AA668" s="68"/>
    </row>
    <row r="669" ht="26.25" customHeight="1">
      <c r="A669" s="68"/>
      <c r="B669" s="68"/>
      <c r="C669" s="68"/>
      <c r="D669" s="71"/>
      <c r="E669" s="71"/>
      <c r="F669" s="71"/>
      <c r="G669" s="65" t="str">
        <f t="shared" si="1"/>
        <v/>
      </c>
      <c r="H669" s="74"/>
      <c r="I669" s="67" t="str">
        <f>IFERROR(__xludf.DUMMYFUNCTION("if($H669="""", """", AVERAGE(split($H669, "";"")))"),"")</f>
        <v/>
      </c>
      <c r="J669" s="67" t="str">
        <f>IFERROR(__xludf.DUMMYFUNCTION("if(H669="""", """", SUM(split(H669, "";"")))"),"")</f>
        <v/>
      </c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  <c r="AA669" s="68"/>
    </row>
    <row r="670" ht="26.25" customHeight="1">
      <c r="A670" s="68"/>
      <c r="B670" s="68"/>
      <c r="C670" s="68"/>
      <c r="D670" s="71"/>
      <c r="E670" s="71"/>
      <c r="F670" s="71"/>
      <c r="G670" s="65" t="str">
        <f t="shared" si="1"/>
        <v/>
      </c>
      <c r="H670" s="74"/>
      <c r="I670" s="67" t="str">
        <f>IFERROR(__xludf.DUMMYFUNCTION("if($H670="""", """", AVERAGE(split($H670, "";"")))"),"")</f>
        <v/>
      </c>
      <c r="J670" s="67" t="str">
        <f>IFERROR(__xludf.DUMMYFUNCTION("if(H670="""", """", SUM(split(H670, "";"")))"),"")</f>
        <v/>
      </c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  <c r="AA670" s="68"/>
    </row>
    <row r="671" ht="26.25" customHeight="1">
      <c r="A671" s="68"/>
      <c r="B671" s="68"/>
      <c r="C671" s="68"/>
      <c r="D671" s="71"/>
      <c r="E671" s="71"/>
      <c r="F671" s="71"/>
      <c r="G671" s="65" t="str">
        <f t="shared" si="1"/>
        <v/>
      </c>
      <c r="H671" s="74"/>
      <c r="I671" s="67" t="str">
        <f>IFERROR(__xludf.DUMMYFUNCTION("if($H671="""", """", AVERAGE(split($H671, "";"")))"),"")</f>
        <v/>
      </c>
      <c r="J671" s="67" t="str">
        <f>IFERROR(__xludf.DUMMYFUNCTION("if(H671="""", """", SUM(split(H671, "";"")))"),"")</f>
        <v/>
      </c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  <c r="AA671" s="68"/>
    </row>
    <row r="672" ht="26.25" customHeight="1">
      <c r="A672" s="68"/>
      <c r="B672" s="68"/>
      <c r="C672" s="68"/>
      <c r="D672" s="71"/>
      <c r="E672" s="71"/>
      <c r="F672" s="71"/>
      <c r="G672" s="65" t="str">
        <f t="shared" si="1"/>
        <v/>
      </c>
      <c r="H672" s="74"/>
      <c r="I672" s="67" t="str">
        <f>IFERROR(__xludf.DUMMYFUNCTION("if($H672="""", """", AVERAGE(split($H672, "";"")))"),"")</f>
        <v/>
      </c>
      <c r="J672" s="67" t="str">
        <f>IFERROR(__xludf.DUMMYFUNCTION("if(H672="""", """", SUM(split(H672, "";"")))"),"")</f>
        <v/>
      </c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  <c r="AA672" s="68"/>
    </row>
    <row r="673" ht="26.25" customHeight="1">
      <c r="A673" s="68"/>
      <c r="B673" s="68"/>
      <c r="C673" s="68"/>
      <c r="D673" s="71"/>
      <c r="E673" s="71"/>
      <c r="F673" s="71"/>
      <c r="G673" s="65" t="str">
        <f t="shared" si="1"/>
        <v/>
      </c>
      <c r="H673" s="74"/>
      <c r="I673" s="67" t="str">
        <f>IFERROR(__xludf.DUMMYFUNCTION("if($H673="""", """", AVERAGE(split($H673, "";"")))"),"")</f>
        <v/>
      </c>
      <c r="J673" s="67" t="str">
        <f>IFERROR(__xludf.DUMMYFUNCTION("if(H673="""", """", SUM(split(H673, "";"")))"),"")</f>
        <v/>
      </c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  <c r="AA673" s="68"/>
    </row>
    <row r="674" ht="26.25" customHeight="1">
      <c r="A674" s="68"/>
      <c r="B674" s="68"/>
      <c r="C674" s="68"/>
      <c r="D674" s="71"/>
      <c r="E674" s="71"/>
      <c r="F674" s="71"/>
      <c r="G674" s="65" t="str">
        <f t="shared" si="1"/>
        <v/>
      </c>
      <c r="H674" s="74"/>
      <c r="I674" s="67" t="str">
        <f>IFERROR(__xludf.DUMMYFUNCTION("if($H674="""", """", AVERAGE(split($H674, "";"")))"),"")</f>
        <v/>
      </c>
      <c r="J674" s="67" t="str">
        <f>IFERROR(__xludf.DUMMYFUNCTION("if(H674="""", """", SUM(split(H674, "";"")))"),"")</f>
        <v/>
      </c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  <c r="AA674" s="68"/>
    </row>
    <row r="675" ht="26.25" customHeight="1">
      <c r="A675" s="68"/>
      <c r="B675" s="68"/>
      <c r="C675" s="68"/>
      <c r="D675" s="71"/>
      <c r="E675" s="71"/>
      <c r="F675" s="71"/>
      <c r="G675" s="65" t="str">
        <f t="shared" si="1"/>
        <v/>
      </c>
      <c r="H675" s="74"/>
      <c r="I675" s="67" t="str">
        <f>IFERROR(__xludf.DUMMYFUNCTION("if($H675="""", """", AVERAGE(split($H675, "";"")))"),"")</f>
        <v/>
      </c>
      <c r="J675" s="67" t="str">
        <f>IFERROR(__xludf.DUMMYFUNCTION("if(H675="""", """", SUM(split(H675, "";"")))"),"")</f>
        <v/>
      </c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  <c r="AA675" s="68"/>
    </row>
    <row r="676" ht="26.25" customHeight="1">
      <c r="A676" s="68"/>
      <c r="B676" s="68"/>
      <c r="C676" s="68"/>
      <c r="D676" s="71"/>
      <c r="E676" s="71"/>
      <c r="F676" s="71"/>
      <c r="G676" s="65" t="str">
        <f t="shared" si="1"/>
        <v/>
      </c>
      <c r="H676" s="74"/>
      <c r="I676" s="67" t="str">
        <f>IFERROR(__xludf.DUMMYFUNCTION("if($H676="""", """", AVERAGE(split($H676, "";"")))"),"")</f>
        <v/>
      </c>
      <c r="J676" s="67" t="str">
        <f>IFERROR(__xludf.DUMMYFUNCTION("if(H676="""", """", SUM(split(H676, "";"")))"),"")</f>
        <v/>
      </c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  <c r="AA676" s="68"/>
    </row>
    <row r="677" ht="26.25" customHeight="1">
      <c r="A677" s="68"/>
      <c r="B677" s="68"/>
      <c r="C677" s="68"/>
      <c r="D677" s="71"/>
      <c r="E677" s="71"/>
      <c r="F677" s="71"/>
      <c r="G677" s="65" t="str">
        <f t="shared" si="1"/>
        <v/>
      </c>
      <c r="H677" s="74"/>
      <c r="I677" s="67" t="str">
        <f>IFERROR(__xludf.DUMMYFUNCTION("if($H677="""", """", AVERAGE(split($H677, "";"")))"),"")</f>
        <v/>
      </c>
      <c r="J677" s="67" t="str">
        <f>IFERROR(__xludf.DUMMYFUNCTION("if(H677="""", """", SUM(split(H677, "";"")))"),"")</f>
        <v/>
      </c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  <c r="AA677" s="68"/>
    </row>
    <row r="678" ht="26.25" customHeight="1">
      <c r="A678" s="68"/>
      <c r="B678" s="68"/>
      <c r="C678" s="68"/>
      <c r="D678" s="71"/>
      <c r="E678" s="71"/>
      <c r="F678" s="71"/>
      <c r="G678" s="65" t="str">
        <f t="shared" si="1"/>
        <v/>
      </c>
      <c r="H678" s="74"/>
      <c r="I678" s="67" t="str">
        <f>IFERROR(__xludf.DUMMYFUNCTION("if($H678="""", """", AVERAGE(split($H678, "";"")))"),"")</f>
        <v/>
      </c>
      <c r="J678" s="67" t="str">
        <f>IFERROR(__xludf.DUMMYFUNCTION("if(H678="""", """", SUM(split(H678, "";"")))"),"")</f>
        <v/>
      </c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  <c r="AA678" s="68"/>
    </row>
    <row r="679" ht="26.25" customHeight="1">
      <c r="A679" s="68"/>
      <c r="B679" s="68"/>
      <c r="C679" s="68"/>
      <c r="D679" s="71"/>
      <c r="E679" s="71"/>
      <c r="F679" s="71"/>
      <c r="G679" s="65" t="str">
        <f t="shared" si="1"/>
        <v/>
      </c>
      <c r="H679" s="74"/>
      <c r="I679" s="67" t="str">
        <f>IFERROR(__xludf.DUMMYFUNCTION("if($H679="""", """", AVERAGE(split($H679, "";"")))"),"")</f>
        <v/>
      </c>
      <c r="J679" s="67" t="str">
        <f>IFERROR(__xludf.DUMMYFUNCTION("if(H679="""", """", SUM(split(H679, "";"")))"),"")</f>
        <v/>
      </c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  <c r="AA679" s="68"/>
    </row>
    <row r="680" ht="26.25" customHeight="1">
      <c r="A680" s="68"/>
      <c r="B680" s="68"/>
      <c r="C680" s="68"/>
      <c r="D680" s="71"/>
      <c r="E680" s="71"/>
      <c r="F680" s="71"/>
      <c r="G680" s="65" t="str">
        <f t="shared" si="1"/>
        <v/>
      </c>
      <c r="H680" s="74"/>
      <c r="I680" s="67" t="str">
        <f>IFERROR(__xludf.DUMMYFUNCTION("if($H680="""", """", AVERAGE(split($H680, "";"")))"),"")</f>
        <v/>
      </c>
      <c r="J680" s="67" t="str">
        <f>IFERROR(__xludf.DUMMYFUNCTION("if(H680="""", """", SUM(split(H680, "";"")))"),"")</f>
        <v/>
      </c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  <c r="AA680" s="68"/>
    </row>
    <row r="681" ht="26.25" customHeight="1">
      <c r="A681" s="68"/>
      <c r="B681" s="68"/>
      <c r="C681" s="68"/>
      <c r="D681" s="71"/>
      <c r="E681" s="71"/>
      <c r="F681" s="71"/>
      <c r="G681" s="65" t="str">
        <f t="shared" si="1"/>
        <v/>
      </c>
      <c r="H681" s="74"/>
      <c r="I681" s="67" t="str">
        <f>IFERROR(__xludf.DUMMYFUNCTION("if($H681="""", """", AVERAGE(split($H681, "";"")))"),"")</f>
        <v/>
      </c>
      <c r="J681" s="67" t="str">
        <f>IFERROR(__xludf.DUMMYFUNCTION("if(H681="""", """", SUM(split(H681, "";"")))"),"")</f>
        <v/>
      </c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  <c r="AA681" s="68"/>
    </row>
    <row r="682" ht="26.25" customHeight="1">
      <c r="A682" s="68"/>
      <c r="B682" s="68"/>
      <c r="C682" s="68"/>
      <c r="D682" s="71"/>
      <c r="E682" s="71"/>
      <c r="F682" s="71"/>
      <c r="G682" s="65" t="str">
        <f t="shared" si="1"/>
        <v/>
      </c>
      <c r="H682" s="74"/>
      <c r="I682" s="67" t="str">
        <f>IFERROR(__xludf.DUMMYFUNCTION("if($H682="""", """", AVERAGE(split($H682, "";"")))"),"")</f>
        <v/>
      </c>
      <c r="J682" s="67" t="str">
        <f>IFERROR(__xludf.DUMMYFUNCTION("if(H682="""", """", SUM(split(H682, "";"")))"),"")</f>
        <v/>
      </c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  <c r="AA682" s="68"/>
    </row>
    <row r="683" ht="26.25" customHeight="1">
      <c r="A683" s="68"/>
      <c r="B683" s="68"/>
      <c r="C683" s="68"/>
      <c r="D683" s="71"/>
      <c r="E683" s="71"/>
      <c r="F683" s="71"/>
      <c r="G683" s="65" t="str">
        <f t="shared" si="1"/>
        <v/>
      </c>
      <c r="H683" s="74"/>
      <c r="I683" s="67" t="str">
        <f>IFERROR(__xludf.DUMMYFUNCTION("if($H683="""", """", AVERAGE(split($H683, "";"")))"),"")</f>
        <v/>
      </c>
      <c r="J683" s="67" t="str">
        <f>IFERROR(__xludf.DUMMYFUNCTION("if(H683="""", """", SUM(split(H683, "";"")))"),"")</f>
        <v/>
      </c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  <c r="AA683" s="68"/>
    </row>
    <row r="684" ht="26.25" customHeight="1">
      <c r="A684" s="68"/>
      <c r="B684" s="68"/>
      <c r="C684" s="68"/>
      <c r="D684" s="71"/>
      <c r="E684" s="71"/>
      <c r="F684" s="71"/>
      <c r="G684" s="65" t="str">
        <f t="shared" si="1"/>
        <v/>
      </c>
      <c r="H684" s="74"/>
      <c r="I684" s="67" t="str">
        <f>IFERROR(__xludf.DUMMYFUNCTION("if($H684="""", """", AVERAGE(split($H684, "";"")))"),"")</f>
        <v/>
      </c>
      <c r="J684" s="67" t="str">
        <f>IFERROR(__xludf.DUMMYFUNCTION("if(H684="""", """", SUM(split(H684, "";"")))"),"")</f>
        <v/>
      </c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  <c r="AA684" s="68"/>
    </row>
    <row r="685" ht="26.25" customHeight="1">
      <c r="A685" s="68"/>
      <c r="B685" s="68"/>
      <c r="C685" s="68"/>
      <c r="D685" s="71"/>
      <c r="E685" s="71"/>
      <c r="F685" s="71"/>
      <c r="G685" s="65" t="str">
        <f t="shared" si="1"/>
        <v/>
      </c>
      <c r="H685" s="74"/>
      <c r="I685" s="67" t="str">
        <f>IFERROR(__xludf.DUMMYFUNCTION("if($H685="""", """", AVERAGE(split($H685, "";"")))"),"")</f>
        <v/>
      </c>
      <c r="J685" s="67" t="str">
        <f>IFERROR(__xludf.DUMMYFUNCTION("if(H685="""", """", SUM(split(H685, "";"")))"),"")</f>
        <v/>
      </c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  <c r="AA685" s="68"/>
    </row>
    <row r="686" ht="26.25" customHeight="1">
      <c r="A686" s="68"/>
      <c r="B686" s="68"/>
      <c r="C686" s="68"/>
      <c r="D686" s="71"/>
      <c r="E686" s="71"/>
      <c r="F686" s="71"/>
      <c r="G686" s="65" t="str">
        <f t="shared" si="1"/>
        <v/>
      </c>
      <c r="H686" s="74"/>
      <c r="I686" s="67" t="str">
        <f>IFERROR(__xludf.DUMMYFUNCTION("if($H686="""", """", AVERAGE(split($H686, "";"")))"),"")</f>
        <v/>
      </c>
      <c r="J686" s="67" t="str">
        <f>IFERROR(__xludf.DUMMYFUNCTION("if(H686="""", """", SUM(split(H686, "";"")))"),"")</f>
        <v/>
      </c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  <c r="AA686" s="68"/>
    </row>
    <row r="687" ht="26.25" customHeight="1">
      <c r="A687" s="68"/>
      <c r="B687" s="68"/>
      <c r="C687" s="68"/>
      <c r="D687" s="71"/>
      <c r="E687" s="71"/>
      <c r="F687" s="71"/>
      <c r="G687" s="65" t="str">
        <f t="shared" si="1"/>
        <v/>
      </c>
      <c r="H687" s="74"/>
      <c r="I687" s="67" t="str">
        <f>IFERROR(__xludf.DUMMYFUNCTION("if($H687="""", """", AVERAGE(split($H687, "";"")))"),"")</f>
        <v/>
      </c>
      <c r="J687" s="67" t="str">
        <f>IFERROR(__xludf.DUMMYFUNCTION("if(H687="""", """", SUM(split(H687, "";"")))"),"")</f>
        <v/>
      </c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  <c r="AA687" s="68"/>
    </row>
    <row r="688" ht="26.25" customHeight="1">
      <c r="A688" s="68"/>
      <c r="B688" s="68"/>
      <c r="C688" s="68"/>
      <c r="D688" s="71"/>
      <c r="E688" s="71"/>
      <c r="F688" s="71"/>
      <c r="G688" s="65" t="str">
        <f t="shared" si="1"/>
        <v/>
      </c>
      <c r="H688" s="74"/>
      <c r="I688" s="67" t="str">
        <f>IFERROR(__xludf.DUMMYFUNCTION("if($H688="""", """", AVERAGE(split($H688, "";"")))"),"")</f>
        <v/>
      </c>
      <c r="J688" s="67" t="str">
        <f>IFERROR(__xludf.DUMMYFUNCTION("if(H688="""", """", SUM(split(H688, "";"")))"),"")</f>
        <v/>
      </c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  <c r="AA688" s="68"/>
    </row>
    <row r="689" ht="26.25" customHeight="1">
      <c r="A689" s="68"/>
      <c r="B689" s="68"/>
      <c r="C689" s="68"/>
      <c r="D689" s="71"/>
      <c r="E689" s="71"/>
      <c r="F689" s="71"/>
      <c r="G689" s="65" t="str">
        <f t="shared" si="1"/>
        <v/>
      </c>
      <c r="H689" s="74"/>
      <c r="I689" s="67" t="str">
        <f>IFERROR(__xludf.DUMMYFUNCTION("if($H689="""", """", AVERAGE(split($H689, "";"")))"),"")</f>
        <v/>
      </c>
      <c r="J689" s="67" t="str">
        <f>IFERROR(__xludf.DUMMYFUNCTION("if(H689="""", """", SUM(split(H689, "";"")))"),"")</f>
        <v/>
      </c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  <c r="AA689" s="68"/>
    </row>
    <row r="690" ht="26.25" customHeight="1">
      <c r="A690" s="68"/>
      <c r="B690" s="68"/>
      <c r="C690" s="68"/>
      <c r="D690" s="71"/>
      <c r="E690" s="71"/>
      <c r="F690" s="71"/>
      <c r="G690" s="65" t="str">
        <f t="shared" si="1"/>
        <v/>
      </c>
      <c r="H690" s="74"/>
      <c r="I690" s="67" t="str">
        <f>IFERROR(__xludf.DUMMYFUNCTION("if($H690="""", """", AVERAGE(split($H690, "";"")))"),"")</f>
        <v/>
      </c>
      <c r="J690" s="67" t="str">
        <f>IFERROR(__xludf.DUMMYFUNCTION("if(H690="""", """", SUM(split(H690, "";"")))"),"")</f>
        <v/>
      </c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  <c r="AA690" s="68"/>
    </row>
    <row r="691" ht="26.25" customHeight="1">
      <c r="A691" s="68"/>
      <c r="B691" s="68"/>
      <c r="C691" s="68"/>
      <c r="D691" s="71"/>
      <c r="E691" s="71"/>
      <c r="F691" s="71"/>
      <c r="G691" s="65" t="str">
        <f t="shared" si="1"/>
        <v/>
      </c>
      <c r="H691" s="74"/>
      <c r="I691" s="67" t="str">
        <f>IFERROR(__xludf.DUMMYFUNCTION("if($H691="""", """", AVERAGE(split($H691, "";"")))"),"")</f>
        <v/>
      </c>
      <c r="J691" s="67" t="str">
        <f>IFERROR(__xludf.DUMMYFUNCTION("if(H691="""", """", SUM(split(H691, "";"")))"),"")</f>
        <v/>
      </c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  <c r="AA691" s="68"/>
    </row>
    <row r="692" ht="26.25" customHeight="1">
      <c r="A692" s="68"/>
      <c r="B692" s="68"/>
      <c r="C692" s="68"/>
      <c r="D692" s="71"/>
      <c r="E692" s="71"/>
      <c r="F692" s="71"/>
      <c r="G692" s="65" t="str">
        <f t="shared" si="1"/>
        <v/>
      </c>
      <c r="H692" s="74"/>
      <c r="I692" s="67" t="str">
        <f>IFERROR(__xludf.DUMMYFUNCTION("if($H692="""", """", AVERAGE(split($H692, "";"")))"),"")</f>
        <v/>
      </c>
      <c r="J692" s="67" t="str">
        <f>IFERROR(__xludf.DUMMYFUNCTION("if(H692="""", """", SUM(split(H692, "";"")))"),"")</f>
        <v/>
      </c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  <c r="AA692" s="68"/>
    </row>
    <row r="693" ht="26.25" customHeight="1">
      <c r="A693" s="68"/>
      <c r="B693" s="68"/>
      <c r="C693" s="68"/>
      <c r="D693" s="71"/>
      <c r="E693" s="71"/>
      <c r="F693" s="71"/>
      <c r="G693" s="65" t="str">
        <f t="shared" si="1"/>
        <v/>
      </c>
      <c r="H693" s="74"/>
      <c r="I693" s="67" t="str">
        <f>IFERROR(__xludf.DUMMYFUNCTION("if($H693="""", """", AVERAGE(split($H693, "";"")))"),"")</f>
        <v/>
      </c>
      <c r="J693" s="67" t="str">
        <f>IFERROR(__xludf.DUMMYFUNCTION("if(H693="""", """", SUM(split(H693, "";"")))"),"")</f>
        <v/>
      </c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  <c r="AA693" s="68"/>
    </row>
    <row r="694" ht="26.25" customHeight="1">
      <c r="A694" s="68"/>
      <c r="B694" s="68"/>
      <c r="C694" s="68"/>
      <c r="D694" s="71"/>
      <c r="E694" s="71"/>
      <c r="F694" s="71"/>
      <c r="G694" s="65" t="str">
        <f t="shared" si="1"/>
        <v/>
      </c>
      <c r="H694" s="74"/>
      <c r="I694" s="67" t="str">
        <f>IFERROR(__xludf.DUMMYFUNCTION("if($H694="""", """", AVERAGE(split($H694, "";"")))"),"")</f>
        <v/>
      </c>
      <c r="J694" s="67" t="str">
        <f>IFERROR(__xludf.DUMMYFUNCTION("if(H694="""", """", SUM(split(H694, "";"")))"),"")</f>
        <v/>
      </c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  <c r="AA694" s="68"/>
    </row>
    <row r="695" ht="26.25" customHeight="1">
      <c r="A695" s="68"/>
      <c r="B695" s="68"/>
      <c r="C695" s="68"/>
      <c r="D695" s="71"/>
      <c r="E695" s="71"/>
      <c r="F695" s="71"/>
      <c r="G695" s="65" t="str">
        <f t="shared" si="1"/>
        <v/>
      </c>
      <c r="H695" s="74"/>
      <c r="I695" s="67" t="str">
        <f>IFERROR(__xludf.DUMMYFUNCTION("if($H695="""", """", AVERAGE(split($H695, "";"")))"),"")</f>
        <v/>
      </c>
      <c r="J695" s="67" t="str">
        <f>IFERROR(__xludf.DUMMYFUNCTION("if(H695="""", """", SUM(split(H695, "";"")))"),"")</f>
        <v/>
      </c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  <c r="AA695" s="68"/>
    </row>
    <row r="696" ht="26.25" customHeight="1">
      <c r="A696" s="68"/>
      <c r="B696" s="68"/>
      <c r="C696" s="68"/>
      <c r="D696" s="71"/>
      <c r="E696" s="71"/>
      <c r="F696" s="71"/>
      <c r="G696" s="65" t="str">
        <f t="shared" si="1"/>
        <v/>
      </c>
      <c r="H696" s="74"/>
      <c r="I696" s="67" t="str">
        <f>IFERROR(__xludf.DUMMYFUNCTION("if($H696="""", """", AVERAGE(split($H696, "";"")))"),"")</f>
        <v/>
      </c>
      <c r="J696" s="67" t="str">
        <f>IFERROR(__xludf.DUMMYFUNCTION("if(H696="""", """", SUM(split(H696, "";"")))"),"")</f>
        <v/>
      </c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  <c r="AA696" s="68"/>
    </row>
    <row r="697" ht="26.25" customHeight="1">
      <c r="A697" s="68"/>
      <c r="B697" s="68"/>
      <c r="C697" s="68"/>
      <c r="D697" s="71"/>
      <c r="E697" s="71"/>
      <c r="F697" s="71"/>
      <c r="G697" s="65" t="str">
        <f t="shared" si="1"/>
        <v/>
      </c>
      <c r="H697" s="74"/>
      <c r="I697" s="67" t="str">
        <f>IFERROR(__xludf.DUMMYFUNCTION("if($H697="""", """", AVERAGE(split($H697, "";"")))"),"")</f>
        <v/>
      </c>
      <c r="J697" s="67" t="str">
        <f>IFERROR(__xludf.DUMMYFUNCTION("if(H697="""", """", SUM(split(H697, "";"")))"),"")</f>
        <v/>
      </c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  <c r="AA697" s="68"/>
    </row>
    <row r="698" ht="26.25" customHeight="1">
      <c r="A698" s="68"/>
      <c r="B698" s="68"/>
      <c r="C698" s="68"/>
      <c r="D698" s="71"/>
      <c r="E698" s="71"/>
      <c r="F698" s="71"/>
      <c r="G698" s="65" t="str">
        <f t="shared" si="1"/>
        <v/>
      </c>
      <c r="H698" s="74"/>
      <c r="I698" s="67" t="str">
        <f>IFERROR(__xludf.DUMMYFUNCTION("if($H698="""", """", AVERAGE(split($H698, "";"")))"),"")</f>
        <v/>
      </c>
      <c r="J698" s="67" t="str">
        <f>IFERROR(__xludf.DUMMYFUNCTION("if(H698="""", """", SUM(split(H698, "";"")))"),"")</f>
        <v/>
      </c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  <c r="AA698" s="68"/>
    </row>
    <row r="699" ht="26.25" customHeight="1">
      <c r="A699" s="68"/>
      <c r="B699" s="68"/>
      <c r="C699" s="68"/>
      <c r="D699" s="71"/>
      <c r="E699" s="71"/>
      <c r="F699" s="71"/>
      <c r="G699" s="65" t="str">
        <f t="shared" si="1"/>
        <v/>
      </c>
      <c r="H699" s="74"/>
      <c r="I699" s="67" t="str">
        <f>IFERROR(__xludf.DUMMYFUNCTION("if($H699="""", """", AVERAGE(split($H699, "";"")))"),"")</f>
        <v/>
      </c>
      <c r="J699" s="67" t="str">
        <f>IFERROR(__xludf.DUMMYFUNCTION("if(H699="""", """", SUM(split(H699, "";"")))"),"")</f>
        <v/>
      </c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  <c r="AA699" s="68"/>
    </row>
    <row r="700" ht="26.25" customHeight="1">
      <c r="A700" s="68"/>
      <c r="B700" s="68"/>
      <c r="C700" s="68"/>
      <c r="D700" s="71"/>
      <c r="E700" s="71"/>
      <c r="F700" s="71"/>
      <c r="G700" s="65" t="str">
        <f t="shared" si="1"/>
        <v/>
      </c>
      <c r="H700" s="74"/>
      <c r="I700" s="67" t="str">
        <f>IFERROR(__xludf.DUMMYFUNCTION("if($H700="""", """", AVERAGE(split($H700, "";"")))"),"")</f>
        <v/>
      </c>
      <c r="J700" s="67" t="str">
        <f>IFERROR(__xludf.DUMMYFUNCTION("if(H700="""", """", SUM(split(H700, "";"")))"),"")</f>
        <v/>
      </c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  <c r="AA700" s="68"/>
    </row>
    <row r="701" ht="26.25" customHeight="1">
      <c r="A701" s="68"/>
      <c r="B701" s="68"/>
      <c r="C701" s="68"/>
      <c r="D701" s="71"/>
      <c r="E701" s="71"/>
      <c r="F701" s="71"/>
      <c r="G701" s="65" t="str">
        <f t="shared" si="1"/>
        <v/>
      </c>
      <c r="H701" s="74"/>
      <c r="I701" s="67" t="str">
        <f>IFERROR(__xludf.DUMMYFUNCTION("if($H701="""", """", AVERAGE(split($H701, "";"")))"),"")</f>
        <v/>
      </c>
      <c r="J701" s="67" t="str">
        <f>IFERROR(__xludf.DUMMYFUNCTION("if(H701="""", """", SUM(split(H701, "";"")))"),"")</f>
        <v/>
      </c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  <c r="AA701" s="68"/>
    </row>
    <row r="702" ht="26.25" customHeight="1">
      <c r="A702" s="68"/>
      <c r="B702" s="68"/>
      <c r="C702" s="68"/>
      <c r="D702" s="71"/>
      <c r="E702" s="71"/>
      <c r="F702" s="71"/>
      <c r="G702" s="65" t="str">
        <f t="shared" si="1"/>
        <v/>
      </c>
      <c r="H702" s="74"/>
      <c r="I702" s="67" t="str">
        <f>IFERROR(__xludf.DUMMYFUNCTION("if($H702="""", """", AVERAGE(split($H702, "";"")))"),"")</f>
        <v/>
      </c>
      <c r="J702" s="67" t="str">
        <f>IFERROR(__xludf.DUMMYFUNCTION("if(H702="""", """", SUM(split(H702, "";"")))"),"")</f>
        <v/>
      </c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  <c r="AA702" s="68"/>
    </row>
    <row r="703" ht="26.25" customHeight="1">
      <c r="A703" s="68"/>
      <c r="B703" s="68"/>
      <c r="C703" s="68"/>
      <c r="D703" s="71"/>
      <c r="E703" s="71"/>
      <c r="F703" s="71"/>
      <c r="G703" s="65" t="str">
        <f t="shared" si="1"/>
        <v/>
      </c>
      <c r="H703" s="74"/>
      <c r="I703" s="67" t="str">
        <f>IFERROR(__xludf.DUMMYFUNCTION("if($H703="""", """", AVERAGE(split($H703, "";"")))"),"")</f>
        <v/>
      </c>
      <c r="J703" s="67" t="str">
        <f>IFERROR(__xludf.DUMMYFUNCTION("if(H703="""", """", SUM(split(H703, "";"")))"),"")</f>
        <v/>
      </c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  <c r="AA703" s="68"/>
    </row>
    <row r="704" ht="26.25" customHeight="1">
      <c r="A704" s="68"/>
      <c r="B704" s="68"/>
      <c r="C704" s="68"/>
      <c r="D704" s="71"/>
      <c r="E704" s="71"/>
      <c r="F704" s="71"/>
      <c r="G704" s="65" t="str">
        <f t="shared" si="1"/>
        <v/>
      </c>
      <c r="H704" s="74"/>
      <c r="I704" s="67" t="str">
        <f>IFERROR(__xludf.DUMMYFUNCTION("if($H704="""", """", AVERAGE(split($H704, "";"")))"),"")</f>
        <v/>
      </c>
      <c r="J704" s="67" t="str">
        <f>IFERROR(__xludf.DUMMYFUNCTION("if(H704="""", """", SUM(split(H704, "";"")))"),"")</f>
        <v/>
      </c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  <c r="AA704" s="68"/>
    </row>
    <row r="705" ht="26.25" customHeight="1">
      <c r="A705" s="68"/>
      <c r="B705" s="68"/>
      <c r="C705" s="68"/>
      <c r="D705" s="71"/>
      <c r="E705" s="71"/>
      <c r="F705" s="71"/>
      <c r="G705" s="65" t="str">
        <f t="shared" si="1"/>
        <v/>
      </c>
      <c r="H705" s="74"/>
      <c r="I705" s="67" t="str">
        <f>IFERROR(__xludf.DUMMYFUNCTION("if($H705="""", """", AVERAGE(split($H705, "";"")))"),"")</f>
        <v/>
      </c>
      <c r="J705" s="67" t="str">
        <f>IFERROR(__xludf.DUMMYFUNCTION("if(H705="""", """", SUM(split(H705, "";"")))"),"")</f>
        <v/>
      </c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  <c r="AA705" s="68"/>
    </row>
    <row r="706" ht="26.25" customHeight="1">
      <c r="A706" s="68"/>
      <c r="B706" s="68"/>
      <c r="C706" s="68"/>
      <c r="D706" s="71"/>
      <c r="E706" s="71"/>
      <c r="F706" s="71"/>
      <c r="G706" s="65" t="str">
        <f t="shared" si="1"/>
        <v/>
      </c>
      <c r="H706" s="74"/>
      <c r="I706" s="67" t="str">
        <f>IFERROR(__xludf.DUMMYFUNCTION("if($H706="""", """", AVERAGE(split($H706, "";"")))"),"")</f>
        <v/>
      </c>
      <c r="J706" s="67" t="str">
        <f>IFERROR(__xludf.DUMMYFUNCTION("if(H706="""", """", SUM(split(H706, "";"")))"),"")</f>
        <v/>
      </c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  <c r="AA706" s="68"/>
    </row>
    <row r="707" ht="26.25" customHeight="1">
      <c r="A707" s="68"/>
      <c r="B707" s="68"/>
      <c r="C707" s="68"/>
      <c r="D707" s="71"/>
      <c r="E707" s="71"/>
      <c r="F707" s="71"/>
      <c r="G707" s="65" t="str">
        <f t="shared" si="1"/>
        <v/>
      </c>
      <c r="H707" s="74"/>
      <c r="I707" s="67" t="str">
        <f>IFERROR(__xludf.DUMMYFUNCTION("if($H707="""", """", AVERAGE(split($H707, "";"")))"),"")</f>
        <v/>
      </c>
      <c r="J707" s="67" t="str">
        <f>IFERROR(__xludf.DUMMYFUNCTION("if(H707="""", """", SUM(split(H707, "";"")))"),"")</f>
        <v/>
      </c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  <c r="AA707" s="68"/>
    </row>
    <row r="708" ht="26.25" customHeight="1">
      <c r="A708" s="68"/>
      <c r="B708" s="68"/>
      <c r="C708" s="68"/>
      <c r="D708" s="71"/>
      <c r="E708" s="71"/>
      <c r="F708" s="71"/>
      <c r="G708" s="65" t="str">
        <f t="shared" si="1"/>
        <v/>
      </c>
      <c r="H708" s="74"/>
      <c r="I708" s="67" t="str">
        <f>IFERROR(__xludf.DUMMYFUNCTION("if($H708="""", """", AVERAGE(split($H708, "";"")))"),"")</f>
        <v/>
      </c>
      <c r="J708" s="67" t="str">
        <f>IFERROR(__xludf.DUMMYFUNCTION("if(H708="""", """", SUM(split(H708, "";"")))"),"")</f>
        <v/>
      </c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  <c r="AA708" s="68"/>
    </row>
    <row r="709" ht="26.25" customHeight="1">
      <c r="A709" s="68"/>
      <c r="B709" s="68"/>
      <c r="C709" s="68"/>
      <c r="D709" s="71"/>
      <c r="E709" s="71"/>
      <c r="F709" s="71"/>
      <c r="G709" s="65" t="str">
        <f t="shared" si="1"/>
        <v/>
      </c>
      <c r="H709" s="74"/>
      <c r="I709" s="67" t="str">
        <f>IFERROR(__xludf.DUMMYFUNCTION("if($H709="""", """", AVERAGE(split($H709, "";"")))"),"")</f>
        <v/>
      </c>
      <c r="J709" s="67" t="str">
        <f>IFERROR(__xludf.DUMMYFUNCTION("if(H709="""", """", SUM(split(H709, "";"")))"),"")</f>
        <v/>
      </c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  <c r="AA709" s="68"/>
    </row>
    <row r="710" ht="26.25" customHeight="1">
      <c r="A710" s="68"/>
      <c r="B710" s="68"/>
      <c r="C710" s="68"/>
      <c r="D710" s="71"/>
      <c r="E710" s="71"/>
      <c r="F710" s="71"/>
      <c r="G710" s="65" t="str">
        <f t="shared" si="1"/>
        <v/>
      </c>
      <c r="H710" s="74"/>
      <c r="I710" s="67" t="str">
        <f>IFERROR(__xludf.DUMMYFUNCTION("if($H710="""", """", AVERAGE(split($H710, "";"")))"),"")</f>
        <v/>
      </c>
      <c r="J710" s="67" t="str">
        <f>IFERROR(__xludf.DUMMYFUNCTION("if(H710="""", """", SUM(split(H710, "";"")))"),"")</f>
        <v/>
      </c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  <c r="AA710" s="68"/>
    </row>
    <row r="711" ht="26.25" customHeight="1">
      <c r="A711" s="68"/>
      <c r="B711" s="68"/>
      <c r="C711" s="68"/>
      <c r="D711" s="71"/>
      <c r="E711" s="71"/>
      <c r="F711" s="71"/>
      <c r="G711" s="65" t="str">
        <f t="shared" si="1"/>
        <v/>
      </c>
      <c r="H711" s="74"/>
      <c r="I711" s="67" t="str">
        <f>IFERROR(__xludf.DUMMYFUNCTION("if($H711="""", """", AVERAGE(split($H711, "";"")))"),"")</f>
        <v/>
      </c>
      <c r="J711" s="67" t="str">
        <f>IFERROR(__xludf.DUMMYFUNCTION("if(H711="""", """", SUM(split(H711, "";"")))"),"")</f>
        <v/>
      </c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  <c r="AA711" s="68"/>
    </row>
    <row r="712" ht="26.25" customHeight="1">
      <c r="A712" s="68"/>
      <c r="B712" s="68"/>
      <c r="C712" s="68"/>
      <c r="D712" s="71"/>
      <c r="E712" s="71"/>
      <c r="F712" s="71"/>
      <c r="G712" s="65" t="str">
        <f t="shared" si="1"/>
        <v/>
      </c>
      <c r="H712" s="74"/>
      <c r="I712" s="67" t="str">
        <f>IFERROR(__xludf.DUMMYFUNCTION("if($H712="""", """", AVERAGE(split($H712, "";"")))"),"")</f>
        <v/>
      </c>
      <c r="J712" s="67" t="str">
        <f>IFERROR(__xludf.DUMMYFUNCTION("if(H712="""", """", SUM(split(H712, "";"")))"),"")</f>
        <v/>
      </c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  <c r="AA712" s="68"/>
    </row>
    <row r="713" ht="26.25" customHeight="1">
      <c r="A713" s="68"/>
      <c r="B713" s="68"/>
      <c r="C713" s="68"/>
      <c r="D713" s="71"/>
      <c r="E713" s="71"/>
      <c r="F713" s="71"/>
      <c r="G713" s="65" t="str">
        <f t="shared" si="1"/>
        <v/>
      </c>
      <c r="H713" s="74"/>
      <c r="I713" s="67" t="str">
        <f>IFERROR(__xludf.DUMMYFUNCTION("if($H713="""", """", AVERAGE(split($H713, "";"")))"),"")</f>
        <v/>
      </c>
      <c r="J713" s="67" t="str">
        <f>IFERROR(__xludf.DUMMYFUNCTION("if(H713="""", """", SUM(split(H713, "";"")))"),"")</f>
        <v/>
      </c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  <c r="AA713" s="68"/>
    </row>
    <row r="714" ht="26.25" customHeight="1">
      <c r="A714" s="68"/>
      <c r="B714" s="68"/>
      <c r="C714" s="68"/>
      <c r="D714" s="71"/>
      <c r="E714" s="71"/>
      <c r="F714" s="71"/>
      <c r="G714" s="65" t="str">
        <f t="shared" si="1"/>
        <v/>
      </c>
      <c r="H714" s="74"/>
      <c r="I714" s="67" t="str">
        <f>IFERROR(__xludf.DUMMYFUNCTION("if($H714="""", """", AVERAGE(split($H714, "";"")))"),"")</f>
        <v/>
      </c>
      <c r="J714" s="67" t="str">
        <f>IFERROR(__xludf.DUMMYFUNCTION("if(H714="""", """", SUM(split(H714, "";"")))"),"")</f>
        <v/>
      </c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  <c r="AA714" s="68"/>
    </row>
    <row r="715" ht="26.25" customHeight="1">
      <c r="A715" s="68"/>
      <c r="B715" s="68"/>
      <c r="C715" s="68"/>
      <c r="D715" s="71"/>
      <c r="E715" s="71"/>
      <c r="F715" s="71"/>
      <c r="G715" s="65" t="str">
        <f t="shared" si="1"/>
        <v/>
      </c>
      <c r="H715" s="74"/>
      <c r="I715" s="67" t="str">
        <f>IFERROR(__xludf.DUMMYFUNCTION("if($H715="""", """", AVERAGE(split($H715, "";"")))"),"")</f>
        <v/>
      </c>
      <c r="J715" s="67" t="str">
        <f>IFERROR(__xludf.DUMMYFUNCTION("if(H715="""", """", SUM(split(H715, "";"")))"),"")</f>
        <v/>
      </c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  <c r="AA715" s="68"/>
    </row>
    <row r="716" ht="26.25" customHeight="1">
      <c r="A716" s="68"/>
      <c r="B716" s="68"/>
      <c r="C716" s="68"/>
      <c r="D716" s="71"/>
      <c r="E716" s="71"/>
      <c r="F716" s="71"/>
      <c r="G716" s="65" t="str">
        <f t="shared" si="1"/>
        <v/>
      </c>
      <c r="H716" s="74"/>
      <c r="I716" s="67" t="str">
        <f>IFERROR(__xludf.DUMMYFUNCTION("if($H716="""", """", AVERAGE(split($H716, "";"")))"),"")</f>
        <v/>
      </c>
      <c r="J716" s="67" t="str">
        <f>IFERROR(__xludf.DUMMYFUNCTION("if(H716="""", """", SUM(split(H716, "";"")))"),"")</f>
        <v/>
      </c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  <c r="AA716" s="68"/>
    </row>
    <row r="717" ht="26.25" customHeight="1">
      <c r="A717" s="68"/>
      <c r="B717" s="68"/>
      <c r="C717" s="68"/>
      <c r="D717" s="71"/>
      <c r="E717" s="71"/>
      <c r="F717" s="71"/>
      <c r="G717" s="65" t="str">
        <f t="shared" si="1"/>
        <v/>
      </c>
      <c r="H717" s="74"/>
      <c r="I717" s="67" t="str">
        <f>IFERROR(__xludf.DUMMYFUNCTION("if($H717="""", """", AVERAGE(split($H717, "";"")))"),"")</f>
        <v/>
      </c>
      <c r="J717" s="67" t="str">
        <f>IFERROR(__xludf.DUMMYFUNCTION("if(H717="""", """", SUM(split(H717, "";"")))"),"")</f>
        <v/>
      </c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  <c r="AA717" s="68"/>
    </row>
    <row r="718" ht="26.25" customHeight="1">
      <c r="A718" s="68"/>
      <c r="B718" s="68"/>
      <c r="C718" s="68"/>
      <c r="D718" s="71"/>
      <c r="E718" s="71"/>
      <c r="F718" s="71"/>
      <c r="G718" s="65" t="str">
        <f t="shared" si="1"/>
        <v/>
      </c>
      <c r="H718" s="74"/>
      <c r="I718" s="67" t="str">
        <f>IFERROR(__xludf.DUMMYFUNCTION("if($H718="""", """", AVERAGE(split($H718, "";"")))"),"")</f>
        <v/>
      </c>
      <c r="J718" s="67" t="str">
        <f>IFERROR(__xludf.DUMMYFUNCTION("if(H718="""", """", SUM(split(H718, "";"")))"),"")</f>
        <v/>
      </c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  <c r="AA718" s="68"/>
    </row>
    <row r="719" ht="26.25" customHeight="1">
      <c r="A719" s="68"/>
      <c r="B719" s="68"/>
      <c r="C719" s="68"/>
      <c r="D719" s="71"/>
      <c r="E719" s="71"/>
      <c r="F719" s="71"/>
      <c r="G719" s="65" t="str">
        <f t="shared" si="1"/>
        <v/>
      </c>
      <c r="H719" s="74"/>
      <c r="I719" s="67" t="str">
        <f>IFERROR(__xludf.DUMMYFUNCTION("if($H719="""", """", AVERAGE(split($H719, "";"")))"),"")</f>
        <v/>
      </c>
      <c r="J719" s="67" t="str">
        <f>IFERROR(__xludf.DUMMYFUNCTION("if(H719="""", """", SUM(split(H719, "";"")))"),"")</f>
        <v/>
      </c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  <c r="AA719" s="68"/>
    </row>
    <row r="720" ht="26.25" customHeight="1">
      <c r="A720" s="68"/>
      <c r="B720" s="68"/>
      <c r="C720" s="68"/>
      <c r="D720" s="71"/>
      <c r="E720" s="71"/>
      <c r="F720" s="71"/>
      <c r="G720" s="65" t="str">
        <f t="shared" si="1"/>
        <v/>
      </c>
      <c r="H720" s="74"/>
      <c r="I720" s="67" t="str">
        <f>IFERROR(__xludf.DUMMYFUNCTION("if($H720="""", """", AVERAGE(split($H720, "";"")))"),"")</f>
        <v/>
      </c>
      <c r="J720" s="67" t="str">
        <f>IFERROR(__xludf.DUMMYFUNCTION("if(H720="""", """", SUM(split(H720, "";"")))"),"")</f>
        <v/>
      </c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  <c r="AA720" s="68"/>
    </row>
    <row r="721" ht="26.25" customHeight="1">
      <c r="A721" s="68"/>
      <c r="B721" s="68"/>
      <c r="C721" s="68"/>
      <c r="D721" s="71"/>
      <c r="E721" s="71"/>
      <c r="F721" s="71"/>
      <c r="G721" s="65" t="str">
        <f t="shared" si="1"/>
        <v/>
      </c>
      <c r="H721" s="74"/>
      <c r="I721" s="67" t="str">
        <f>IFERROR(__xludf.DUMMYFUNCTION("if($H721="""", """", AVERAGE(split($H721, "";"")))"),"")</f>
        <v/>
      </c>
      <c r="J721" s="67" t="str">
        <f>IFERROR(__xludf.DUMMYFUNCTION("if(H721="""", """", SUM(split(H721, "";"")))"),"")</f>
        <v/>
      </c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  <c r="AA721" s="68"/>
    </row>
    <row r="722" ht="26.25" customHeight="1">
      <c r="A722" s="68"/>
      <c r="B722" s="68"/>
      <c r="C722" s="68"/>
      <c r="D722" s="71"/>
      <c r="E722" s="71"/>
      <c r="F722" s="71"/>
      <c r="G722" s="65" t="str">
        <f t="shared" si="1"/>
        <v/>
      </c>
      <c r="H722" s="74"/>
      <c r="I722" s="67" t="str">
        <f>IFERROR(__xludf.DUMMYFUNCTION("if($H722="""", """", AVERAGE(split($H722, "";"")))"),"")</f>
        <v/>
      </c>
      <c r="J722" s="67" t="str">
        <f>IFERROR(__xludf.DUMMYFUNCTION("if(H722="""", """", SUM(split(H722, "";"")))"),"")</f>
        <v/>
      </c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  <c r="AA722" s="68"/>
    </row>
    <row r="723" ht="26.25" customHeight="1">
      <c r="A723" s="68"/>
      <c r="B723" s="68"/>
      <c r="C723" s="68"/>
      <c r="D723" s="71"/>
      <c r="E723" s="71"/>
      <c r="F723" s="71"/>
      <c r="G723" s="65" t="str">
        <f t="shared" si="1"/>
        <v/>
      </c>
      <c r="H723" s="74"/>
      <c r="I723" s="67" t="str">
        <f>IFERROR(__xludf.DUMMYFUNCTION("if($H723="""", """", AVERAGE(split($H723, "";"")))"),"")</f>
        <v/>
      </c>
      <c r="J723" s="67" t="str">
        <f>IFERROR(__xludf.DUMMYFUNCTION("if(H723="""", """", SUM(split(H723, "";"")))"),"")</f>
        <v/>
      </c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  <c r="AA723" s="68"/>
    </row>
    <row r="724" ht="26.25" customHeight="1">
      <c r="A724" s="68"/>
      <c r="B724" s="68"/>
      <c r="C724" s="68"/>
      <c r="D724" s="71"/>
      <c r="E724" s="71"/>
      <c r="F724" s="71"/>
      <c r="G724" s="65" t="str">
        <f t="shared" si="1"/>
        <v/>
      </c>
      <c r="H724" s="74"/>
      <c r="I724" s="67" t="str">
        <f>IFERROR(__xludf.DUMMYFUNCTION("if($H724="""", """", AVERAGE(split($H724, "";"")))"),"")</f>
        <v/>
      </c>
      <c r="J724" s="67" t="str">
        <f>IFERROR(__xludf.DUMMYFUNCTION("if(H724="""", """", SUM(split(H724, "";"")))"),"")</f>
        <v/>
      </c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  <c r="AA724" s="68"/>
    </row>
    <row r="725" ht="26.25" customHeight="1">
      <c r="A725" s="68"/>
      <c r="B725" s="68"/>
      <c r="C725" s="68"/>
      <c r="D725" s="71"/>
      <c r="E725" s="71"/>
      <c r="F725" s="71"/>
      <c r="G725" s="65" t="str">
        <f t="shared" si="1"/>
        <v/>
      </c>
      <c r="H725" s="74"/>
      <c r="I725" s="67" t="str">
        <f>IFERROR(__xludf.DUMMYFUNCTION("if($H725="""", """", AVERAGE(split($H725, "";"")))"),"")</f>
        <v/>
      </c>
      <c r="J725" s="67" t="str">
        <f>IFERROR(__xludf.DUMMYFUNCTION("if(H725="""", """", SUM(split(H725, "";"")))"),"")</f>
        <v/>
      </c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  <c r="AA725" s="68"/>
    </row>
    <row r="726" ht="26.25" customHeight="1">
      <c r="A726" s="68"/>
      <c r="B726" s="68"/>
      <c r="C726" s="68"/>
      <c r="D726" s="71"/>
      <c r="E726" s="71"/>
      <c r="F726" s="71"/>
      <c r="G726" s="65" t="str">
        <f t="shared" si="1"/>
        <v/>
      </c>
      <c r="H726" s="74"/>
      <c r="I726" s="67" t="str">
        <f>IFERROR(__xludf.DUMMYFUNCTION("if($H726="""", """", AVERAGE(split($H726, "";"")))"),"")</f>
        <v/>
      </c>
      <c r="J726" s="67" t="str">
        <f>IFERROR(__xludf.DUMMYFUNCTION("if(H726="""", """", SUM(split(H726, "";"")))"),"")</f>
        <v/>
      </c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  <c r="AA726" s="68"/>
    </row>
    <row r="727" ht="26.25" customHeight="1">
      <c r="A727" s="68"/>
      <c r="B727" s="68"/>
      <c r="C727" s="68"/>
      <c r="D727" s="71"/>
      <c r="E727" s="71"/>
      <c r="F727" s="71"/>
      <c r="G727" s="65" t="str">
        <f t="shared" si="1"/>
        <v/>
      </c>
      <c r="H727" s="74"/>
      <c r="I727" s="67" t="str">
        <f>IFERROR(__xludf.DUMMYFUNCTION("if($H727="""", """", AVERAGE(split($H727, "";"")))"),"")</f>
        <v/>
      </c>
      <c r="J727" s="67" t="str">
        <f>IFERROR(__xludf.DUMMYFUNCTION("if(H727="""", """", SUM(split(H727, "";"")))"),"")</f>
        <v/>
      </c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  <c r="AA727" s="68"/>
    </row>
    <row r="728" ht="26.25" customHeight="1">
      <c r="A728" s="68"/>
      <c r="B728" s="68"/>
      <c r="C728" s="68"/>
      <c r="D728" s="71"/>
      <c r="E728" s="71"/>
      <c r="F728" s="71"/>
      <c r="G728" s="65" t="str">
        <f t="shared" si="1"/>
        <v/>
      </c>
      <c r="H728" s="74"/>
      <c r="I728" s="67" t="str">
        <f>IFERROR(__xludf.DUMMYFUNCTION("if($H728="""", """", AVERAGE(split($H728, "";"")))"),"")</f>
        <v/>
      </c>
      <c r="J728" s="67" t="str">
        <f>IFERROR(__xludf.DUMMYFUNCTION("if(H728="""", """", SUM(split(H728, "";"")))"),"")</f>
        <v/>
      </c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  <c r="AA728" s="68"/>
    </row>
    <row r="729" ht="26.25" customHeight="1">
      <c r="A729" s="68"/>
      <c r="B729" s="68"/>
      <c r="C729" s="68"/>
      <c r="D729" s="71"/>
      <c r="E729" s="71"/>
      <c r="F729" s="71"/>
      <c r="G729" s="65" t="str">
        <f t="shared" si="1"/>
        <v/>
      </c>
      <c r="H729" s="74"/>
      <c r="I729" s="67" t="str">
        <f>IFERROR(__xludf.DUMMYFUNCTION("if($H729="""", """", AVERAGE(split($H729, "";"")))"),"")</f>
        <v/>
      </c>
      <c r="J729" s="67" t="str">
        <f>IFERROR(__xludf.DUMMYFUNCTION("if(H729="""", """", SUM(split(H729, "";"")))"),"")</f>
        <v/>
      </c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  <c r="AA729" s="68"/>
    </row>
    <row r="730" ht="26.25" customHeight="1">
      <c r="A730" s="68"/>
      <c r="B730" s="68"/>
      <c r="C730" s="68"/>
      <c r="D730" s="71"/>
      <c r="E730" s="71"/>
      <c r="F730" s="71"/>
      <c r="G730" s="65" t="str">
        <f t="shared" si="1"/>
        <v/>
      </c>
      <c r="H730" s="74"/>
      <c r="I730" s="67" t="str">
        <f>IFERROR(__xludf.DUMMYFUNCTION("if($H730="""", """", AVERAGE(split($H730, "";"")))"),"")</f>
        <v/>
      </c>
      <c r="J730" s="67" t="str">
        <f>IFERROR(__xludf.DUMMYFUNCTION("if(H730="""", """", SUM(split(H730, "";"")))"),"")</f>
        <v/>
      </c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  <c r="AA730" s="68"/>
    </row>
    <row r="731" ht="26.25" customHeight="1">
      <c r="A731" s="68"/>
      <c r="B731" s="68"/>
      <c r="C731" s="68"/>
      <c r="D731" s="71"/>
      <c r="E731" s="71"/>
      <c r="F731" s="71"/>
      <c r="G731" s="65" t="str">
        <f t="shared" si="1"/>
        <v/>
      </c>
      <c r="H731" s="74"/>
      <c r="I731" s="67" t="str">
        <f>IFERROR(__xludf.DUMMYFUNCTION("if($H731="""", """", AVERAGE(split($H731, "";"")))"),"")</f>
        <v/>
      </c>
      <c r="J731" s="67" t="str">
        <f>IFERROR(__xludf.DUMMYFUNCTION("if(H731="""", """", SUM(split(H731, "";"")))"),"")</f>
        <v/>
      </c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  <c r="AA731" s="68"/>
    </row>
    <row r="732" ht="26.25" customHeight="1">
      <c r="A732" s="68"/>
      <c r="B732" s="68"/>
      <c r="C732" s="68"/>
      <c r="D732" s="71"/>
      <c r="E732" s="71"/>
      <c r="F732" s="71"/>
      <c r="G732" s="65" t="str">
        <f t="shared" si="1"/>
        <v/>
      </c>
      <c r="H732" s="74"/>
      <c r="I732" s="67" t="str">
        <f>IFERROR(__xludf.DUMMYFUNCTION("if($H732="""", """", AVERAGE(split($H732, "";"")))"),"")</f>
        <v/>
      </c>
      <c r="J732" s="67" t="str">
        <f>IFERROR(__xludf.DUMMYFUNCTION("if(H732="""", """", SUM(split(H732, "";"")))"),"")</f>
        <v/>
      </c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  <c r="AA732" s="68"/>
    </row>
    <row r="733" ht="26.25" customHeight="1">
      <c r="A733" s="68"/>
      <c r="B733" s="68"/>
      <c r="C733" s="68"/>
      <c r="D733" s="71"/>
      <c r="E733" s="71"/>
      <c r="F733" s="71"/>
      <c r="G733" s="65" t="str">
        <f t="shared" si="1"/>
        <v/>
      </c>
      <c r="H733" s="74"/>
      <c r="I733" s="67" t="str">
        <f>IFERROR(__xludf.DUMMYFUNCTION("if($H733="""", """", AVERAGE(split($H733, "";"")))"),"")</f>
        <v/>
      </c>
      <c r="J733" s="67" t="str">
        <f>IFERROR(__xludf.DUMMYFUNCTION("if(H733="""", """", SUM(split(H733, "";"")))"),"")</f>
        <v/>
      </c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  <c r="AA733" s="68"/>
    </row>
    <row r="734" ht="26.25" customHeight="1">
      <c r="A734" s="68"/>
      <c r="B734" s="68"/>
      <c r="C734" s="68"/>
      <c r="D734" s="71"/>
      <c r="E734" s="71"/>
      <c r="F734" s="71"/>
      <c r="G734" s="65" t="str">
        <f t="shared" si="1"/>
        <v/>
      </c>
      <c r="H734" s="74"/>
      <c r="I734" s="67" t="str">
        <f>IFERROR(__xludf.DUMMYFUNCTION("if($H734="""", """", AVERAGE(split($H734, "";"")))"),"")</f>
        <v/>
      </c>
      <c r="J734" s="67" t="str">
        <f>IFERROR(__xludf.DUMMYFUNCTION("if(H734="""", """", SUM(split(H734, "";"")))"),"")</f>
        <v/>
      </c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  <c r="Z734" s="68"/>
      <c r="AA734" s="68"/>
    </row>
    <row r="735" ht="26.25" customHeight="1">
      <c r="A735" s="68"/>
      <c r="B735" s="68"/>
      <c r="C735" s="68"/>
      <c r="D735" s="71"/>
      <c r="E735" s="71"/>
      <c r="F735" s="71"/>
      <c r="G735" s="65" t="str">
        <f t="shared" si="1"/>
        <v/>
      </c>
      <c r="H735" s="74"/>
      <c r="I735" s="67" t="str">
        <f>IFERROR(__xludf.DUMMYFUNCTION("if($H735="""", """", AVERAGE(split($H735, "";"")))"),"")</f>
        <v/>
      </c>
      <c r="J735" s="67" t="str">
        <f>IFERROR(__xludf.DUMMYFUNCTION("if(H735="""", """", SUM(split(H735, "";"")))"),"")</f>
        <v/>
      </c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  <c r="AA735" s="68"/>
    </row>
    <row r="736" ht="26.25" customHeight="1">
      <c r="A736" s="68"/>
      <c r="B736" s="68"/>
      <c r="C736" s="68"/>
      <c r="D736" s="71"/>
      <c r="E736" s="71"/>
      <c r="F736" s="71"/>
      <c r="G736" s="65" t="str">
        <f t="shared" si="1"/>
        <v/>
      </c>
      <c r="H736" s="74"/>
      <c r="I736" s="67" t="str">
        <f>IFERROR(__xludf.DUMMYFUNCTION("if($H736="""", """", AVERAGE(split($H736, "";"")))"),"")</f>
        <v/>
      </c>
      <c r="J736" s="67" t="str">
        <f>IFERROR(__xludf.DUMMYFUNCTION("if(H736="""", """", SUM(split(H736, "";"")))"),"")</f>
        <v/>
      </c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  <c r="AA736" s="68"/>
    </row>
    <row r="737" ht="26.25" customHeight="1">
      <c r="A737" s="68"/>
      <c r="B737" s="68"/>
      <c r="C737" s="68"/>
      <c r="D737" s="71"/>
      <c r="E737" s="71"/>
      <c r="F737" s="71"/>
      <c r="G737" s="65" t="str">
        <f t="shared" si="1"/>
        <v/>
      </c>
      <c r="H737" s="74"/>
      <c r="I737" s="67" t="str">
        <f>IFERROR(__xludf.DUMMYFUNCTION("if($H737="""", """", AVERAGE(split($H737, "";"")))"),"")</f>
        <v/>
      </c>
      <c r="J737" s="67" t="str">
        <f>IFERROR(__xludf.DUMMYFUNCTION("if(H737="""", """", SUM(split(H737, "";"")))"),"")</f>
        <v/>
      </c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  <c r="AA737" s="68"/>
    </row>
    <row r="738" ht="26.25" customHeight="1">
      <c r="A738" s="68"/>
      <c r="B738" s="68"/>
      <c r="C738" s="68"/>
      <c r="D738" s="71"/>
      <c r="E738" s="71"/>
      <c r="F738" s="71"/>
      <c r="G738" s="65" t="str">
        <f t="shared" si="1"/>
        <v/>
      </c>
      <c r="H738" s="74"/>
      <c r="I738" s="67" t="str">
        <f>IFERROR(__xludf.DUMMYFUNCTION("if($H738="""", """", AVERAGE(split($H738, "";"")))"),"")</f>
        <v/>
      </c>
      <c r="J738" s="67" t="str">
        <f>IFERROR(__xludf.DUMMYFUNCTION("if(H738="""", """", SUM(split(H738, "";"")))"),"")</f>
        <v/>
      </c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  <c r="AA738" s="68"/>
    </row>
    <row r="739" ht="26.25" customHeight="1">
      <c r="A739" s="68"/>
      <c r="B739" s="68"/>
      <c r="C739" s="68"/>
      <c r="D739" s="71"/>
      <c r="E739" s="71"/>
      <c r="F739" s="71"/>
      <c r="G739" s="65" t="str">
        <f t="shared" si="1"/>
        <v/>
      </c>
      <c r="H739" s="74"/>
      <c r="I739" s="67" t="str">
        <f>IFERROR(__xludf.DUMMYFUNCTION("if($H739="""", """", AVERAGE(split($H739, "";"")))"),"")</f>
        <v/>
      </c>
      <c r="J739" s="67" t="str">
        <f>IFERROR(__xludf.DUMMYFUNCTION("if(H739="""", """", SUM(split(H739, "";"")))"),"")</f>
        <v/>
      </c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  <c r="AA739" s="68"/>
    </row>
    <row r="740" ht="26.25" customHeight="1">
      <c r="A740" s="68"/>
      <c r="B740" s="68"/>
      <c r="C740" s="68"/>
      <c r="D740" s="71"/>
      <c r="E740" s="71"/>
      <c r="F740" s="71"/>
      <c r="G740" s="65" t="str">
        <f t="shared" si="1"/>
        <v/>
      </c>
      <c r="H740" s="74"/>
      <c r="I740" s="67" t="str">
        <f>IFERROR(__xludf.DUMMYFUNCTION("if($H740="""", """", AVERAGE(split($H740, "";"")))"),"")</f>
        <v/>
      </c>
      <c r="J740" s="67" t="str">
        <f>IFERROR(__xludf.DUMMYFUNCTION("if(H740="""", """", SUM(split(H740, "";"")))"),"")</f>
        <v/>
      </c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  <c r="Z740" s="68"/>
      <c r="AA740" s="68"/>
    </row>
    <row r="741" ht="26.25" customHeight="1">
      <c r="A741" s="68"/>
      <c r="B741" s="68"/>
      <c r="C741" s="68"/>
      <c r="D741" s="71"/>
      <c r="E741" s="71"/>
      <c r="F741" s="71"/>
      <c r="G741" s="65" t="str">
        <f t="shared" si="1"/>
        <v/>
      </c>
      <c r="H741" s="74"/>
      <c r="I741" s="67" t="str">
        <f>IFERROR(__xludf.DUMMYFUNCTION("if($H741="""", """", AVERAGE(split($H741, "";"")))"),"")</f>
        <v/>
      </c>
      <c r="J741" s="67" t="str">
        <f>IFERROR(__xludf.DUMMYFUNCTION("if(H741="""", """", SUM(split(H741, "";"")))"),"")</f>
        <v/>
      </c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  <c r="Z741" s="68"/>
      <c r="AA741" s="68"/>
    </row>
    <row r="742" ht="26.25" customHeight="1">
      <c r="A742" s="68"/>
      <c r="B742" s="68"/>
      <c r="C742" s="68"/>
      <c r="D742" s="71"/>
      <c r="E742" s="71"/>
      <c r="F742" s="71"/>
      <c r="G742" s="65" t="str">
        <f t="shared" si="1"/>
        <v/>
      </c>
      <c r="H742" s="74"/>
      <c r="I742" s="67" t="str">
        <f>IFERROR(__xludf.DUMMYFUNCTION("if($H742="""", """", AVERAGE(split($H742, "";"")))"),"")</f>
        <v/>
      </c>
      <c r="J742" s="67" t="str">
        <f>IFERROR(__xludf.DUMMYFUNCTION("if(H742="""", """", SUM(split(H742, "";"")))"),"")</f>
        <v/>
      </c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  <c r="AA742" s="68"/>
    </row>
    <row r="743" ht="26.25" customHeight="1">
      <c r="A743" s="68"/>
      <c r="B743" s="68"/>
      <c r="C743" s="68"/>
      <c r="D743" s="71"/>
      <c r="E743" s="71"/>
      <c r="F743" s="71"/>
      <c r="G743" s="65" t="str">
        <f t="shared" si="1"/>
        <v/>
      </c>
      <c r="H743" s="74"/>
      <c r="I743" s="67" t="str">
        <f>IFERROR(__xludf.DUMMYFUNCTION("if($H743="""", """", AVERAGE(split($H743, "";"")))"),"")</f>
        <v/>
      </c>
      <c r="J743" s="67" t="str">
        <f>IFERROR(__xludf.DUMMYFUNCTION("if(H743="""", """", SUM(split(H743, "";"")))"),"")</f>
        <v/>
      </c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  <c r="AA743" s="68"/>
    </row>
    <row r="744" ht="26.25" customHeight="1">
      <c r="A744" s="68"/>
      <c r="B744" s="68"/>
      <c r="C744" s="68"/>
      <c r="D744" s="71"/>
      <c r="E744" s="71"/>
      <c r="F744" s="71"/>
      <c r="G744" s="65" t="str">
        <f t="shared" si="1"/>
        <v/>
      </c>
      <c r="H744" s="74"/>
      <c r="I744" s="67" t="str">
        <f>IFERROR(__xludf.DUMMYFUNCTION("if($H744="""", """", AVERAGE(split($H744, "";"")))"),"")</f>
        <v/>
      </c>
      <c r="J744" s="67" t="str">
        <f>IFERROR(__xludf.DUMMYFUNCTION("if(H744="""", """", SUM(split(H744, "";"")))"),"")</f>
        <v/>
      </c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  <c r="Z744" s="68"/>
      <c r="AA744" s="68"/>
    </row>
    <row r="745" ht="26.25" customHeight="1">
      <c r="A745" s="68"/>
      <c r="B745" s="68"/>
      <c r="C745" s="68"/>
      <c r="D745" s="71"/>
      <c r="E745" s="71"/>
      <c r="F745" s="71"/>
      <c r="G745" s="65" t="str">
        <f t="shared" si="1"/>
        <v/>
      </c>
      <c r="H745" s="74"/>
      <c r="I745" s="67" t="str">
        <f>IFERROR(__xludf.DUMMYFUNCTION("if($H745="""", """", AVERAGE(split($H745, "";"")))"),"")</f>
        <v/>
      </c>
      <c r="J745" s="67" t="str">
        <f>IFERROR(__xludf.DUMMYFUNCTION("if(H745="""", """", SUM(split(H745, "";"")))"),"")</f>
        <v/>
      </c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  <c r="AA745" s="68"/>
    </row>
    <row r="746" ht="26.25" customHeight="1">
      <c r="A746" s="68"/>
      <c r="B746" s="68"/>
      <c r="C746" s="68"/>
      <c r="D746" s="71"/>
      <c r="E746" s="71"/>
      <c r="F746" s="71"/>
      <c r="G746" s="65" t="str">
        <f t="shared" si="1"/>
        <v/>
      </c>
      <c r="H746" s="74"/>
      <c r="I746" s="67" t="str">
        <f>IFERROR(__xludf.DUMMYFUNCTION("if($H746="""", """", AVERAGE(split($H746, "";"")))"),"")</f>
        <v/>
      </c>
      <c r="J746" s="67" t="str">
        <f>IFERROR(__xludf.DUMMYFUNCTION("if(H746="""", """", SUM(split(H746, "";"")))"),"")</f>
        <v/>
      </c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  <c r="Z746" s="68"/>
      <c r="AA746" s="68"/>
    </row>
    <row r="747" ht="26.25" customHeight="1">
      <c r="A747" s="68"/>
      <c r="B747" s="68"/>
      <c r="C747" s="68"/>
      <c r="D747" s="71"/>
      <c r="E747" s="71"/>
      <c r="F747" s="71"/>
      <c r="G747" s="65" t="str">
        <f t="shared" si="1"/>
        <v/>
      </c>
      <c r="H747" s="74"/>
      <c r="I747" s="67" t="str">
        <f>IFERROR(__xludf.DUMMYFUNCTION("if($H747="""", """", AVERAGE(split($H747, "";"")))"),"")</f>
        <v/>
      </c>
      <c r="J747" s="67" t="str">
        <f>IFERROR(__xludf.DUMMYFUNCTION("if(H747="""", """", SUM(split(H747, "";"")))"),"")</f>
        <v/>
      </c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  <c r="Z747" s="68"/>
      <c r="AA747" s="68"/>
    </row>
    <row r="748" ht="26.25" customHeight="1">
      <c r="A748" s="68"/>
      <c r="B748" s="68"/>
      <c r="C748" s="68"/>
      <c r="D748" s="71"/>
      <c r="E748" s="71"/>
      <c r="F748" s="71"/>
      <c r="G748" s="65" t="str">
        <f t="shared" si="1"/>
        <v/>
      </c>
      <c r="H748" s="74"/>
      <c r="I748" s="67" t="str">
        <f>IFERROR(__xludf.DUMMYFUNCTION("if($H748="""", """", AVERAGE(split($H748, "";"")))"),"")</f>
        <v/>
      </c>
      <c r="J748" s="67" t="str">
        <f>IFERROR(__xludf.DUMMYFUNCTION("if(H748="""", """", SUM(split(H748, "";"")))"),"")</f>
        <v/>
      </c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  <c r="Z748" s="68"/>
      <c r="AA748" s="68"/>
    </row>
    <row r="749" ht="26.25" customHeight="1">
      <c r="A749" s="68"/>
      <c r="B749" s="68"/>
      <c r="C749" s="68"/>
      <c r="D749" s="71"/>
      <c r="E749" s="71"/>
      <c r="F749" s="71"/>
      <c r="G749" s="65" t="str">
        <f t="shared" si="1"/>
        <v/>
      </c>
      <c r="H749" s="74"/>
      <c r="I749" s="67" t="str">
        <f>IFERROR(__xludf.DUMMYFUNCTION("if($H749="""", """", AVERAGE(split($H749, "";"")))"),"")</f>
        <v/>
      </c>
      <c r="J749" s="67" t="str">
        <f>IFERROR(__xludf.DUMMYFUNCTION("if(H749="""", """", SUM(split(H749, "";"")))"),"")</f>
        <v/>
      </c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  <c r="Z749" s="68"/>
      <c r="AA749" s="68"/>
    </row>
    <row r="750" ht="26.25" customHeight="1">
      <c r="A750" s="68"/>
      <c r="B750" s="68"/>
      <c r="C750" s="68"/>
      <c r="D750" s="71"/>
      <c r="E750" s="71"/>
      <c r="F750" s="71"/>
      <c r="G750" s="65" t="str">
        <f t="shared" si="1"/>
        <v/>
      </c>
      <c r="H750" s="74"/>
      <c r="I750" s="67" t="str">
        <f>IFERROR(__xludf.DUMMYFUNCTION("if($H750="""", """", AVERAGE(split($H750, "";"")))"),"")</f>
        <v/>
      </c>
      <c r="J750" s="67" t="str">
        <f>IFERROR(__xludf.DUMMYFUNCTION("if(H750="""", """", SUM(split(H750, "";"")))"),"")</f>
        <v/>
      </c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  <c r="AA750" s="68"/>
    </row>
    <row r="751" ht="26.25" customHeight="1">
      <c r="A751" s="68"/>
      <c r="B751" s="68"/>
      <c r="C751" s="68"/>
      <c r="D751" s="71"/>
      <c r="E751" s="71"/>
      <c r="F751" s="71"/>
      <c r="G751" s="65" t="str">
        <f t="shared" si="1"/>
        <v/>
      </c>
      <c r="H751" s="74"/>
      <c r="I751" s="67" t="str">
        <f>IFERROR(__xludf.DUMMYFUNCTION("if($H751="""", """", AVERAGE(split($H751, "";"")))"),"")</f>
        <v/>
      </c>
      <c r="J751" s="67" t="str">
        <f>IFERROR(__xludf.DUMMYFUNCTION("if(H751="""", """", SUM(split(H751, "";"")))"),"")</f>
        <v/>
      </c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  <c r="AA751" s="68"/>
    </row>
    <row r="752" ht="26.25" customHeight="1">
      <c r="A752" s="68"/>
      <c r="B752" s="68"/>
      <c r="C752" s="68"/>
      <c r="D752" s="71"/>
      <c r="E752" s="71"/>
      <c r="F752" s="71"/>
      <c r="G752" s="65" t="str">
        <f t="shared" si="1"/>
        <v/>
      </c>
      <c r="H752" s="74"/>
      <c r="I752" s="67" t="str">
        <f>IFERROR(__xludf.DUMMYFUNCTION("if($H752="""", """", AVERAGE(split($H752, "";"")))"),"")</f>
        <v/>
      </c>
      <c r="J752" s="67" t="str">
        <f>IFERROR(__xludf.DUMMYFUNCTION("if(H752="""", """", SUM(split(H752, "";"")))"),"")</f>
        <v/>
      </c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  <c r="AA752" s="68"/>
    </row>
    <row r="753" ht="26.25" customHeight="1">
      <c r="A753" s="68"/>
      <c r="B753" s="68"/>
      <c r="C753" s="68"/>
      <c r="D753" s="71"/>
      <c r="E753" s="71"/>
      <c r="F753" s="71"/>
      <c r="G753" s="65" t="str">
        <f t="shared" si="1"/>
        <v/>
      </c>
      <c r="H753" s="74"/>
      <c r="I753" s="67" t="str">
        <f>IFERROR(__xludf.DUMMYFUNCTION("if($H753="""", """", AVERAGE(split($H753, "";"")))"),"")</f>
        <v/>
      </c>
      <c r="J753" s="67" t="str">
        <f>IFERROR(__xludf.DUMMYFUNCTION("if(H753="""", """", SUM(split(H753, "";"")))"),"")</f>
        <v/>
      </c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  <c r="AA753" s="68"/>
    </row>
    <row r="754" ht="26.25" customHeight="1">
      <c r="A754" s="68"/>
      <c r="B754" s="68"/>
      <c r="C754" s="68"/>
      <c r="D754" s="71"/>
      <c r="E754" s="71"/>
      <c r="F754" s="71"/>
      <c r="G754" s="65" t="str">
        <f t="shared" si="1"/>
        <v/>
      </c>
      <c r="H754" s="74"/>
      <c r="I754" s="67" t="str">
        <f>IFERROR(__xludf.DUMMYFUNCTION("if($H754="""", """", AVERAGE(split($H754, "";"")))"),"")</f>
        <v/>
      </c>
      <c r="J754" s="67" t="str">
        <f>IFERROR(__xludf.DUMMYFUNCTION("if(H754="""", """", SUM(split(H754, "";"")))"),"")</f>
        <v/>
      </c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  <c r="Z754" s="68"/>
      <c r="AA754" s="68"/>
    </row>
    <row r="755" ht="26.25" customHeight="1">
      <c r="A755" s="68"/>
      <c r="B755" s="68"/>
      <c r="C755" s="68"/>
      <c r="D755" s="71"/>
      <c r="E755" s="71"/>
      <c r="F755" s="71"/>
      <c r="G755" s="65" t="str">
        <f t="shared" si="1"/>
        <v/>
      </c>
      <c r="H755" s="74"/>
      <c r="I755" s="67" t="str">
        <f>IFERROR(__xludf.DUMMYFUNCTION("if($H755="""", """", AVERAGE(split($H755, "";"")))"),"")</f>
        <v/>
      </c>
      <c r="J755" s="67" t="str">
        <f>IFERROR(__xludf.DUMMYFUNCTION("if(H755="""", """", SUM(split(H755, "";"")))"),"")</f>
        <v/>
      </c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  <c r="Z755" s="68"/>
      <c r="AA755" s="68"/>
    </row>
    <row r="756" ht="26.25" customHeight="1">
      <c r="A756" s="68"/>
      <c r="B756" s="68"/>
      <c r="C756" s="68"/>
      <c r="D756" s="71"/>
      <c r="E756" s="71"/>
      <c r="F756" s="71"/>
      <c r="G756" s="65" t="str">
        <f t="shared" si="1"/>
        <v/>
      </c>
      <c r="H756" s="74"/>
      <c r="I756" s="67" t="str">
        <f>IFERROR(__xludf.DUMMYFUNCTION("if($H756="""", """", AVERAGE(split($H756, "";"")))"),"")</f>
        <v/>
      </c>
      <c r="J756" s="67" t="str">
        <f>IFERROR(__xludf.DUMMYFUNCTION("if(H756="""", """", SUM(split(H756, "";"")))"),"")</f>
        <v/>
      </c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  <c r="Z756" s="68"/>
      <c r="AA756" s="68"/>
    </row>
    <row r="757" ht="26.25" customHeight="1">
      <c r="A757" s="68"/>
      <c r="B757" s="68"/>
      <c r="C757" s="68"/>
      <c r="D757" s="71"/>
      <c r="E757" s="71"/>
      <c r="F757" s="71"/>
      <c r="G757" s="65" t="str">
        <f t="shared" si="1"/>
        <v/>
      </c>
      <c r="H757" s="74"/>
      <c r="I757" s="67" t="str">
        <f>IFERROR(__xludf.DUMMYFUNCTION("if($H757="""", """", AVERAGE(split($H757, "";"")))"),"")</f>
        <v/>
      </c>
      <c r="J757" s="67" t="str">
        <f>IFERROR(__xludf.DUMMYFUNCTION("if(H757="""", """", SUM(split(H757, "";"")))"),"")</f>
        <v/>
      </c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  <c r="Z757" s="68"/>
      <c r="AA757" s="68"/>
    </row>
    <row r="758" ht="26.25" customHeight="1">
      <c r="A758" s="68"/>
      <c r="B758" s="68"/>
      <c r="C758" s="68"/>
      <c r="D758" s="71"/>
      <c r="E758" s="71"/>
      <c r="F758" s="71"/>
      <c r="G758" s="65" t="str">
        <f t="shared" si="1"/>
        <v/>
      </c>
      <c r="H758" s="74"/>
      <c r="I758" s="67" t="str">
        <f>IFERROR(__xludf.DUMMYFUNCTION("if($H758="""", """", AVERAGE(split($H758, "";"")))"),"")</f>
        <v/>
      </c>
      <c r="J758" s="67" t="str">
        <f>IFERROR(__xludf.DUMMYFUNCTION("if(H758="""", """", SUM(split(H758, "";"")))"),"")</f>
        <v/>
      </c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  <c r="Z758" s="68"/>
      <c r="AA758" s="68"/>
    </row>
    <row r="759" ht="26.25" customHeight="1">
      <c r="A759" s="68"/>
      <c r="B759" s="68"/>
      <c r="C759" s="68"/>
      <c r="D759" s="71"/>
      <c r="E759" s="71"/>
      <c r="F759" s="71"/>
      <c r="G759" s="65" t="str">
        <f t="shared" si="1"/>
        <v/>
      </c>
      <c r="H759" s="74"/>
      <c r="I759" s="67" t="str">
        <f>IFERROR(__xludf.DUMMYFUNCTION("if($H759="""", """", AVERAGE(split($H759, "";"")))"),"")</f>
        <v/>
      </c>
      <c r="J759" s="67" t="str">
        <f>IFERROR(__xludf.DUMMYFUNCTION("if(H759="""", """", SUM(split(H759, "";"")))"),"")</f>
        <v/>
      </c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  <c r="Z759" s="68"/>
      <c r="AA759" s="68"/>
    </row>
    <row r="760" ht="26.25" customHeight="1">
      <c r="A760" s="68"/>
      <c r="B760" s="68"/>
      <c r="C760" s="68"/>
      <c r="D760" s="71"/>
      <c r="E760" s="71"/>
      <c r="F760" s="71"/>
      <c r="G760" s="65" t="str">
        <f t="shared" si="1"/>
        <v/>
      </c>
      <c r="H760" s="74"/>
      <c r="I760" s="67" t="str">
        <f>IFERROR(__xludf.DUMMYFUNCTION("if($H760="""", """", AVERAGE(split($H760, "";"")))"),"")</f>
        <v/>
      </c>
      <c r="J760" s="67" t="str">
        <f>IFERROR(__xludf.DUMMYFUNCTION("if(H760="""", """", SUM(split(H760, "";"")))"),"")</f>
        <v/>
      </c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  <c r="Z760" s="68"/>
      <c r="AA760" s="68"/>
    </row>
    <row r="761" ht="26.25" customHeight="1">
      <c r="A761" s="68"/>
      <c r="B761" s="68"/>
      <c r="C761" s="68"/>
      <c r="D761" s="71"/>
      <c r="E761" s="71"/>
      <c r="F761" s="71"/>
      <c r="G761" s="65" t="str">
        <f t="shared" si="1"/>
        <v/>
      </c>
      <c r="H761" s="74"/>
      <c r="I761" s="67" t="str">
        <f>IFERROR(__xludf.DUMMYFUNCTION("if($H761="""", """", AVERAGE(split($H761, "";"")))"),"")</f>
        <v/>
      </c>
      <c r="J761" s="67" t="str">
        <f>IFERROR(__xludf.DUMMYFUNCTION("if(H761="""", """", SUM(split(H761, "";"")))"),"")</f>
        <v/>
      </c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  <c r="Z761" s="68"/>
      <c r="AA761" s="68"/>
    </row>
    <row r="762" ht="26.25" customHeight="1">
      <c r="A762" s="68"/>
      <c r="B762" s="68"/>
      <c r="C762" s="68"/>
      <c r="D762" s="71"/>
      <c r="E762" s="71"/>
      <c r="F762" s="71"/>
      <c r="G762" s="65" t="str">
        <f t="shared" si="1"/>
        <v/>
      </c>
      <c r="H762" s="74"/>
      <c r="I762" s="67" t="str">
        <f>IFERROR(__xludf.DUMMYFUNCTION("if($H762="""", """", AVERAGE(split($H762, "";"")))"),"")</f>
        <v/>
      </c>
      <c r="J762" s="67" t="str">
        <f>IFERROR(__xludf.DUMMYFUNCTION("if(H762="""", """", SUM(split(H762, "";"")))"),"")</f>
        <v/>
      </c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  <c r="Z762" s="68"/>
      <c r="AA762" s="68"/>
    </row>
    <row r="763" ht="26.25" customHeight="1">
      <c r="A763" s="68"/>
      <c r="B763" s="68"/>
      <c r="C763" s="68"/>
      <c r="D763" s="71"/>
      <c r="E763" s="71"/>
      <c r="F763" s="71"/>
      <c r="G763" s="65" t="str">
        <f t="shared" si="1"/>
        <v/>
      </c>
      <c r="H763" s="74"/>
      <c r="I763" s="67" t="str">
        <f>IFERROR(__xludf.DUMMYFUNCTION("if($H763="""", """", AVERAGE(split($H763, "";"")))"),"")</f>
        <v/>
      </c>
      <c r="J763" s="67" t="str">
        <f>IFERROR(__xludf.DUMMYFUNCTION("if(H763="""", """", SUM(split(H763, "";"")))"),"")</f>
        <v/>
      </c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  <c r="AA763" s="68"/>
    </row>
    <row r="764" ht="26.25" customHeight="1">
      <c r="A764" s="68"/>
      <c r="B764" s="68"/>
      <c r="C764" s="68"/>
      <c r="D764" s="71"/>
      <c r="E764" s="71"/>
      <c r="F764" s="71"/>
      <c r="G764" s="65" t="str">
        <f t="shared" si="1"/>
        <v/>
      </c>
      <c r="H764" s="74"/>
      <c r="I764" s="67" t="str">
        <f>IFERROR(__xludf.DUMMYFUNCTION("if($H764="""", """", AVERAGE(split($H764, "";"")))"),"")</f>
        <v/>
      </c>
      <c r="J764" s="67" t="str">
        <f>IFERROR(__xludf.DUMMYFUNCTION("if(H764="""", """", SUM(split(H764, "";"")))"),"")</f>
        <v/>
      </c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  <c r="AA764" s="68"/>
    </row>
    <row r="765" ht="26.25" customHeight="1">
      <c r="A765" s="68"/>
      <c r="B765" s="68"/>
      <c r="C765" s="68"/>
      <c r="D765" s="71"/>
      <c r="E765" s="71"/>
      <c r="F765" s="71"/>
      <c r="G765" s="65" t="str">
        <f t="shared" si="1"/>
        <v/>
      </c>
      <c r="H765" s="74"/>
      <c r="I765" s="67" t="str">
        <f>IFERROR(__xludf.DUMMYFUNCTION("if($H765="""", """", AVERAGE(split($H765, "";"")))"),"")</f>
        <v/>
      </c>
      <c r="J765" s="67" t="str">
        <f>IFERROR(__xludf.DUMMYFUNCTION("if(H765="""", """", SUM(split(H765, "";"")))"),"")</f>
        <v/>
      </c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  <c r="AA765" s="68"/>
    </row>
    <row r="766" ht="26.25" customHeight="1">
      <c r="A766" s="68"/>
      <c r="B766" s="68"/>
      <c r="C766" s="68"/>
      <c r="D766" s="71"/>
      <c r="E766" s="71"/>
      <c r="F766" s="71"/>
      <c r="G766" s="65" t="str">
        <f t="shared" si="1"/>
        <v/>
      </c>
      <c r="H766" s="74"/>
      <c r="I766" s="67" t="str">
        <f>IFERROR(__xludf.DUMMYFUNCTION("if($H766="""", """", AVERAGE(split($H766, "";"")))"),"")</f>
        <v/>
      </c>
      <c r="J766" s="67" t="str">
        <f>IFERROR(__xludf.DUMMYFUNCTION("if(H766="""", """", SUM(split(H766, "";"")))"),"")</f>
        <v/>
      </c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  <c r="AA766" s="68"/>
    </row>
    <row r="767" ht="26.25" customHeight="1">
      <c r="A767" s="68"/>
      <c r="B767" s="68"/>
      <c r="C767" s="68"/>
      <c r="D767" s="71"/>
      <c r="E767" s="71"/>
      <c r="F767" s="71"/>
      <c r="G767" s="65" t="str">
        <f t="shared" si="1"/>
        <v/>
      </c>
      <c r="H767" s="74"/>
      <c r="I767" s="67" t="str">
        <f>IFERROR(__xludf.DUMMYFUNCTION("if($H767="""", """", AVERAGE(split($H767, "";"")))"),"")</f>
        <v/>
      </c>
      <c r="J767" s="67" t="str">
        <f>IFERROR(__xludf.DUMMYFUNCTION("if(H767="""", """", SUM(split(H767, "";"")))"),"")</f>
        <v/>
      </c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  <c r="AA767" s="68"/>
    </row>
    <row r="768" ht="26.25" customHeight="1">
      <c r="A768" s="68"/>
      <c r="B768" s="68"/>
      <c r="C768" s="68"/>
      <c r="D768" s="71"/>
      <c r="E768" s="71"/>
      <c r="F768" s="71"/>
      <c r="G768" s="65" t="str">
        <f t="shared" si="1"/>
        <v/>
      </c>
      <c r="H768" s="74"/>
      <c r="I768" s="67" t="str">
        <f>IFERROR(__xludf.DUMMYFUNCTION("if($H768="""", """", AVERAGE(split($H768, "";"")))"),"")</f>
        <v/>
      </c>
      <c r="J768" s="67" t="str">
        <f>IFERROR(__xludf.DUMMYFUNCTION("if(H768="""", """", SUM(split(H768, "";"")))"),"")</f>
        <v/>
      </c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  <c r="AA768" s="68"/>
    </row>
    <row r="769" ht="26.25" customHeight="1">
      <c r="A769" s="68"/>
      <c r="B769" s="68"/>
      <c r="C769" s="68"/>
      <c r="D769" s="71"/>
      <c r="E769" s="71"/>
      <c r="F769" s="71"/>
      <c r="G769" s="65" t="str">
        <f t="shared" si="1"/>
        <v/>
      </c>
      <c r="H769" s="74"/>
      <c r="I769" s="67" t="str">
        <f>IFERROR(__xludf.DUMMYFUNCTION("if($H769="""", """", AVERAGE(split($H769, "";"")))"),"")</f>
        <v/>
      </c>
      <c r="J769" s="67" t="str">
        <f>IFERROR(__xludf.DUMMYFUNCTION("if(H769="""", """", SUM(split(H769, "";"")))"),"")</f>
        <v/>
      </c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  <c r="Z769" s="68"/>
      <c r="AA769" s="68"/>
    </row>
    <row r="770" ht="26.25" customHeight="1">
      <c r="A770" s="68"/>
      <c r="B770" s="68"/>
      <c r="C770" s="68"/>
      <c r="D770" s="71"/>
      <c r="E770" s="71"/>
      <c r="F770" s="71"/>
      <c r="G770" s="65" t="str">
        <f t="shared" si="1"/>
        <v/>
      </c>
      <c r="H770" s="74"/>
      <c r="I770" s="67" t="str">
        <f>IFERROR(__xludf.DUMMYFUNCTION("if($H770="""", """", AVERAGE(split($H770, "";"")))"),"")</f>
        <v/>
      </c>
      <c r="J770" s="67" t="str">
        <f>IFERROR(__xludf.DUMMYFUNCTION("if(H770="""", """", SUM(split(H770, "";"")))"),"")</f>
        <v/>
      </c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  <c r="Z770" s="68"/>
      <c r="AA770" s="68"/>
    </row>
    <row r="771" ht="26.25" customHeight="1">
      <c r="A771" s="68"/>
      <c r="B771" s="68"/>
      <c r="C771" s="68"/>
      <c r="D771" s="71"/>
      <c r="E771" s="71"/>
      <c r="F771" s="71"/>
      <c r="G771" s="65" t="str">
        <f t="shared" si="1"/>
        <v/>
      </c>
      <c r="H771" s="74"/>
      <c r="I771" s="67" t="str">
        <f>IFERROR(__xludf.DUMMYFUNCTION("if($H771="""", """", AVERAGE(split($H771, "";"")))"),"")</f>
        <v/>
      </c>
      <c r="J771" s="67" t="str">
        <f>IFERROR(__xludf.DUMMYFUNCTION("if(H771="""", """", SUM(split(H771, "";"")))"),"")</f>
        <v/>
      </c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  <c r="Z771" s="68"/>
      <c r="AA771" s="68"/>
    </row>
    <row r="772" ht="26.25" customHeight="1">
      <c r="A772" s="68"/>
      <c r="B772" s="68"/>
      <c r="C772" s="68"/>
      <c r="D772" s="71"/>
      <c r="E772" s="71"/>
      <c r="F772" s="71"/>
      <c r="G772" s="65" t="str">
        <f t="shared" si="1"/>
        <v/>
      </c>
      <c r="H772" s="74"/>
      <c r="I772" s="67" t="str">
        <f>IFERROR(__xludf.DUMMYFUNCTION("if($H772="""", """", AVERAGE(split($H772, "";"")))"),"")</f>
        <v/>
      </c>
      <c r="J772" s="67" t="str">
        <f>IFERROR(__xludf.DUMMYFUNCTION("if(H772="""", """", SUM(split(H772, "";"")))"),"")</f>
        <v/>
      </c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  <c r="Z772" s="68"/>
      <c r="AA772" s="68"/>
    </row>
    <row r="773" ht="26.25" customHeight="1">
      <c r="A773" s="68"/>
      <c r="B773" s="68"/>
      <c r="C773" s="68"/>
      <c r="D773" s="71"/>
      <c r="E773" s="71"/>
      <c r="F773" s="71"/>
      <c r="G773" s="65" t="str">
        <f t="shared" si="1"/>
        <v/>
      </c>
      <c r="H773" s="74"/>
      <c r="I773" s="67" t="str">
        <f>IFERROR(__xludf.DUMMYFUNCTION("if($H773="""", """", AVERAGE(split($H773, "";"")))"),"")</f>
        <v/>
      </c>
      <c r="J773" s="67" t="str">
        <f>IFERROR(__xludf.DUMMYFUNCTION("if(H773="""", """", SUM(split(H773, "";"")))"),"")</f>
        <v/>
      </c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  <c r="Z773" s="68"/>
      <c r="AA773" s="68"/>
    </row>
    <row r="774" ht="26.25" customHeight="1">
      <c r="A774" s="68"/>
      <c r="B774" s="68"/>
      <c r="C774" s="68"/>
      <c r="D774" s="71"/>
      <c r="E774" s="71"/>
      <c r="F774" s="71"/>
      <c r="G774" s="65" t="str">
        <f t="shared" si="1"/>
        <v/>
      </c>
      <c r="H774" s="74"/>
      <c r="I774" s="67" t="str">
        <f>IFERROR(__xludf.DUMMYFUNCTION("if($H774="""", """", AVERAGE(split($H774, "";"")))"),"")</f>
        <v/>
      </c>
      <c r="J774" s="67" t="str">
        <f>IFERROR(__xludf.DUMMYFUNCTION("if(H774="""", """", SUM(split(H774, "";"")))"),"")</f>
        <v/>
      </c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  <c r="Z774" s="68"/>
      <c r="AA774" s="68"/>
    </row>
    <row r="775" ht="26.25" customHeight="1">
      <c r="A775" s="68"/>
      <c r="B775" s="68"/>
      <c r="C775" s="68"/>
      <c r="D775" s="71"/>
      <c r="E775" s="71"/>
      <c r="F775" s="71"/>
      <c r="G775" s="65" t="str">
        <f t="shared" si="1"/>
        <v/>
      </c>
      <c r="H775" s="74"/>
      <c r="I775" s="67" t="str">
        <f>IFERROR(__xludf.DUMMYFUNCTION("if($H775="""", """", AVERAGE(split($H775, "";"")))"),"")</f>
        <v/>
      </c>
      <c r="J775" s="67" t="str">
        <f>IFERROR(__xludf.DUMMYFUNCTION("if(H775="""", """", SUM(split(H775, "";"")))"),"")</f>
        <v/>
      </c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  <c r="Z775" s="68"/>
      <c r="AA775" s="68"/>
    </row>
    <row r="776" ht="26.25" customHeight="1">
      <c r="A776" s="68"/>
      <c r="B776" s="68"/>
      <c r="C776" s="68"/>
      <c r="D776" s="71"/>
      <c r="E776" s="71"/>
      <c r="F776" s="71"/>
      <c r="G776" s="65" t="str">
        <f t="shared" si="1"/>
        <v/>
      </c>
      <c r="H776" s="74"/>
      <c r="I776" s="67" t="str">
        <f>IFERROR(__xludf.DUMMYFUNCTION("if($H776="""", """", AVERAGE(split($H776, "";"")))"),"")</f>
        <v/>
      </c>
      <c r="J776" s="67" t="str">
        <f>IFERROR(__xludf.DUMMYFUNCTION("if(H776="""", """", SUM(split(H776, "";"")))"),"")</f>
        <v/>
      </c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  <c r="Z776" s="68"/>
      <c r="AA776" s="68"/>
    </row>
    <row r="777" ht="26.25" customHeight="1">
      <c r="A777" s="68"/>
      <c r="B777" s="68"/>
      <c r="C777" s="68"/>
      <c r="D777" s="71"/>
      <c r="E777" s="71"/>
      <c r="F777" s="71"/>
      <c r="G777" s="65" t="str">
        <f t="shared" si="1"/>
        <v/>
      </c>
      <c r="H777" s="74"/>
      <c r="I777" s="67" t="str">
        <f>IFERROR(__xludf.DUMMYFUNCTION("if($H777="""", """", AVERAGE(split($H777, "";"")))"),"")</f>
        <v/>
      </c>
      <c r="J777" s="67" t="str">
        <f>IFERROR(__xludf.DUMMYFUNCTION("if(H777="""", """", SUM(split(H777, "";"")))"),"")</f>
        <v/>
      </c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  <c r="Z777" s="68"/>
      <c r="AA777" s="68"/>
    </row>
    <row r="778" ht="26.25" customHeight="1">
      <c r="A778" s="68"/>
      <c r="B778" s="68"/>
      <c r="C778" s="68"/>
      <c r="D778" s="71"/>
      <c r="E778" s="71"/>
      <c r="F778" s="71"/>
      <c r="G778" s="65" t="str">
        <f t="shared" si="1"/>
        <v/>
      </c>
      <c r="H778" s="74"/>
      <c r="I778" s="67" t="str">
        <f>IFERROR(__xludf.DUMMYFUNCTION("if($H778="""", """", AVERAGE(split($H778, "";"")))"),"")</f>
        <v/>
      </c>
      <c r="J778" s="67" t="str">
        <f>IFERROR(__xludf.DUMMYFUNCTION("if(H778="""", """", SUM(split(H778, "";"")))"),"")</f>
        <v/>
      </c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  <c r="AA778" s="68"/>
    </row>
    <row r="779" ht="26.25" customHeight="1">
      <c r="A779" s="68"/>
      <c r="B779" s="68"/>
      <c r="C779" s="68"/>
      <c r="D779" s="71"/>
      <c r="E779" s="71"/>
      <c r="F779" s="71"/>
      <c r="G779" s="65" t="str">
        <f t="shared" si="1"/>
        <v/>
      </c>
      <c r="H779" s="74"/>
      <c r="I779" s="67" t="str">
        <f>IFERROR(__xludf.DUMMYFUNCTION("if($H779="""", """", AVERAGE(split($H779, "";"")))"),"")</f>
        <v/>
      </c>
      <c r="J779" s="67" t="str">
        <f>IFERROR(__xludf.DUMMYFUNCTION("if(H779="""", """", SUM(split(H779, "";"")))"),"")</f>
        <v/>
      </c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  <c r="AA779" s="68"/>
    </row>
    <row r="780" ht="26.25" customHeight="1">
      <c r="A780" s="68"/>
      <c r="B780" s="68"/>
      <c r="C780" s="68"/>
      <c r="D780" s="71"/>
      <c r="E780" s="71"/>
      <c r="F780" s="71"/>
      <c r="G780" s="65" t="str">
        <f t="shared" si="1"/>
        <v/>
      </c>
      <c r="H780" s="74"/>
      <c r="I780" s="67" t="str">
        <f>IFERROR(__xludf.DUMMYFUNCTION("if($H780="""", """", AVERAGE(split($H780, "";"")))"),"")</f>
        <v/>
      </c>
      <c r="J780" s="67" t="str">
        <f>IFERROR(__xludf.DUMMYFUNCTION("if(H780="""", """", SUM(split(H780, "";"")))"),"")</f>
        <v/>
      </c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  <c r="AA780" s="68"/>
    </row>
    <row r="781" ht="26.25" customHeight="1">
      <c r="A781" s="68"/>
      <c r="B781" s="68"/>
      <c r="C781" s="68"/>
      <c r="D781" s="71"/>
      <c r="E781" s="71"/>
      <c r="F781" s="71"/>
      <c r="G781" s="65" t="str">
        <f t="shared" si="1"/>
        <v/>
      </c>
      <c r="H781" s="74"/>
      <c r="I781" s="67" t="str">
        <f>IFERROR(__xludf.DUMMYFUNCTION("if($H781="""", """", AVERAGE(split($H781, "";"")))"),"")</f>
        <v/>
      </c>
      <c r="J781" s="67" t="str">
        <f>IFERROR(__xludf.DUMMYFUNCTION("if(H781="""", """", SUM(split(H781, "";"")))"),"")</f>
        <v/>
      </c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  <c r="AA781" s="68"/>
    </row>
    <row r="782" ht="26.25" customHeight="1">
      <c r="A782" s="68"/>
      <c r="B782" s="68"/>
      <c r="C782" s="68"/>
      <c r="D782" s="71"/>
      <c r="E782" s="71"/>
      <c r="F782" s="71"/>
      <c r="G782" s="65" t="str">
        <f t="shared" si="1"/>
        <v/>
      </c>
      <c r="H782" s="74"/>
      <c r="I782" s="67" t="str">
        <f>IFERROR(__xludf.DUMMYFUNCTION("if($H782="""", """", AVERAGE(split($H782, "";"")))"),"")</f>
        <v/>
      </c>
      <c r="J782" s="67" t="str">
        <f>IFERROR(__xludf.DUMMYFUNCTION("if(H782="""", """", SUM(split(H782, "";"")))"),"")</f>
        <v/>
      </c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  <c r="Z782" s="68"/>
      <c r="AA782" s="68"/>
    </row>
    <row r="783" ht="26.25" customHeight="1">
      <c r="A783" s="68"/>
      <c r="B783" s="68"/>
      <c r="C783" s="68"/>
      <c r="D783" s="71"/>
      <c r="E783" s="71"/>
      <c r="F783" s="71"/>
      <c r="G783" s="65" t="str">
        <f t="shared" si="1"/>
        <v/>
      </c>
      <c r="H783" s="74"/>
      <c r="I783" s="67" t="str">
        <f>IFERROR(__xludf.DUMMYFUNCTION("if($H783="""", """", AVERAGE(split($H783, "";"")))"),"")</f>
        <v/>
      </c>
      <c r="J783" s="67" t="str">
        <f>IFERROR(__xludf.DUMMYFUNCTION("if(H783="""", """", SUM(split(H783, "";"")))"),"")</f>
        <v/>
      </c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  <c r="Z783" s="68"/>
      <c r="AA783" s="68"/>
    </row>
    <row r="784" ht="26.25" customHeight="1">
      <c r="A784" s="68"/>
      <c r="B784" s="68"/>
      <c r="C784" s="68"/>
      <c r="D784" s="71"/>
      <c r="E784" s="71"/>
      <c r="F784" s="71"/>
      <c r="G784" s="65" t="str">
        <f t="shared" si="1"/>
        <v/>
      </c>
      <c r="H784" s="74"/>
      <c r="I784" s="67" t="str">
        <f>IFERROR(__xludf.DUMMYFUNCTION("if($H784="""", """", AVERAGE(split($H784, "";"")))"),"")</f>
        <v/>
      </c>
      <c r="J784" s="67" t="str">
        <f>IFERROR(__xludf.DUMMYFUNCTION("if(H784="""", """", SUM(split(H784, "";"")))"),"")</f>
        <v/>
      </c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  <c r="Z784" s="68"/>
      <c r="AA784" s="68"/>
    </row>
    <row r="785" ht="26.25" customHeight="1">
      <c r="A785" s="68"/>
      <c r="B785" s="68"/>
      <c r="C785" s="68"/>
      <c r="D785" s="71"/>
      <c r="E785" s="71"/>
      <c r="F785" s="71"/>
      <c r="G785" s="65" t="str">
        <f t="shared" si="1"/>
        <v/>
      </c>
      <c r="H785" s="74"/>
      <c r="I785" s="67" t="str">
        <f>IFERROR(__xludf.DUMMYFUNCTION("if($H785="""", """", AVERAGE(split($H785, "";"")))"),"")</f>
        <v/>
      </c>
      <c r="J785" s="67" t="str">
        <f>IFERROR(__xludf.DUMMYFUNCTION("if(H785="""", """", SUM(split(H785, "";"")))"),"")</f>
        <v/>
      </c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  <c r="Z785" s="68"/>
      <c r="AA785" s="68"/>
    </row>
    <row r="786" ht="26.25" customHeight="1">
      <c r="A786" s="68"/>
      <c r="B786" s="68"/>
      <c r="C786" s="68"/>
      <c r="D786" s="71"/>
      <c r="E786" s="71"/>
      <c r="F786" s="71"/>
      <c r="G786" s="65" t="str">
        <f t="shared" si="1"/>
        <v/>
      </c>
      <c r="H786" s="74"/>
      <c r="I786" s="67" t="str">
        <f>IFERROR(__xludf.DUMMYFUNCTION("if($H786="""", """", AVERAGE(split($H786, "";"")))"),"")</f>
        <v/>
      </c>
      <c r="J786" s="67" t="str">
        <f>IFERROR(__xludf.DUMMYFUNCTION("if(H786="""", """", SUM(split(H786, "";"")))"),"")</f>
        <v/>
      </c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  <c r="Z786" s="68"/>
      <c r="AA786" s="68"/>
    </row>
    <row r="787" ht="26.25" customHeight="1">
      <c r="A787" s="68"/>
      <c r="B787" s="68"/>
      <c r="C787" s="68"/>
      <c r="D787" s="71"/>
      <c r="E787" s="71"/>
      <c r="F787" s="71"/>
      <c r="G787" s="65" t="str">
        <f t="shared" si="1"/>
        <v/>
      </c>
      <c r="H787" s="74"/>
      <c r="I787" s="67" t="str">
        <f>IFERROR(__xludf.DUMMYFUNCTION("if($H787="""", """", AVERAGE(split($H787, "";"")))"),"")</f>
        <v/>
      </c>
      <c r="J787" s="67" t="str">
        <f>IFERROR(__xludf.DUMMYFUNCTION("if(H787="""", """", SUM(split(H787, "";"")))"),"")</f>
        <v/>
      </c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  <c r="Z787" s="68"/>
      <c r="AA787" s="68"/>
    </row>
    <row r="788" ht="26.25" customHeight="1">
      <c r="A788" s="68"/>
      <c r="B788" s="68"/>
      <c r="C788" s="68"/>
      <c r="D788" s="71"/>
      <c r="E788" s="71"/>
      <c r="F788" s="71"/>
      <c r="G788" s="65" t="str">
        <f t="shared" si="1"/>
        <v/>
      </c>
      <c r="H788" s="74"/>
      <c r="I788" s="67" t="str">
        <f>IFERROR(__xludf.DUMMYFUNCTION("if($H788="""", """", AVERAGE(split($H788, "";"")))"),"")</f>
        <v/>
      </c>
      <c r="J788" s="67" t="str">
        <f>IFERROR(__xludf.DUMMYFUNCTION("if(H788="""", """", SUM(split(H788, "";"")))"),"")</f>
        <v/>
      </c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  <c r="Z788" s="68"/>
      <c r="AA788" s="68"/>
    </row>
    <row r="789" ht="26.25" customHeight="1">
      <c r="A789" s="68"/>
      <c r="B789" s="68"/>
      <c r="C789" s="68"/>
      <c r="D789" s="71"/>
      <c r="E789" s="71"/>
      <c r="F789" s="71"/>
      <c r="G789" s="65" t="str">
        <f t="shared" si="1"/>
        <v/>
      </c>
      <c r="H789" s="74"/>
      <c r="I789" s="67" t="str">
        <f>IFERROR(__xludf.DUMMYFUNCTION("if($H789="""", """", AVERAGE(split($H789, "";"")))"),"")</f>
        <v/>
      </c>
      <c r="J789" s="67" t="str">
        <f>IFERROR(__xludf.DUMMYFUNCTION("if(H789="""", """", SUM(split(H789, "";"")))"),"")</f>
        <v/>
      </c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  <c r="Z789" s="68"/>
      <c r="AA789" s="68"/>
    </row>
    <row r="790" ht="26.25" customHeight="1">
      <c r="A790" s="68"/>
      <c r="B790" s="68"/>
      <c r="C790" s="68"/>
      <c r="D790" s="71"/>
      <c r="E790" s="71"/>
      <c r="F790" s="71"/>
      <c r="G790" s="65" t="str">
        <f t="shared" si="1"/>
        <v/>
      </c>
      <c r="H790" s="74"/>
      <c r="I790" s="67" t="str">
        <f>IFERROR(__xludf.DUMMYFUNCTION("if($H790="""", """", AVERAGE(split($H790, "";"")))"),"")</f>
        <v/>
      </c>
      <c r="J790" s="67" t="str">
        <f>IFERROR(__xludf.DUMMYFUNCTION("if(H790="""", """", SUM(split(H790, "";"")))"),"")</f>
        <v/>
      </c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  <c r="Z790" s="68"/>
      <c r="AA790" s="68"/>
    </row>
    <row r="791" ht="26.25" customHeight="1">
      <c r="A791" s="68"/>
      <c r="B791" s="68"/>
      <c r="C791" s="68"/>
      <c r="D791" s="71"/>
      <c r="E791" s="71"/>
      <c r="F791" s="71"/>
      <c r="G791" s="65" t="str">
        <f t="shared" si="1"/>
        <v/>
      </c>
      <c r="H791" s="74"/>
      <c r="I791" s="67" t="str">
        <f>IFERROR(__xludf.DUMMYFUNCTION("if($H791="""", """", AVERAGE(split($H791, "";"")))"),"")</f>
        <v/>
      </c>
      <c r="J791" s="67" t="str">
        <f>IFERROR(__xludf.DUMMYFUNCTION("if(H791="""", """", SUM(split(H791, "";"")))"),"")</f>
        <v/>
      </c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  <c r="Z791" s="68"/>
      <c r="AA791" s="68"/>
    </row>
    <row r="792" ht="26.25" customHeight="1">
      <c r="A792" s="68"/>
      <c r="B792" s="68"/>
      <c r="C792" s="68"/>
      <c r="D792" s="71"/>
      <c r="E792" s="71"/>
      <c r="F792" s="71"/>
      <c r="G792" s="65" t="str">
        <f t="shared" si="1"/>
        <v/>
      </c>
      <c r="H792" s="74"/>
      <c r="I792" s="67" t="str">
        <f>IFERROR(__xludf.DUMMYFUNCTION("if($H792="""", """", AVERAGE(split($H792, "";"")))"),"")</f>
        <v/>
      </c>
      <c r="J792" s="67" t="str">
        <f>IFERROR(__xludf.DUMMYFUNCTION("if(H792="""", """", SUM(split(H792, "";"")))"),"")</f>
        <v/>
      </c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  <c r="Z792" s="68"/>
      <c r="AA792" s="68"/>
    </row>
    <row r="793" ht="26.25" customHeight="1">
      <c r="A793" s="68"/>
      <c r="B793" s="68"/>
      <c r="C793" s="68"/>
      <c r="D793" s="71"/>
      <c r="E793" s="71"/>
      <c r="F793" s="71"/>
      <c r="G793" s="65" t="str">
        <f t="shared" si="1"/>
        <v/>
      </c>
      <c r="H793" s="74"/>
      <c r="I793" s="67" t="str">
        <f>IFERROR(__xludf.DUMMYFUNCTION("if($H793="""", """", AVERAGE(split($H793, "";"")))"),"")</f>
        <v/>
      </c>
      <c r="J793" s="67" t="str">
        <f>IFERROR(__xludf.DUMMYFUNCTION("if(H793="""", """", SUM(split(H793, "";"")))"),"")</f>
        <v/>
      </c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  <c r="Z793" s="68"/>
      <c r="AA793" s="68"/>
    </row>
    <row r="794" ht="26.25" customHeight="1">
      <c r="A794" s="68"/>
      <c r="B794" s="68"/>
      <c r="C794" s="68"/>
      <c r="D794" s="71"/>
      <c r="E794" s="71"/>
      <c r="F794" s="71"/>
      <c r="G794" s="65" t="str">
        <f t="shared" si="1"/>
        <v/>
      </c>
      <c r="H794" s="74"/>
      <c r="I794" s="67" t="str">
        <f>IFERROR(__xludf.DUMMYFUNCTION("if($H794="""", """", AVERAGE(split($H794, "";"")))"),"")</f>
        <v/>
      </c>
      <c r="J794" s="67" t="str">
        <f>IFERROR(__xludf.DUMMYFUNCTION("if(H794="""", """", SUM(split(H794, "";"")))"),"")</f>
        <v/>
      </c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  <c r="Z794" s="68"/>
      <c r="AA794" s="68"/>
    </row>
    <row r="795" ht="26.25" customHeight="1">
      <c r="A795" s="68"/>
      <c r="B795" s="68"/>
      <c r="C795" s="68"/>
      <c r="D795" s="71"/>
      <c r="E795" s="71"/>
      <c r="F795" s="71"/>
      <c r="G795" s="65" t="str">
        <f t="shared" si="1"/>
        <v/>
      </c>
      <c r="H795" s="74"/>
      <c r="I795" s="67" t="str">
        <f>IFERROR(__xludf.DUMMYFUNCTION("if($H795="""", """", AVERAGE(split($H795, "";"")))"),"")</f>
        <v/>
      </c>
      <c r="J795" s="67" t="str">
        <f>IFERROR(__xludf.DUMMYFUNCTION("if(H795="""", """", SUM(split(H795, "";"")))"),"")</f>
        <v/>
      </c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  <c r="Z795" s="68"/>
      <c r="AA795" s="68"/>
    </row>
    <row r="796" ht="26.25" customHeight="1">
      <c r="A796" s="68"/>
      <c r="B796" s="68"/>
      <c r="C796" s="68"/>
      <c r="D796" s="71"/>
      <c r="E796" s="71"/>
      <c r="F796" s="71"/>
      <c r="G796" s="65" t="str">
        <f t="shared" si="1"/>
        <v/>
      </c>
      <c r="H796" s="74"/>
      <c r="I796" s="67" t="str">
        <f>IFERROR(__xludf.DUMMYFUNCTION("if($H796="""", """", AVERAGE(split($H796, "";"")))"),"")</f>
        <v/>
      </c>
      <c r="J796" s="67" t="str">
        <f>IFERROR(__xludf.DUMMYFUNCTION("if(H796="""", """", SUM(split(H796, "";"")))"),"")</f>
        <v/>
      </c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  <c r="Z796" s="68"/>
      <c r="AA796" s="68"/>
    </row>
    <row r="797" ht="26.25" customHeight="1">
      <c r="A797" s="68"/>
      <c r="B797" s="68"/>
      <c r="C797" s="68"/>
      <c r="D797" s="71"/>
      <c r="E797" s="71"/>
      <c r="F797" s="71"/>
      <c r="G797" s="65" t="str">
        <f t="shared" si="1"/>
        <v/>
      </c>
      <c r="H797" s="74"/>
      <c r="I797" s="67" t="str">
        <f>IFERROR(__xludf.DUMMYFUNCTION("if($H797="""", """", AVERAGE(split($H797, "";"")))"),"")</f>
        <v/>
      </c>
      <c r="J797" s="67" t="str">
        <f>IFERROR(__xludf.DUMMYFUNCTION("if(H797="""", """", SUM(split(H797, "";"")))"),"")</f>
        <v/>
      </c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  <c r="Z797" s="68"/>
      <c r="AA797" s="68"/>
    </row>
    <row r="798" ht="26.25" customHeight="1">
      <c r="A798" s="68"/>
      <c r="B798" s="68"/>
      <c r="C798" s="68"/>
      <c r="D798" s="71"/>
      <c r="E798" s="71"/>
      <c r="F798" s="71"/>
      <c r="G798" s="65" t="str">
        <f t="shared" si="1"/>
        <v/>
      </c>
      <c r="H798" s="74"/>
      <c r="I798" s="67" t="str">
        <f>IFERROR(__xludf.DUMMYFUNCTION("if($H798="""", """", AVERAGE(split($H798, "";"")))"),"")</f>
        <v/>
      </c>
      <c r="J798" s="67" t="str">
        <f>IFERROR(__xludf.DUMMYFUNCTION("if(H798="""", """", SUM(split(H798, "";"")))"),"")</f>
        <v/>
      </c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  <c r="Z798" s="68"/>
      <c r="AA798" s="68"/>
    </row>
    <row r="799" ht="26.25" customHeight="1">
      <c r="A799" s="68"/>
      <c r="B799" s="68"/>
      <c r="C799" s="68"/>
      <c r="D799" s="71"/>
      <c r="E799" s="71"/>
      <c r="F799" s="71"/>
      <c r="G799" s="65" t="str">
        <f t="shared" si="1"/>
        <v/>
      </c>
      <c r="H799" s="74"/>
      <c r="I799" s="67" t="str">
        <f>IFERROR(__xludf.DUMMYFUNCTION("if($H799="""", """", AVERAGE(split($H799, "";"")))"),"")</f>
        <v/>
      </c>
      <c r="J799" s="67" t="str">
        <f>IFERROR(__xludf.DUMMYFUNCTION("if(H799="""", """", SUM(split(H799, "";"")))"),"")</f>
        <v/>
      </c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  <c r="Z799" s="68"/>
      <c r="AA799" s="68"/>
    </row>
    <row r="800" ht="26.25" customHeight="1">
      <c r="A800" s="68"/>
      <c r="B800" s="68"/>
      <c r="C800" s="68"/>
      <c r="D800" s="71"/>
      <c r="E800" s="71"/>
      <c r="F800" s="71"/>
      <c r="G800" s="65" t="str">
        <f t="shared" si="1"/>
        <v/>
      </c>
      <c r="H800" s="74"/>
      <c r="I800" s="67" t="str">
        <f>IFERROR(__xludf.DUMMYFUNCTION("if($H800="""", """", AVERAGE(split($H800, "";"")))"),"")</f>
        <v/>
      </c>
      <c r="J800" s="67" t="str">
        <f>IFERROR(__xludf.DUMMYFUNCTION("if(H800="""", """", SUM(split(H800, "";"")))"),"")</f>
        <v/>
      </c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  <c r="Z800" s="68"/>
      <c r="AA800" s="68"/>
    </row>
    <row r="801" ht="26.25" customHeight="1">
      <c r="A801" s="68"/>
      <c r="B801" s="68"/>
      <c r="C801" s="68"/>
      <c r="D801" s="71"/>
      <c r="E801" s="71"/>
      <c r="F801" s="71"/>
      <c r="G801" s="65" t="str">
        <f t="shared" si="1"/>
        <v/>
      </c>
      <c r="H801" s="74"/>
      <c r="I801" s="67" t="str">
        <f>IFERROR(__xludf.DUMMYFUNCTION("if($H801="""", """", AVERAGE(split($H801, "";"")))"),"")</f>
        <v/>
      </c>
      <c r="J801" s="67" t="str">
        <f>IFERROR(__xludf.DUMMYFUNCTION("if(H801="""", """", SUM(split(H801, "";"")))"),"")</f>
        <v/>
      </c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  <c r="AA801" s="68"/>
    </row>
    <row r="802" ht="26.25" customHeight="1">
      <c r="A802" s="68"/>
      <c r="B802" s="68"/>
      <c r="C802" s="68"/>
      <c r="D802" s="71"/>
      <c r="E802" s="71"/>
      <c r="F802" s="71"/>
      <c r="G802" s="65" t="str">
        <f t="shared" si="1"/>
        <v/>
      </c>
      <c r="H802" s="74"/>
      <c r="I802" s="67" t="str">
        <f>IFERROR(__xludf.DUMMYFUNCTION("if($H802="""", """", AVERAGE(split($H802, "";"")))"),"")</f>
        <v/>
      </c>
      <c r="J802" s="67" t="str">
        <f>IFERROR(__xludf.DUMMYFUNCTION("if(H802="""", """", SUM(split(H802, "";"")))"),"")</f>
        <v/>
      </c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  <c r="Z802" s="68"/>
      <c r="AA802" s="68"/>
    </row>
    <row r="803" ht="26.25" customHeight="1">
      <c r="A803" s="68"/>
      <c r="B803" s="68"/>
      <c r="C803" s="68"/>
      <c r="D803" s="71"/>
      <c r="E803" s="71"/>
      <c r="F803" s="71"/>
      <c r="G803" s="65" t="str">
        <f t="shared" si="1"/>
        <v/>
      </c>
      <c r="H803" s="74"/>
      <c r="I803" s="67" t="str">
        <f>IFERROR(__xludf.DUMMYFUNCTION("if($H803="""", """", AVERAGE(split($H803, "";"")))"),"")</f>
        <v/>
      </c>
      <c r="J803" s="67" t="str">
        <f>IFERROR(__xludf.DUMMYFUNCTION("if(H803="""", """", SUM(split(H803, "";"")))"),"")</f>
        <v/>
      </c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  <c r="Z803" s="68"/>
      <c r="AA803" s="68"/>
    </row>
    <row r="804" ht="26.25" customHeight="1">
      <c r="A804" s="68"/>
      <c r="B804" s="68"/>
      <c r="C804" s="68"/>
      <c r="D804" s="71"/>
      <c r="E804" s="71"/>
      <c r="F804" s="71"/>
      <c r="G804" s="65" t="str">
        <f t="shared" si="1"/>
        <v/>
      </c>
      <c r="H804" s="74"/>
      <c r="I804" s="67" t="str">
        <f>IFERROR(__xludf.DUMMYFUNCTION("if($H804="""", """", AVERAGE(split($H804, "";"")))"),"")</f>
        <v/>
      </c>
      <c r="J804" s="67" t="str">
        <f>IFERROR(__xludf.DUMMYFUNCTION("if(H804="""", """", SUM(split(H804, "";"")))"),"")</f>
        <v/>
      </c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  <c r="Z804" s="68"/>
      <c r="AA804" s="68"/>
    </row>
    <row r="805" ht="26.25" customHeight="1">
      <c r="A805" s="68"/>
      <c r="B805" s="68"/>
      <c r="C805" s="68"/>
      <c r="D805" s="71"/>
      <c r="E805" s="71"/>
      <c r="F805" s="71"/>
      <c r="G805" s="65" t="str">
        <f t="shared" si="1"/>
        <v/>
      </c>
      <c r="H805" s="74"/>
      <c r="I805" s="67" t="str">
        <f>IFERROR(__xludf.DUMMYFUNCTION("if($H805="""", """", AVERAGE(split($H805, "";"")))"),"")</f>
        <v/>
      </c>
      <c r="J805" s="67" t="str">
        <f>IFERROR(__xludf.DUMMYFUNCTION("if(H805="""", """", SUM(split(H805, "";"")))"),"")</f>
        <v/>
      </c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  <c r="Z805" s="68"/>
      <c r="AA805" s="68"/>
    </row>
    <row r="806" ht="26.25" customHeight="1">
      <c r="A806" s="68"/>
      <c r="B806" s="68"/>
      <c r="C806" s="68"/>
      <c r="D806" s="71"/>
      <c r="E806" s="71"/>
      <c r="F806" s="71"/>
      <c r="G806" s="65" t="str">
        <f t="shared" si="1"/>
        <v/>
      </c>
      <c r="H806" s="74"/>
      <c r="I806" s="67" t="str">
        <f>IFERROR(__xludf.DUMMYFUNCTION("if($H806="""", """", AVERAGE(split($H806, "";"")))"),"")</f>
        <v/>
      </c>
      <c r="J806" s="67" t="str">
        <f>IFERROR(__xludf.DUMMYFUNCTION("if(H806="""", """", SUM(split(H806, "";"")))"),"")</f>
        <v/>
      </c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  <c r="Z806" s="68"/>
      <c r="AA806" s="68"/>
    </row>
    <row r="807" ht="26.25" customHeight="1">
      <c r="A807" s="68"/>
      <c r="B807" s="68"/>
      <c r="C807" s="68"/>
      <c r="D807" s="71"/>
      <c r="E807" s="71"/>
      <c r="F807" s="71"/>
      <c r="G807" s="65" t="str">
        <f t="shared" si="1"/>
        <v/>
      </c>
      <c r="H807" s="74"/>
      <c r="I807" s="67" t="str">
        <f>IFERROR(__xludf.DUMMYFUNCTION("if($H807="""", """", AVERAGE(split($H807, "";"")))"),"")</f>
        <v/>
      </c>
      <c r="J807" s="67" t="str">
        <f>IFERROR(__xludf.DUMMYFUNCTION("if(H807="""", """", SUM(split(H807, "";"")))"),"")</f>
        <v/>
      </c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  <c r="Z807" s="68"/>
      <c r="AA807" s="68"/>
    </row>
    <row r="808" ht="26.25" customHeight="1">
      <c r="A808" s="68"/>
      <c r="B808" s="68"/>
      <c r="C808" s="68"/>
      <c r="D808" s="71"/>
      <c r="E808" s="71"/>
      <c r="F808" s="71"/>
      <c r="G808" s="65" t="str">
        <f t="shared" si="1"/>
        <v/>
      </c>
      <c r="H808" s="74"/>
      <c r="I808" s="67" t="str">
        <f>IFERROR(__xludf.DUMMYFUNCTION("if($H808="""", """", AVERAGE(split($H808, "";"")))"),"")</f>
        <v/>
      </c>
      <c r="J808" s="67" t="str">
        <f>IFERROR(__xludf.DUMMYFUNCTION("if(H808="""", """", SUM(split(H808, "";"")))"),"")</f>
        <v/>
      </c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  <c r="Z808" s="68"/>
      <c r="AA808" s="68"/>
    </row>
    <row r="809" ht="26.25" customHeight="1">
      <c r="A809" s="68"/>
      <c r="B809" s="68"/>
      <c r="C809" s="68"/>
      <c r="D809" s="71"/>
      <c r="E809" s="71"/>
      <c r="F809" s="71"/>
      <c r="G809" s="65" t="str">
        <f t="shared" si="1"/>
        <v/>
      </c>
      <c r="H809" s="74"/>
      <c r="I809" s="67" t="str">
        <f>IFERROR(__xludf.DUMMYFUNCTION("if($H809="""", """", AVERAGE(split($H809, "";"")))"),"")</f>
        <v/>
      </c>
      <c r="J809" s="67" t="str">
        <f>IFERROR(__xludf.DUMMYFUNCTION("if(H809="""", """", SUM(split(H809, "";"")))"),"")</f>
        <v/>
      </c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  <c r="Z809" s="68"/>
      <c r="AA809" s="68"/>
    </row>
    <row r="810" ht="26.25" customHeight="1">
      <c r="A810" s="68"/>
      <c r="B810" s="68"/>
      <c r="C810" s="68"/>
      <c r="D810" s="71"/>
      <c r="E810" s="71"/>
      <c r="F810" s="71"/>
      <c r="G810" s="65" t="str">
        <f t="shared" si="1"/>
        <v/>
      </c>
      <c r="H810" s="74"/>
      <c r="I810" s="67" t="str">
        <f>IFERROR(__xludf.DUMMYFUNCTION("if($H810="""", """", AVERAGE(split($H810, "";"")))"),"")</f>
        <v/>
      </c>
      <c r="J810" s="67" t="str">
        <f>IFERROR(__xludf.DUMMYFUNCTION("if(H810="""", """", SUM(split(H810, "";"")))"),"")</f>
        <v/>
      </c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  <c r="Z810" s="68"/>
      <c r="AA810" s="68"/>
    </row>
    <row r="811" ht="26.25" customHeight="1">
      <c r="A811" s="68"/>
      <c r="B811" s="68"/>
      <c r="C811" s="68"/>
      <c r="D811" s="71"/>
      <c r="E811" s="71"/>
      <c r="F811" s="71"/>
      <c r="G811" s="65" t="str">
        <f t="shared" si="1"/>
        <v/>
      </c>
      <c r="H811" s="74"/>
      <c r="I811" s="67" t="str">
        <f>IFERROR(__xludf.DUMMYFUNCTION("if($H811="""", """", AVERAGE(split($H811, "";"")))"),"")</f>
        <v/>
      </c>
      <c r="J811" s="67" t="str">
        <f>IFERROR(__xludf.DUMMYFUNCTION("if(H811="""", """", SUM(split(H811, "";"")))"),"")</f>
        <v/>
      </c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  <c r="Y811" s="68"/>
      <c r="Z811" s="68"/>
      <c r="AA811" s="68"/>
    </row>
    <row r="812" ht="26.25" customHeight="1">
      <c r="A812" s="68"/>
      <c r="B812" s="68"/>
      <c r="C812" s="68"/>
      <c r="D812" s="71"/>
      <c r="E812" s="71"/>
      <c r="F812" s="71"/>
      <c r="G812" s="65" t="str">
        <f t="shared" si="1"/>
        <v/>
      </c>
      <c r="H812" s="74"/>
      <c r="I812" s="67" t="str">
        <f>IFERROR(__xludf.DUMMYFUNCTION("if($H812="""", """", AVERAGE(split($H812, "";"")))"),"")</f>
        <v/>
      </c>
      <c r="J812" s="67" t="str">
        <f>IFERROR(__xludf.DUMMYFUNCTION("if(H812="""", """", SUM(split(H812, "";"")))"),"")</f>
        <v/>
      </c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  <c r="Y812" s="68"/>
      <c r="Z812" s="68"/>
      <c r="AA812" s="68"/>
    </row>
    <row r="813" ht="26.25" customHeight="1">
      <c r="A813" s="68"/>
      <c r="B813" s="68"/>
      <c r="C813" s="68"/>
      <c r="D813" s="71"/>
      <c r="E813" s="71"/>
      <c r="F813" s="71"/>
      <c r="G813" s="65" t="str">
        <f t="shared" si="1"/>
        <v/>
      </c>
      <c r="H813" s="74"/>
      <c r="I813" s="67" t="str">
        <f>IFERROR(__xludf.DUMMYFUNCTION("if($H813="""", """", AVERAGE(split($H813, "";"")))"),"")</f>
        <v/>
      </c>
      <c r="J813" s="67" t="str">
        <f>IFERROR(__xludf.DUMMYFUNCTION("if(H813="""", """", SUM(split(H813, "";"")))"),"")</f>
        <v/>
      </c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  <c r="Y813" s="68"/>
      <c r="Z813" s="68"/>
      <c r="AA813" s="68"/>
    </row>
    <row r="814" ht="26.25" customHeight="1">
      <c r="A814" s="68"/>
      <c r="B814" s="68"/>
      <c r="C814" s="68"/>
      <c r="D814" s="71"/>
      <c r="E814" s="71"/>
      <c r="F814" s="71"/>
      <c r="G814" s="65" t="str">
        <f t="shared" si="1"/>
        <v/>
      </c>
      <c r="H814" s="74"/>
      <c r="I814" s="67" t="str">
        <f>IFERROR(__xludf.DUMMYFUNCTION("if($H814="""", """", AVERAGE(split($H814, "";"")))"),"")</f>
        <v/>
      </c>
      <c r="J814" s="67" t="str">
        <f>IFERROR(__xludf.DUMMYFUNCTION("if(H814="""", """", SUM(split(H814, "";"")))"),"")</f>
        <v/>
      </c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  <c r="Y814" s="68"/>
      <c r="Z814" s="68"/>
      <c r="AA814" s="68"/>
    </row>
    <row r="815" ht="26.25" customHeight="1">
      <c r="A815" s="68"/>
      <c r="B815" s="68"/>
      <c r="C815" s="68"/>
      <c r="D815" s="71"/>
      <c r="E815" s="71"/>
      <c r="F815" s="71"/>
      <c r="G815" s="65" t="str">
        <f t="shared" si="1"/>
        <v/>
      </c>
      <c r="H815" s="74"/>
      <c r="I815" s="67" t="str">
        <f>IFERROR(__xludf.DUMMYFUNCTION("if($H815="""", """", AVERAGE(split($H815, "";"")))"),"")</f>
        <v/>
      </c>
      <c r="J815" s="67" t="str">
        <f>IFERROR(__xludf.DUMMYFUNCTION("if(H815="""", """", SUM(split(H815, "";"")))"),"")</f>
        <v/>
      </c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  <c r="Y815" s="68"/>
      <c r="Z815" s="68"/>
      <c r="AA815" s="68"/>
    </row>
    <row r="816" ht="26.25" customHeight="1">
      <c r="A816" s="68"/>
      <c r="B816" s="68"/>
      <c r="C816" s="68"/>
      <c r="D816" s="71"/>
      <c r="E816" s="71"/>
      <c r="F816" s="71"/>
      <c r="G816" s="65" t="str">
        <f t="shared" si="1"/>
        <v/>
      </c>
      <c r="H816" s="74"/>
      <c r="I816" s="67" t="str">
        <f>IFERROR(__xludf.DUMMYFUNCTION("if($H816="""", """", AVERAGE(split($H816, "";"")))"),"")</f>
        <v/>
      </c>
      <c r="J816" s="67" t="str">
        <f>IFERROR(__xludf.DUMMYFUNCTION("if(H816="""", """", SUM(split(H816, "";"")))"),"")</f>
        <v/>
      </c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  <c r="Z816" s="68"/>
      <c r="AA816" s="68"/>
    </row>
    <row r="817" ht="26.25" customHeight="1">
      <c r="A817" s="68"/>
      <c r="B817" s="68"/>
      <c r="C817" s="68"/>
      <c r="D817" s="71"/>
      <c r="E817" s="71"/>
      <c r="F817" s="71"/>
      <c r="G817" s="65" t="str">
        <f t="shared" si="1"/>
        <v/>
      </c>
      <c r="H817" s="74"/>
      <c r="I817" s="67" t="str">
        <f>IFERROR(__xludf.DUMMYFUNCTION("if($H817="""", """", AVERAGE(split($H817, "";"")))"),"")</f>
        <v/>
      </c>
      <c r="J817" s="67" t="str">
        <f>IFERROR(__xludf.DUMMYFUNCTION("if(H817="""", """", SUM(split(H817, "";"")))"),"")</f>
        <v/>
      </c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  <c r="Y817" s="68"/>
      <c r="Z817" s="68"/>
      <c r="AA817" s="68"/>
    </row>
    <row r="818" ht="26.25" customHeight="1">
      <c r="A818" s="68"/>
      <c r="B818" s="68"/>
      <c r="C818" s="68"/>
      <c r="D818" s="71"/>
      <c r="E818" s="71"/>
      <c r="F818" s="71"/>
      <c r="G818" s="65" t="str">
        <f t="shared" si="1"/>
        <v/>
      </c>
      <c r="H818" s="74"/>
      <c r="I818" s="67" t="str">
        <f>IFERROR(__xludf.DUMMYFUNCTION("if($H818="""", """", AVERAGE(split($H818, "";"")))"),"")</f>
        <v/>
      </c>
      <c r="J818" s="67" t="str">
        <f>IFERROR(__xludf.DUMMYFUNCTION("if(H818="""", """", SUM(split(H818, "";"")))"),"")</f>
        <v/>
      </c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  <c r="Y818" s="68"/>
      <c r="Z818" s="68"/>
      <c r="AA818" s="68"/>
    </row>
    <row r="819" ht="26.25" customHeight="1">
      <c r="A819" s="68"/>
      <c r="B819" s="68"/>
      <c r="C819" s="68"/>
      <c r="D819" s="71"/>
      <c r="E819" s="71"/>
      <c r="F819" s="71"/>
      <c r="G819" s="65" t="str">
        <f t="shared" si="1"/>
        <v/>
      </c>
      <c r="H819" s="74"/>
      <c r="I819" s="67" t="str">
        <f>IFERROR(__xludf.DUMMYFUNCTION("if($H819="""", """", AVERAGE(split($H819, "";"")))"),"")</f>
        <v/>
      </c>
      <c r="J819" s="67" t="str">
        <f>IFERROR(__xludf.DUMMYFUNCTION("if(H819="""", """", SUM(split(H819, "";"")))"),"")</f>
        <v/>
      </c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  <c r="Y819" s="68"/>
      <c r="Z819" s="68"/>
      <c r="AA819" s="68"/>
    </row>
    <row r="820" ht="26.25" customHeight="1">
      <c r="A820" s="68"/>
      <c r="B820" s="68"/>
      <c r="C820" s="68"/>
      <c r="D820" s="71"/>
      <c r="E820" s="71"/>
      <c r="F820" s="71"/>
      <c r="G820" s="65" t="str">
        <f t="shared" si="1"/>
        <v/>
      </c>
      <c r="H820" s="74"/>
      <c r="I820" s="67" t="str">
        <f>IFERROR(__xludf.DUMMYFUNCTION("if($H820="""", """", AVERAGE(split($H820, "";"")))"),"")</f>
        <v/>
      </c>
      <c r="J820" s="67" t="str">
        <f>IFERROR(__xludf.DUMMYFUNCTION("if(H820="""", """", SUM(split(H820, "";"")))"),"")</f>
        <v/>
      </c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  <c r="Y820" s="68"/>
      <c r="Z820" s="68"/>
      <c r="AA820" s="68"/>
    </row>
    <row r="821" ht="26.25" customHeight="1">
      <c r="A821" s="68"/>
      <c r="B821" s="68"/>
      <c r="C821" s="68"/>
      <c r="D821" s="71"/>
      <c r="E821" s="71"/>
      <c r="F821" s="71"/>
      <c r="G821" s="65" t="str">
        <f t="shared" si="1"/>
        <v/>
      </c>
      <c r="H821" s="74"/>
      <c r="I821" s="67" t="str">
        <f>IFERROR(__xludf.DUMMYFUNCTION("if($H821="""", """", AVERAGE(split($H821, "";"")))"),"")</f>
        <v/>
      </c>
      <c r="J821" s="67" t="str">
        <f>IFERROR(__xludf.DUMMYFUNCTION("if(H821="""", """", SUM(split(H821, "";"")))"),"")</f>
        <v/>
      </c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  <c r="Y821" s="68"/>
      <c r="Z821" s="68"/>
      <c r="AA821" s="68"/>
    </row>
    <row r="822" ht="26.25" customHeight="1">
      <c r="A822" s="68"/>
      <c r="B822" s="68"/>
      <c r="C822" s="68"/>
      <c r="D822" s="71"/>
      <c r="E822" s="71"/>
      <c r="F822" s="71"/>
      <c r="G822" s="65" t="str">
        <f t="shared" si="1"/>
        <v/>
      </c>
      <c r="H822" s="74"/>
      <c r="I822" s="67" t="str">
        <f>IFERROR(__xludf.DUMMYFUNCTION("if($H822="""", """", AVERAGE(split($H822, "";"")))"),"")</f>
        <v/>
      </c>
      <c r="J822" s="67" t="str">
        <f>IFERROR(__xludf.DUMMYFUNCTION("if(H822="""", """", SUM(split(H822, "";"")))"),"")</f>
        <v/>
      </c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  <c r="Y822" s="68"/>
      <c r="Z822" s="68"/>
      <c r="AA822" s="68"/>
    </row>
    <row r="823" ht="26.25" customHeight="1">
      <c r="A823" s="68"/>
      <c r="B823" s="68"/>
      <c r="C823" s="68"/>
      <c r="D823" s="71"/>
      <c r="E823" s="71"/>
      <c r="F823" s="71"/>
      <c r="G823" s="65" t="str">
        <f t="shared" si="1"/>
        <v/>
      </c>
      <c r="H823" s="74"/>
      <c r="I823" s="67" t="str">
        <f>IFERROR(__xludf.DUMMYFUNCTION("if($H823="""", """", AVERAGE(split($H823, "";"")))"),"")</f>
        <v/>
      </c>
      <c r="J823" s="67" t="str">
        <f>IFERROR(__xludf.DUMMYFUNCTION("if(H823="""", """", SUM(split(H823, "";"")))"),"")</f>
        <v/>
      </c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  <c r="Y823" s="68"/>
      <c r="Z823" s="68"/>
      <c r="AA823" s="68"/>
    </row>
    <row r="824" ht="26.25" customHeight="1">
      <c r="A824" s="68"/>
      <c r="B824" s="68"/>
      <c r="C824" s="68"/>
      <c r="D824" s="71"/>
      <c r="E824" s="71"/>
      <c r="F824" s="71"/>
      <c r="G824" s="65" t="str">
        <f t="shared" si="1"/>
        <v/>
      </c>
      <c r="H824" s="74"/>
      <c r="I824" s="67" t="str">
        <f>IFERROR(__xludf.DUMMYFUNCTION("if($H824="""", """", AVERAGE(split($H824, "";"")))"),"")</f>
        <v/>
      </c>
      <c r="J824" s="67" t="str">
        <f>IFERROR(__xludf.DUMMYFUNCTION("if(H824="""", """", SUM(split(H824, "";"")))"),"")</f>
        <v/>
      </c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  <c r="Y824" s="68"/>
      <c r="Z824" s="68"/>
      <c r="AA824" s="68"/>
    </row>
    <row r="825" ht="26.25" customHeight="1">
      <c r="A825" s="68"/>
      <c r="B825" s="68"/>
      <c r="C825" s="68"/>
      <c r="D825" s="71"/>
      <c r="E825" s="71"/>
      <c r="F825" s="71"/>
      <c r="G825" s="65" t="str">
        <f t="shared" si="1"/>
        <v/>
      </c>
      <c r="H825" s="74"/>
      <c r="I825" s="67" t="str">
        <f>IFERROR(__xludf.DUMMYFUNCTION("if($H825="""", """", AVERAGE(split($H825, "";"")))"),"")</f>
        <v/>
      </c>
      <c r="J825" s="67" t="str">
        <f>IFERROR(__xludf.DUMMYFUNCTION("if(H825="""", """", SUM(split(H825, "";"")))"),"")</f>
        <v/>
      </c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  <c r="Y825" s="68"/>
      <c r="Z825" s="68"/>
      <c r="AA825" s="68"/>
    </row>
    <row r="826" ht="26.25" customHeight="1">
      <c r="A826" s="68"/>
      <c r="B826" s="68"/>
      <c r="C826" s="68"/>
      <c r="D826" s="71"/>
      <c r="E826" s="71"/>
      <c r="F826" s="71"/>
      <c r="G826" s="65" t="str">
        <f t="shared" si="1"/>
        <v/>
      </c>
      <c r="H826" s="74"/>
      <c r="I826" s="67" t="str">
        <f>IFERROR(__xludf.DUMMYFUNCTION("if($H826="""", """", AVERAGE(split($H826, "";"")))"),"")</f>
        <v/>
      </c>
      <c r="J826" s="67" t="str">
        <f>IFERROR(__xludf.DUMMYFUNCTION("if(H826="""", """", SUM(split(H826, "";"")))"),"")</f>
        <v/>
      </c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  <c r="Y826" s="68"/>
      <c r="Z826" s="68"/>
      <c r="AA826" s="68"/>
    </row>
    <row r="827" ht="26.25" customHeight="1">
      <c r="A827" s="68"/>
      <c r="B827" s="68"/>
      <c r="C827" s="68"/>
      <c r="D827" s="71"/>
      <c r="E827" s="71"/>
      <c r="F827" s="71"/>
      <c r="G827" s="65" t="str">
        <f t="shared" si="1"/>
        <v/>
      </c>
      <c r="H827" s="74"/>
      <c r="I827" s="67" t="str">
        <f>IFERROR(__xludf.DUMMYFUNCTION("if($H827="""", """", AVERAGE(split($H827, "";"")))"),"")</f>
        <v/>
      </c>
      <c r="J827" s="67" t="str">
        <f>IFERROR(__xludf.DUMMYFUNCTION("if(H827="""", """", SUM(split(H827, "";"")))"),"")</f>
        <v/>
      </c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  <c r="Z827" s="68"/>
      <c r="AA827" s="68"/>
    </row>
    <row r="828" ht="26.25" customHeight="1">
      <c r="A828" s="68"/>
      <c r="B828" s="68"/>
      <c r="C828" s="68"/>
      <c r="D828" s="71"/>
      <c r="E828" s="71"/>
      <c r="F828" s="71"/>
      <c r="G828" s="65" t="str">
        <f t="shared" si="1"/>
        <v/>
      </c>
      <c r="H828" s="74"/>
      <c r="I828" s="67" t="str">
        <f>IFERROR(__xludf.DUMMYFUNCTION("if($H828="""", """", AVERAGE(split($H828, "";"")))"),"")</f>
        <v/>
      </c>
      <c r="J828" s="67" t="str">
        <f>IFERROR(__xludf.DUMMYFUNCTION("if(H828="""", """", SUM(split(H828, "";"")))"),"")</f>
        <v/>
      </c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  <c r="Y828" s="68"/>
      <c r="Z828" s="68"/>
      <c r="AA828" s="68"/>
    </row>
    <row r="829" ht="26.25" customHeight="1">
      <c r="A829" s="68"/>
      <c r="B829" s="68"/>
      <c r="C829" s="68"/>
      <c r="D829" s="71"/>
      <c r="E829" s="71"/>
      <c r="F829" s="71"/>
      <c r="G829" s="65" t="str">
        <f t="shared" si="1"/>
        <v/>
      </c>
      <c r="H829" s="74"/>
      <c r="I829" s="67" t="str">
        <f>IFERROR(__xludf.DUMMYFUNCTION("if($H829="""", """", AVERAGE(split($H829, "";"")))"),"")</f>
        <v/>
      </c>
      <c r="J829" s="67" t="str">
        <f>IFERROR(__xludf.DUMMYFUNCTION("if(H829="""", """", SUM(split(H829, "";"")))"),"")</f>
        <v/>
      </c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  <c r="Y829" s="68"/>
      <c r="Z829" s="68"/>
      <c r="AA829" s="68"/>
    </row>
    <row r="830" ht="26.25" customHeight="1">
      <c r="A830" s="68"/>
      <c r="B830" s="68"/>
      <c r="C830" s="68"/>
      <c r="D830" s="71"/>
      <c r="E830" s="71"/>
      <c r="F830" s="71"/>
      <c r="G830" s="65" t="str">
        <f t="shared" si="1"/>
        <v/>
      </c>
      <c r="H830" s="74"/>
      <c r="I830" s="67" t="str">
        <f>IFERROR(__xludf.DUMMYFUNCTION("if($H830="""", """", AVERAGE(split($H830, "";"")))"),"")</f>
        <v/>
      </c>
      <c r="J830" s="67" t="str">
        <f>IFERROR(__xludf.DUMMYFUNCTION("if(H830="""", """", SUM(split(H830, "";"")))"),"")</f>
        <v/>
      </c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  <c r="Z830" s="68"/>
      <c r="AA830" s="68"/>
    </row>
    <row r="831" ht="26.25" customHeight="1">
      <c r="A831" s="68"/>
      <c r="B831" s="68"/>
      <c r="C831" s="68"/>
      <c r="D831" s="71"/>
      <c r="E831" s="71"/>
      <c r="F831" s="71"/>
      <c r="G831" s="65" t="str">
        <f t="shared" si="1"/>
        <v/>
      </c>
      <c r="H831" s="74"/>
      <c r="I831" s="67" t="str">
        <f>IFERROR(__xludf.DUMMYFUNCTION("if($H831="""", """", AVERAGE(split($H831, "";"")))"),"")</f>
        <v/>
      </c>
      <c r="J831" s="67" t="str">
        <f>IFERROR(__xludf.DUMMYFUNCTION("if(H831="""", """", SUM(split(H831, "";"")))"),"")</f>
        <v/>
      </c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  <c r="Y831" s="68"/>
      <c r="Z831" s="68"/>
      <c r="AA831" s="68"/>
    </row>
    <row r="832" ht="26.25" customHeight="1">
      <c r="A832" s="68"/>
      <c r="B832" s="68"/>
      <c r="C832" s="68"/>
      <c r="D832" s="71"/>
      <c r="E832" s="71"/>
      <c r="F832" s="71"/>
      <c r="G832" s="65" t="str">
        <f t="shared" si="1"/>
        <v/>
      </c>
      <c r="H832" s="74"/>
      <c r="I832" s="67" t="str">
        <f>IFERROR(__xludf.DUMMYFUNCTION("if($H832="""", """", AVERAGE(split($H832, "";"")))"),"")</f>
        <v/>
      </c>
      <c r="J832" s="67" t="str">
        <f>IFERROR(__xludf.DUMMYFUNCTION("if(H832="""", """", SUM(split(H832, "";"")))"),"")</f>
        <v/>
      </c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  <c r="Y832" s="68"/>
      <c r="Z832" s="68"/>
      <c r="AA832" s="68"/>
    </row>
    <row r="833" ht="26.25" customHeight="1">
      <c r="A833" s="68"/>
      <c r="B833" s="68"/>
      <c r="C833" s="68"/>
      <c r="D833" s="71"/>
      <c r="E833" s="71"/>
      <c r="F833" s="71"/>
      <c r="G833" s="65" t="str">
        <f t="shared" si="1"/>
        <v/>
      </c>
      <c r="H833" s="74"/>
      <c r="I833" s="67" t="str">
        <f>IFERROR(__xludf.DUMMYFUNCTION("if($H833="""", """", AVERAGE(split($H833, "";"")))"),"")</f>
        <v/>
      </c>
      <c r="J833" s="67" t="str">
        <f>IFERROR(__xludf.DUMMYFUNCTION("if(H833="""", """", SUM(split(H833, "";"")))"),"")</f>
        <v/>
      </c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  <c r="Y833" s="68"/>
      <c r="Z833" s="68"/>
      <c r="AA833" s="68"/>
    </row>
    <row r="834" ht="26.25" customHeight="1">
      <c r="A834" s="68"/>
      <c r="B834" s="68"/>
      <c r="C834" s="68"/>
      <c r="D834" s="71"/>
      <c r="E834" s="71"/>
      <c r="F834" s="71"/>
      <c r="G834" s="65" t="str">
        <f t="shared" si="1"/>
        <v/>
      </c>
      <c r="H834" s="74"/>
      <c r="I834" s="67" t="str">
        <f>IFERROR(__xludf.DUMMYFUNCTION("if($H834="""", """", AVERAGE(split($H834, "";"")))"),"")</f>
        <v/>
      </c>
      <c r="J834" s="67" t="str">
        <f>IFERROR(__xludf.DUMMYFUNCTION("if(H834="""", """", SUM(split(H834, "";"")))"),"")</f>
        <v/>
      </c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  <c r="Y834" s="68"/>
      <c r="Z834" s="68"/>
      <c r="AA834" s="68"/>
    </row>
    <row r="835" ht="26.25" customHeight="1">
      <c r="A835" s="68"/>
      <c r="B835" s="68"/>
      <c r="C835" s="68"/>
      <c r="D835" s="71"/>
      <c r="E835" s="71"/>
      <c r="F835" s="71"/>
      <c r="G835" s="65" t="str">
        <f t="shared" si="1"/>
        <v/>
      </c>
      <c r="H835" s="74"/>
      <c r="I835" s="67" t="str">
        <f>IFERROR(__xludf.DUMMYFUNCTION("if($H835="""", """", AVERAGE(split($H835, "";"")))"),"")</f>
        <v/>
      </c>
      <c r="J835" s="67" t="str">
        <f>IFERROR(__xludf.DUMMYFUNCTION("if(H835="""", """", SUM(split(H835, "";"")))"),"")</f>
        <v/>
      </c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  <c r="Y835" s="68"/>
      <c r="Z835" s="68"/>
      <c r="AA835" s="68"/>
    </row>
    <row r="836" ht="26.25" customHeight="1">
      <c r="A836" s="68"/>
      <c r="B836" s="68"/>
      <c r="C836" s="68"/>
      <c r="D836" s="71"/>
      <c r="E836" s="71"/>
      <c r="F836" s="71"/>
      <c r="G836" s="65" t="str">
        <f t="shared" si="1"/>
        <v/>
      </c>
      <c r="H836" s="74"/>
      <c r="I836" s="67" t="str">
        <f>IFERROR(__xludf.DUMMYFUNCTION("if($H836="""", """", AVERAGE(split($H836, "";"")))"),"")</f>
        <v/>
      </c>
      <c r="J836" s="67" t="str">
        <f>IFERROR(__xludf.DUMMYFUNCTION("if(H836="""", """", SUM(split(H836, "";"")))"),"")</f>
        <v/>
      </c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  <c r="Y836" s="68"/>
      <c r="Z836" s="68"/>
      <c r="AA836" s="68"/>
    </row>
    <row r="837" ht="26.25" customHeight="1">
      <c r="A837" s="68"/>
      <c r="B837" s="68"/>
      <c r="C837" s="68"/>
      <c r="D837" s="71"/>
      <c r="E837" s="71"/>
      <c r="F837" s="71"/>
      <c r="G837" s="65" t="str">
        <f t="shared" si="1"/>
        <v/>
      </c>
      <c r="H837" s="74"/>
      <c r="I837" s="67" t="str">
        <f>IFERROR(__xludf.DUMMYFUNCTION("if($H837="""", """", AVERAGE(split($H837, "";"")))"),"")</f>
        <v/>
      </c>
      <c r="J837" s="67" t="str">
        <f>IFERROR(__xludf.DUMMYFUNCTION("if(H837="""", """", SUM(split(H837, "";"")))"),"")</f>
        <v/>
      </c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  <c r="Z837" s="68"/>
      <c r="AA837" s="68"/>
    </row>
    <row r="838" ht="26.25" customHeight="1">
      <c r="A838" s="68"/>
      <c r="B838" s="68"/>
      <c r="C838" s="68"/>
      <c r="D838" s="71"/>
      <c r="E838" s="71"/>
      <c r="F838" s="71"/>
      <c r="G838" s="65" t="str">
        <f t="shared" si="1"/>
        <v/>
      </c>
      <c r="H838" s="74"/>
      <c r="I838" s="67" t="str">
        <f>IFERROR(__xludf.DUMMYFUNCTION("if($H838="""", """", AVERAGE(split($H838, "";"")))"),"")</f>
        <v/>
      </c>
      <c r="J838" s="67" t="str">
        <f>IFERROR(__xludf.DUMMYFUNCTION("if(H838="""", """", SUM(split(H838, "";"")))"),"")</f>
        <v/>
      </c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  <c r="Y838" s="68"/>
      <c r="Z838" s="68"/>
      <c r="AA838" s="68"/>
    </row>
    <row r="839" ht="26.25" customHeight="1">
      <c r="A839" s="68"/>
      <c r="B839" s="68"/>
      <c r="C839" s="68"/>
      <c r="D839" s="71"/>
      <c r="E839" s="71"/>
      <c r="F839" s="71"/>
      <c r="G839" s="65" t="str">
        <f t="shared" si="1"/>
        <v/>
      </c>
      <c r="H839" s="74"/>
      <c r="I839" s="67" t="str">
        <f>IFERROR(__xludf.DUMMYFUNCTION("if($H839="""", """", AVERAGE(split($H839, "";"")))"),"")</f>
        <v/>
      </c>
      <c r="J839" s="67" t="str">
        <f>IFERROR(__xludf.DUMMYFUNCTION("if(H839="""", """", SUM(split(H839, "";"")))"),"")</f>
        <v/>
      </c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  <c r="AA839" s="68"/>
    </row>
    <row r="840" ht="26.25" customHeight="1">
      <c r="A840" s="68"/>
      <c r="B840" s="68"/>
      <c r="C840" s="68"/>
      <c r="D840" s="71"/>
      <c r="E840" s="71"/>
      <c r="F840" s="71"/>
      <c r="G840" s="65" t="str">
        <f t="shared" si="1"/>
        <v/>
      </c>
      <c r="H840" s="74"/>
      <c r="I840" s="67" t="str">
        <f>IFERROR(__xludf.DUMMYFUNCTION("if($H840="""", """", AVERAGE(split($H840, "";"")))"),"")</f>
        <v/>
      </c>
      <c r="J840" s="67" t="str">
        <f>IFERROR(__xludf.DUMMYFUNCTION("if(H840="""", """", SUM(split(H840, "";"")))"),"")</f>
        <v/>
      </c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  <c r="Y840" s="68"/>
      <c r="Z840" s="68"/>
      <c r="AA840" s="68"/>
    </row>
    <row r="841" ht="26.25" customHeight="1">
      <c r="A841" s="68"/>
      <c r="B841" s="68"/>
      <c r="C841" s="68"/>
      <c r="D841" s="71"/>
      <c r="E841" s="71"/>
      <c r="F841" s="71"/>
      <c r="G841" s="65" t="str">
        <f t="shared" si="1"/>
        <v/>
      </c>
      <c r="H841" s="74"/>
      <c r="I841" s="67" t="str">
        <f>IFERROR(__xludf.DUMMYFUNCTION("if($H841="""", """", AVERAGE(split($H841, "";"")))"),"")</f>
        <v/>
      </c>
      <c r="J841" s="67" t="str">
        <f>IFERROR(__xludf.DUMMYFUNCTION("if(H841="""", """", SUM(split(H841, "";"")))"),"")</f>
        <v/>
      </c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  <c r="Y841" s="68"/>
      <c r="Z841" s="68"/>
      <c r="AA841" s="68"/>
    </row>
    <row r="842" ht="26.25" customHeight="1">
      <c r="A842" s="68"/>
      <c r="B842" s="68"/>
      <c r="C842" s="68"/>
      <c r="D842" s="71"/>
      <c r="E842" s="71"/>
      <c r="F842" s="71"/>
      <c r="G842" s="65" t="str">
        <f t="shared" si="1"/>
        <v/>
      </c>
      <c r="H842" s="74"/>
      <c r="I842" s="67" t="str">
        <f>IFERROR(__xludf.DUMMYFUNCTION("if($H842="""", """", AVERAGE(split($H842, "";"")))"),"")</f>
        <v/>
      </c>
      <c r="J842" s="67" t="str">
        <f>IFERROR(__xludf.DUMMYFUNCTION("if(H842="""", """", SUM(split(H842, "";"")))"),"")</f>
        <v/>
      </c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  <c r="Y842" s="68"/>
      <c r="Z842" s="68"/>
      <c r="AA842" s="68"/>
    </row>
    <row r="843" ht="26.25" customHeight="1">
      <c r="A843" s="68"/>
      <c r="B843" s="68"/>
      <c r="C843" s="68"/>
      <c r="D843" s="71"/>
      <c r="E843" s="71"/>
      <c r="F843" s="71"/>
      <c r="G843" s="65" t="str">
        <f t="shared" si="1"/>
        <v/>
      </c>
      <c r="H843" s="74"/>
      <c r="I843" s="67" t="str">
        <f>IFERROR(__xludf.DUMMYFUNCTION("if($H843="""", """", AVERAGE(split($H843, "";"")))"),"")</f>
        <v/>
      </c>
      <c r="J843" s="67" t="str">
        <f>IFERROR(__xludf.DUMMYFUNCTION("if(H843="""", """", SUM(split(H843, "";"")))"),"")</f>
        <v/>
      </c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  <c r="Y843" s="68"/>
      <c r="Z843" s="68"/>
      <c r="AA843" s="68"/>
    </row>
    <row r="844" ht="26.25" customHeight="1">
      <c r="A844" s="68"/>
      <c r="B844" s="68"/>
      <c r="C844" s="68"/>
      <c r="D844" s="71"/>
      <c r="E844" s="71"/>
      <c r="F844" s="71"/>
      <c r="G844" s="65" t="str">
        <f t="shared" si="1"/>
        <v/>
      </c>
      <c r="H844" s="74"/>
      <c r="I844" s="67" t="str">
        <f>IFERROR(__xludf.DUMMYFUNCTION("if($H844="""", """", AVERAGE(split($H844, "";"")))"),"")</f>
        <v/>
      </c>
      <c r="J844" s="67" t="str">
        <f>IFERROR(__xludf.DUMMYFUNCTION("if(H844="""", """", SUM(split(H844, "";"")))"),"")</f>
        <v/>
      </c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  <c r="Y844" s="68"/>
      <c r="Z844" s="68"/>
      <c r="AA844" s="68"/>
    </row>
    <row r="845" ht="26.25" customHeight="1">
      <c r="A845" s="68"/>
      <c r="B845" s="68"/>
      <c r="C845" s="68"/>
      <c r="D845" s="71"/>
      <c r="E845" s="71"/>
      <c r="F845" s="71"/>
      <c r="G845" s="65" t="str">
        <f t="shared" si="1"/>
        <v/>
      </c>
      <c r="H845" s="74"/>
      <c r="I845" s="67" t="str">
        <f>IFERROR(__xludf.DUMMYFUNCTION("if($H845="""", """", AVERAGE(split($H845, "";"")))"),"")</f>
        <v/>
      </c>
      <c r="J845" s="67" t="str">
        <f>IFERROR(__xludf.DUMMYFUNCTION("if(H845="""", """", SUM(split(H845, "";"")))"),"")</f>
        <v/>
      </c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  <c r="Y845" s="68"/>
      <c r="Z845" s="68"/>
      <c r="AA845" s="68"/>
    </row>
    <row r="846" ht="26.25" customHeight="1">
      <c r="A846" s="68"/>
      <c r="B846" s="68"/>
      <c r="C846" s="68"/>
      <c r="D846" s="71"/>
      <c r="E846" s="71"/>
      <c r="F846" s="71"/>
      <c r="G846" s="65" t="str">
        <f t="shared" si="1"/>
        <v/>
      </c>
      <c r="H846" s="74"/>
      <c r="I846" s="67" t="str">
        <f>IFERROR(__xludf.DUMMYFUNCTION("if($H846="""", """", AVERAGE(split($H846, "";"")))"),"")</f>
        <v/>
      </c>
      <c r="J846" s="67" t="str">
        <f>IFERROR(__xludf.DUMMYFUNCTION("if(H846="""", """", SUM(split(H846, "";"")))"),"")</f>
        <v/>
      </c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  <c r="Y846" s="68"/>
      <c r="Z846" s="68"/>
      <c r="AA846" s="68"/>
    </row>
    <row r="847" ht="26.25" customHeight="1">
      <c r="A847" s="68"/>
      <c r="B847" s="68"/>
      <c r="C847" s="68"/>
      <c r="D847" s="71"/>
      <c r="E847" s="71"/>
      <c r="F847" s="71"/>
      <c r="G847" s="65" t="str">
        <f t="shared" si="1"/>
        <v/>
      </c>
      <c r="H847" s="74"/>
      <c r="I847" s="67" t="str">
        <f>IFERROR(__xludf.DUMMYFUNCTION("if($H847="""", """", AVERAGE(split($H847, "";"")))"),"")</f>
        <v/>
      </c>
      <c r="J847" s="67" t="str">
        <f>IFERROR(__xludf.DUMMYFUNCTION("if(H847="""", """", SUM(split(H847, "";"")))"),"")</f>
        <v/>
      </c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  <c r="Y847" s="68"/>
      <c r="Z847" s="68"/>
      <c r="AA847" s="68"/>
    </row>
    <row r="848" ht="26.25" customHeight="1">
      <c r="A848" s="68"/>
      <c r="B848" s="68"/>
      <c r="C848" s="68"/>
      <c r="D848" s="71"/>
      <c r="E848" s="71"/>
      <c r="F848" s="71"/>
      <c r="G848" s="65" t="str">
        <f t="shared" si="1"/>
        <v/>
      </c>
      <c r="H848" s="74"/>
      <c r="I848" s="67" t="str">
        <f>IFERROR(__xludf.DUMMYFUNCTION("if($H848="""", """", AVERAGE(split($H848, "";"")))"),"")</f>
        <v/>
      </c>
      <c r="J848" s="67" t="str">
        <f>IFERROR(__xludf.DUMMYFUNCTION("if(H848="""", """", SUM(split(H848, "";"")))"),"")</f>
        <v/>
      </c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  <c r="Y848" s="68"/>
      <c r="Z848" s="68"/>
      <c r="AA848" s="68"/>
    </row>
    <row r="849" ht="26.25" customHeight="1">
      <c r="A849" s="68"/>
      <c r="B849" s="68"/>
      <c r="C849" s="68"/>
      <c r="D849" s="71"/>
      <c r="E849" s="71"/>
      <c r="F849" s="71"/>
      <c r="G849" s="65" t="str">
        <f t="shared" si="1"/>
        <v/>
      </c>
      <c r="H849" s="74"/>
      <c r="I849" s="67" t="str">
        <f>IFERROR(__xludf.DUMMYFUNCTION("if($H849="""", """", AVERAGE(split($H849, "";"")))"),"")</f>
        <v/>
      </c>
      <c r="J849" s="67" t="str">
        <f>IFERROR(__xludf.DUMMYFUNCTION("if(H849="""", """", SUM(split(H849, "";"")))"),"")</f>
        <v/>
      </c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  <c r="Z849" s="68"/>
      <c r="AA849" s="68"/>
    </row>
    <row r="850" ht="26.25" customHeight="1">
      <c r="A850" s="68"/>
      <c r="B850" s="68"/>
      <c r="C850" s="68"/>
      <c r="D850" s="71"/>
      <c r="E850" s="71"/>
      <c r="F850" s="71"/>
      <c r="G850" s="65" t="str">
        <f t="shared" si="1"/>
        <v/>
      </c>
      <c r="H850" s="74"/>
      <c r="I850" s="67" t="str">
        <f>IFERROR(__xludf.DUMMYFUNCTION("if($H850="""", """", AVERAGE(split($H850, "";"")))"),"")</f>
        <v/>
      </c>
      <c r="J850" s="67" t="str">
        <f>IFERROR(__xludf.DUMMYFUNCTION("if(H850="""", """", SUM(split(H850, "";"")))"),"")</f>
        <v/>
      </c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  <c r="Y850" s="68"/>
      <c r="Z850" s="68"/>
      <c r="AA850" s="68"/>
    </row>
    <row r="851" ht="26.25" customHeight="1">
      <c r="A851" s="68"/>
      <c r="B851" s="68"/>
      <c r="C851" s="68"/>
      <c r="D851" s="71"/>
      <c r="E851" s="71"/>
      <c r="F851" s="71"/>
      <c r="G851" s="65" t="str">
        <f t="shared" si="1"/>
        <v/>
      </c>
      <c r="H851" s="74"/>
      <c r="I851" s="67" t="str">
        <f>IFERROR(__xludf.DUMMYFUNCTION("if($H851="""", """", AVERAGE(split($H851, "";"")))"),"")</f>
        <v/>
      </c>
      <c r="J851" s="67" t="str">
        <f>IFERROR(__xludf.DUMMYFUNCTION("if(H851="""", """", SUM(split(H851, "";"")))"),"")</f>
        <v/>
      </c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  <c r="Y851" s="68"/>
      <c r="Z851" s="68"/>
      <c r="AA851" s="68"/>
    </row>
    <row r="852" ht="26.25" customHeight="1">
      <c r="A852" s="68"/>
      <c r="B852" s="68"/>
      <c r="C852" s="68"/>
      <c r="D852" s="71"/>
      <c r="E852" s="71"/>
      <c r="F852" s="71"/>
      <c r="G852" s="65" t="str">
        <f t="shared" si="1"/>
        <v/>
      </c>
      <c r="H852" s="74"/>
      <c r="I852" s="67" t="str">
        <f>IFERROR(__xludf.DUMMYFUNCTION("if($H852="""", """", AVERAGE(split($H852, "";"")))"),"")</f>
        <v/>
      </c>
      <c r="J852" s="67" t="str">
        <f>IFERROR(__xludf.DUMMYFUNCTION("if(H852="""", """", SUM(split(H852, "";"")))"),"")</f>
        <v/>
      </c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  <c r="Y852" s="68"/>
      <c r="Z852" s="68"/>
      <c r="AA852" s="68"/>
    </row>
    <row r="853" ht="26.25" customHeight="1">
      <c r="A853" s="68"/>
      <c r="B853" s="68"/>
      <c r="C853" s="68"/>
      <c r="D853" s="71"/>
      <c r="E853" s="71"/>
      <c r="F853" s="71"/>
      <c r="G853" s="65" t="str">
        <f t="shared" si="1"/>
        <v/>
      </c>
      <c r="H853" s="74"/>
      <c r="I853" s="67" t="str">
        <f>IFERROR(__xludf.DUMMYFUNCTION("if($H853="""", """", AVERAGE(split($H853, "";"")))"),"")</f>
        <v/>
      </c>
      <c r="J853" s="67" t="str">
        <f>IFERROR(__xludf.DUMMYFUNCTION("if(H853="""", """", SUM(split(H853, "";"")))"),"")</f>
        <v/>
      </c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  <c r="Y853" s="68"/>
      <c r="Z853" s="68"/>
      <c r="AA853" s="68"/>
    </row>
    <row r="854" ht="26.25" customHeight="1">
      <c r="A854" s="68"/>
      <c r="B854" s="68"/>
      <c r="C854" s="68"/>
      <c r="D854" s="71"/>
      <c r="E854" s="71"/>
      <c r="F854" s="71"/>
      <c r="G854" s="65" t="str">
        <f t="shared" si="1"/>
        <v/>
      </c>
      <c r="H854" s="74"/>
      <c r="I854" s="67" t="str">
        <f>IFERROR(__xludf.DUMMYFUNCTION("if($H854="""", """", AVERAGE(split($H854, "";"")))"),"")</f>
        <v/>
      </c>
      <c r="J854" s="67" t="str">
        <f>IFERROR(__xludf.DUMMYFUNCTION("if(H854="""", """", SUM(split(H854, "";"")))"),"")</f>
        <v/>
      </c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  <c r="Y854" s="68"/>
      <c r="Z854" s="68"/>
      <c r="AA854" s="68"/>
    </row>
    <row r="855" ht="26.25" customHeight="1">
      <c r="A855" s="68"/>
      <c r="B855" s="68"/>
      <c r="C855" s="68"/>
      <c r="D855" s="71"/>
      <c r="E855" s="71"/>
      <c r="F855" s="71"/>
      <c r="G855" s="65" t="str">
        <f t="shared" si="1"/>
        <v/>
      </c>
      <c r="H855" s="74"/>
      <c r="I855" s="67" t="str">
        <f>IFERROR(__xludf.DUMMYFUNCTION("if($H855="""", """", AVERAGE(split($H855, "";"")))"),"")</f>
        <v/>
      </c>
      <c r="J855" s="67" t="str">
        <f>IFERROR(__xludf.DUMMYFUNCTION("if(H855="""", """", SUM(split(H855, "";"")))"),"")</f>
        <v/>
      </c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  <c r="Y855" s="68"/>
      <c r="Z855" s="68"/>
      <c r="AA855" s="68"/>
    </row>
    <row r="856" ht="26.25" customHeight="1">
      <c r="A856" s="68"/>
      <c r="B856" s="68"/>
      <c r="C856" s="68"/>
      <c r="D856" s="71"/>
      <c r="E856" s="71"/>
      <c r="F856" s="71"/>
      <c r="G856" s="65" t="str">
        <f t="shared" si="1"/>
        <v/>
      </c>
      <c r="H856" s="74"/>
      <c r="I856" s="67" t="str">
        <f>IFERROR(__xludf.DUMMYFUNCTION("if($H856="""", """", AVERAGE(split($H856, "";"")))"),"")</f>
        <v/>
      </c>
      <c r="J856" s="67" t="str">
        <f>IFERROR(__xludf.DUMMYFUNCTION("if(H856="""", """", SUM(split(H856, "";"")))"),"")</f>
        <v/>
      </c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  <c r="Y856" s="68"/>
      <c r="Z856" s="68"/>
      <c r="AA856" s="68"/>
    </row>
    <row r="857" ht="26.25" customHeight="1">
      <c r="A857" s="68"/>
      <c r="B857" s="68"/>
      <c r="C857" s="68"/>
      <c r="D857" s="71"/>
      <c r="E857" s="71"/>
      <c r="F857" s="71"/>
      <c r="G857" s="65" t="str">
        <f t="shared" si="1"/>
        <v/>
      </c>
      <c r="H857" s="74"/>
      <c r="I857" s="67" t="str">
        <f>IFERROR(__xludf.DUMMYFUNCTION("if($H857="""", """", AVERAGE(split($H857, "";"")))"),"")</f>
        <v/>
      </c>
      <c r="J857" s="67" t="str">
        <f>IFERROR(__xludf.DUMMYFUNCTION("if(H857="""", """", SUM(split(H857, "";"")))"),"")</f>
        <v/>
      </c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  <c r="Y857" s="68"/>
      <c r="Z857" s="68"/>
      <c r="AA857" s="68"/>
    </row>
    <row r="858" ht="26.25" customHeight="1">
      <c r="A858" s="68"/>
      <c r="B858" s="68"/>
      <c r="C858" s="68"/>
      <c r="D858" s="71"/>
      <c r="E858" s="71"/>
      <c r="F858" s="71"/>
      <c r="G858" s="65" t="str">
        <f t="shared" si="1"/>
        <v/>
      </c>
      <c r="H858" s="74"/>
      <c r="I858" s="67" t="str">
        <f>IFERROR(__xludf.DUMMYFUNCTION("if($H858="""", """", AVERAGE(split($H858, "";"")))"),"")</f>
        <v/>
      </c>
      <c r="J858" s="67" t="str">
        <f>IFERROR(__xludf.DUMMYFUNCTION("if(H858="""", """", SUM(split(H858, "";"")))"),"")</f>
        <v/>
      </c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  <c r="Y858" s="68"/>
      <c r="Z858" s="68"/>
      <c r="AA858" s="68"/>
    </row>
    <row r="859" ht="26.25" customHeight="1">
      <c r="A859" s="68"/>
      <c r="B859" s="68"/>
      <c r="C859" s="68"/>
      <c r="D859" s="71"/>
      <c r="E859" s="71"/>
      <c r="F859" s="71"/>
      <c r="G859" s="65" t="str">
        <f t="shared" si="1"/>
        <v/>
      </c>
      <c r="H859" s="74"/>
      <c r="I859" s="67" t="str">
        <f>IFERROR(__xludf.DUMMYFUNCTION("if($H859="""", """", AVERAGE(split($H859, "";"")))"),"")</f>
        <v/>
      </c>
      <c r="J859" s="67" t="str">
        <f>IFERROR(__xludf.DUMMYFUNCTION("if(H859="""", """", SUM(split(H859, "";"")))"),"")</f>
        <v/>
      </c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  <c r="Y859" s="68"/>
      <c r="Z859" s="68"/>
      <c r="AA859" s="68"/>
    </row>
    <row r="860" ht="26.25" customHeight="1">
      <c r="A860" s="68"/>
      <c r="B860" s="68"/>
      <c r="C860" s="68"/>
      <c r="D860" s="71"/>
      <c r="E860" s="71"/>
      <c r="F860" s="71"/>
      <c r="G860" s="65" t="str">
        <f t="shared" si="1"/>
        <v/>
      </c>
      <c r="H860" s="74"/>
      <c r="I860" s="67" t="str">
        <f>IFERROR(__xludf.DUMMYFUNCTION("if($H860="""", """", AVERAGE(split($H860, "";"")))"),"")</f>
        <v/>
      </c>
      <c r="J860" s="67" t="str">
        <f>IFERROR(__xludf.DUMMYFUNCTION("if(H860="""", """", SUM(split(H860, "";"")))"),"")</f>
        <v/>
      </c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  <c r="Y860" s="68"/>
      <c r="Z860" s="68"/>
      <c r="AA860" s="68"/>
    </row>
    <row r="861" ht="26.25" customHeight="1">
      <c r="A861" s="68"/>
      <c r="B861" s="68"/>
      <c r="C861" s="68"/>
      <c r="D861" s="71"/>
      <c r="E861" s="71"/>
      <c r="F861" s="71"/>
      <c r="G861" s="65" t="str">
        <f t="shared" si="1"/>
        <v/>
      </c>
      <c r="H861" s="74"/>
      <c r="I861" s="67" t="str">
        <f>IFERROR(__xludf.DUMMYFUNCTION("if($H861="""", """", AVERAGE(split($H861, "";"")))"),"")</f>
        <v/>
      </c>
      <c r="J861" s="67" t="str">
        <f>IFERROR(__xludf.DUMMYFUNCTION("if(H861="""", """", SUM(split(H861, "";"")))"),"")</f>
        <v/>
      </c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  <c r="Y861" s="68"/>
      <c r="Z861" s="68"/>
      <c r="AA861" s="68"/>
    </row>
    <row r="862" ht="26.25" customHeight="1">
      <c r="A862" s="68"/>
      <c r="B862" s="68"/>
      <c r="C862" s="68"/>
      <c r="D862" s="71"/>
      <c r="E862" s="71"/>
      <c r="F862" s="71"/>
      <c r="G862" s="65" t="str">
        <f t="shared" si="1"/>
        <v/>
      </c>
      <c r="H862" s="74"/>
      <c r="I862" s="67" t="str">
        <f>IFERROR(__xludf.DUMMYFUNCTION("if($H862="""", """", AVERAGE(split($H862, "";"")))"),"")</f>
        <v/>
      </c>
      <c r="J862" s="67" t="str">
        <f>IFERROR(__xludf.DUMMYFUNCTION("if(H862="""", """", SUM(split(H862, "";"")))"),"")</f>
        <v/>
      </c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  <c r="Y862" s="68"/>
      <c r="Z862" s="68"/>
      <c r="AA862" s="68"/>
    </row>
    <row r="863" ht="26.25" customHeight="1">
      <c r="A863" s="68"/>
      <c r="B863" s="68"/>
      <c r="C863" s="68"/>
      <c r="D863" s="71"/>
      <c r="E863" s="71"/>
      <c r="F863" s="71"/>
      <c r="G863" s="65" t="str">
        <f t="shared" si="1"/>
        <v/>
      </c>
      <c r="H863" s="74"/>
      <c r="I863" s="67" t="str">
        <f>IFERROR(__xludf.DUMMYFUNCTION("if($H863="""", """", AVERAGE(split($H863, "";"")))"),"")</f>
        <v/>
      </c>
      <c r="J863" s="67" t="str">
        <f>IFERROR(__xludf.DUMMYFUNCTION("if(H863="""", """", SUM(split(H863, "";"")))"),"")</f>
        <v/>
      </c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  <c r="Y863" s="68"/>
      <c r="Z863" s="68"/>
      <c r="AA863" s="68"/>
    </row>
    <row r="864" ht="26.25" customHeight="1">
      <c r="A864" s="68"/>
      <c r="B864" s="68"/>
      <c r="C864" s="68"/>
      <c r="D864" s="71"/>
      <c r="E864" s="71"/>
      <c r="F864" s="71"/>
      <c r="G864" s="65" t="str">
        <f t="shared" si="1"/>
        <v/>
      </c>
      <c r="H864" s="74"/>
      <c r="I864" s="67" t="str">
        <f>IFERROR(__xludf.DUMMYFUNCTION("if($H864="""", """", AVERAGE(split($H864, "";"")))"),"")</f>
        <v/>
      </c>
      <c r="J864" s="67" t="str">
        <f>IFERROR(__xludf.DUMMYFUNCTION("if(H864="""", """", SUM(split(H864, "";"")))"),"")</f>
        <v/>
      </c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  <c r="Y864" s="68"/>
      <c r="Z864" s="68"/>
      <c r="AA864" s="68"/>
    </row>
    <row r="865" ht="26.25" customHeight="1">
      <c r="A865" s="68"/>
      <c r="B865" s="68"/>
      <c r="C865" s="68"/>
      <c r="D865" s="71"/>
      <c r="E865" s="71"/>
      <c r="F865" s="71"/>
      <c r="G865" s="65" t="str">
        <f t="shared" si="1"/>
        <v/>
      </c>
      <c r="H865" s="74"/>
      <c r="I865" s="67" t="str">
        <f>IFERROR(__xludf.DUMMYFUNCTION("if($H865="""", """", AVERAGE(split($H865, "";"")))"),"")</f>
        <v/>
      </c>
      <c r="J865" s="67" t="str">
        <f>IFERROR(__xludf.DUMMYFUNCTION("if(H865="""", """", SUM(split(H865, "";"")))"),"")</f>
        <v/>
      </c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  <c r="Y865" s="68"/>
      <c r="Z865" s="68"/>
      <c r="AA865" s="68"/>
    </row>
    <row r="866" ht="26.25" customHeight="1">
      <c r="A866" s="68"/>
      <c r="B866" s="68"/>
      <c r="C866" s="68"/>
      <c r="D866" s="71"/>
      <c r="E866" s="71"/>
      <c r="F866" s="71"/>
      <c r="G866" s="65" t="str">
        <f t="shared" si="1"/>
        <v/>
      </c>
      <c r="H866" s="74"/>
      <c r="I866" s="67" t="str">
        <f>IFERROR(__xludf.DUMMYFUNCTION("if($H866="""", """", AVERAGE(split($H866, "";"")))"),"")</f>
        <v/>
      </c>
      <c r="J866" s="67" t="str">
        <f>IFERROR(__xludf.DUMMYFUNCTION("if(H866="""", """", SUM(split(H866, "";"")))"),"")</f>
        <v/>
      </c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  <c r="Y866" s="68"/>
      <c r="Z866" s="68"/>
      <c r="AA866" s="68"/>
    </row>
    <row r="867" ht="26.25" customHeight="1">
      <c r="A867" s="68"/>
      <c r="B867" s="68"/>
      <c r="C867" s="68"/>
      <c r="D867" s="71"/>
      <c r="E867" s="71"/>
      <c r="F867" s="71"/>
      <c r="G867" s="65" t="str">
        <f t="shared" si="1"/>
        <v/>
      </c>
      <c r="H867" s="74"/>
      <c r="I867" s="67" t="str">
        <f>IFERROR(__xludf.DUMMYFUNCTION("if($H867="""", """", AVERAGE(split($H867, "";"")))"),"")</f>
        <v/>
      </c>
      <c r="J867" s="67" t="str">
        <f>IFERROR(__xludf.DUMMYFUNCTION("if(H867="""", """", SUM(split(H867, "";"")))"),"")</f>
        <v/>
      </c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  <c r="Y867" s="68"/>
      <c r="Z867" s="68"/>
      <c r="AA867" s="68"/>
    </row>
    <row r="868" ht="26.25" customHeight="1">
      <c r="A868" s="68"/>
      <c r="B868" s="68"/>
      <c r="C868" s="68"/>
      <c r="D868" s="71"/>
      <c r="E868" s="71"/>
      <c r="F868" s="71"/>
      <c r="G868" s="65" t="str">
        <f t="shared" si="1"/>
        <v/>
      </c>
      <c r="H868" s="74"/>
      <c r="I868" s="67" t="str">
        <f>IFERROR(__xludf.DUMMYFUNCTION("if($H868="""", """", AVERAGE(split($H868, "";"")))"),"")</f>
        <v/>
      </c>
      <c r="J868" s="67" t="str">
        <f>IFERROR(__xludf.DUMMYFUNCTION("if(H868="""", """", SUM(split(H868, "";"")))"),"")</f>
        <v/>
      </c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  <c r="Y868" s="68"/>
      <c r="Z868" s="68"/>
      <c r="AA868" s="68"/>
    </row>
    <row r="869" ht="26.25" customHeight="1">
      <c r="A869" s="68"/>
      <c r="B869" s="68"/>
      <c r="C869" s="68"/>
      <c r="D869" s="71"/>
      <c r="E869" s="71"/>
      <c r="F869" s="71"/>
      <c r="G869" s="65" t="str">
        <f t="shared" si="1"/>
        <v/>
      </c>
      <c r="H869" s="74"/>
      <c r="I869" s="67" t="str">
        <f>IFERROR(__xludf.DUMMYFUNCTION("if($H869="""", """", AVERAGE(split($H869, "";"")))"),"")</f>
        <v/>
      </c>
      <c r="J869" s="67" t="str">
        <f>IFERROR(__xludf.DUMMYFUNCTION("if(H869="""", """", SUM(split(H869, "";"")))"),"")</f>
        <v/>
      </c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  <c r="Y869" s="68"/>
      <c r="Z869" s="68"/>
      <c r="AA869" s="68"/>
    </row>
    <row r="870" ht="26.25" customHeight="1">
      <c r="A870" s="68"/>
      <c r="B870" s="68"/>
      <c r="C870" s="68"/>
      <c r="D870" s="71"/>
      <c r="E870" s="71"/>
      <c r="F870" s="71"/>
      <c r="G870" s="65" t="str">
        <f t="shared" si="1"/>
        <v/>
      </c>
      <c r="H870" s="74"/>
      <c r="I870" s="67" t="str">
        <f>IFERROR(__xludf.DUMMYFUNCTION("if($H870="""", """", AVERAGE(split($H870, "";"")))"),"")</f>
        <v/>
      </c>
      <c r="J870" s="67" t="str">
        <f>IFERROR(__xludf.DUMMYFUNCTION("if(H870="""", """", SUM(split(H870, "";"")))"),"")</f>
        <v/>
      </c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  <c r="Y870" s="68"/>
      <c r="Z870" s="68"/>
      <c r="AA870" s="68"/>
    </row>
    <row r="871" ht="26.25" customHeight="1">
      <c r="A871" s="68"/>
      <c r="B871" s="68"/>
      <c r="C871" s="68"/>
      <c r="D871" s="71"/>
      <c r="E871" s="71"/>
      <c r="F871" s="71"/>
      <c r="G871" s="65" t="str">
        <f t="shared" si="1"/>
        <v/>
      </c>
      <c r="H871" s="74"/>
      <c r="I871" s="67" t="str">
        <f>IFERROR(__xludf.DUMMYFUNCTION("if($H871="""", """", AVERAGE(split($H871, "";"")))"),"")</f>
        <v/>
      </c>
      <c r="J871" s="67" t="str">
        <f>IFERROR(__xludf.DUMMYFUNCTION("if(H871="""", """", SUM(split(H871, "";"")))"),"")</f>
        <v/>
      </c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  <c r="Y871" s="68"/>
      <c r="Z871" s="68"/>
      <c r="AA871" s="68"/>
    </row>
    <row r="872" ht="26.25" customHeight="1">
      <c r="A872" s="68"/>
      <c r="B872" s="68"/>
      <c r="C872" s="68"/>
      <c r="D872" s="71"/>
      <c r="E872" s="71"/>
      <c r="F872" s="71"/>
      <c r="G872" s="65" t="str">
        <f t="shared" si="1"/>
        <v/>
      </c>
      <c r="H872" s="74"/>
      <c r="I872" s="67" t="str">
        <f>IFERROR(__xludf.DUMMYFUNCTION("if($H872="""", """", AVERAGE(split($H872, "";"")))"),"")</f>
        <v/>
      </c>
      <c r="J872" s="67" t="str">
        <f>IFERROR(__xludf.DUMMYFUNCTION("if(H872="""", """", SUM(split(H872, "";"")))"),"")</f>
        <v/>
      </c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  <c r="Y872" s="68"/>
      <c r="Z872" s="68"/>
      <c r="AA872" s="68"/>
    </row>
    <row r="873" ht="26.25" customHeight="1">
      <c r="A873" s="68"/>
      <c r="B873" s="68"/>
      <c r="C873" s="68"/>
      <c r="D873" s="71"/>
      <c r="E873" s="71"/>
      <c r="F873" s="71"/>
      <c r="G873" s="65" t="str">
        <f t="shared" si="1"/>
        <v/>
      </c>
      <c r="H873" s="74"/>
      <c r="I873" s="67" t="str">
        <f>IFERROR(__xludf.DUMMYFUNCTION("if($H873="""", """", AVERAGE(split($H873, "";"")))"),"")</f>
        <v/>
      </c>
      <c r="J873" s="67" t="str">
        <f>IFERROR(__xludf.DUMMYFUNCTION("if(H873="""", """", SUM(split(H873, "";"")))"),"")</f>
        <v/>
      </c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  <c r="Y873" s="68"/>
      <c r="Z873" s="68"/>
      <c r="AA873" s="68"/>
    </row>
    <row r="874" ht="26.25" customHeight="1">
      <c r="A874" s="68"/>
      <c r="B874" s="68"/>
      <c r="C874" s="68"/>
      <c r="D874" s="71"/>
      <c r="E874" s="71"/>
      <c r="F874" s="71"/>
      <c r="G874" s="65" t="str">
        <f t="shared" si="1"/>
        <v/>
      </c>
      <c r="H874" s="74"/>
      <c r="I874" s="67" t="str">
        <f>IFERROR(__xludf.DUMMYFUNCTION("if($H874="""", """", AVERAGE(split($H874, "";"")))"),"")</f>
        <v/>
      </c>
      <c r="J874" s="67" t="str">
        <f>IFERROR(__xludf.DUMMYFUNCTION("if(H874="""", """", SUM(split(H874, "";"")))"),"")</f>
        <v/>
      </c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  <c r="Y874" s="68"/>
      <c r="Z874" s="68"/>
      <c r="AA874" s="68"/>
    </row>
    <row r="875" ht="26.25" customHeight="1">
      <c r="A875" s="68"/>
      <c r="B875" s="68"/>
      <c r="C875" s="68"/>
      <c r="D875" s="71"/>
      <c r="E875" s="71"/>
      <c r="F875" s="71"/>
      <c r="G875" s="65" t="str">
        <f t="shared" si="1"/>
        <v/>
      </c>
      <c r="H875" s="74"/>
      <c r="I875" s="67" t="str">
        <f>IFERROR(__xludf.DUMMYFUNCTION("if($H875="""", """", AVERAGE(split($H875, "";"")))"),"")</f>
        <v/>
      </c>
      <c r="J875" s="67" t="str">
        <f>IFERROR(__xludf.DUMMYFUNCTION("if(H875="""", """", SUM(split(H875, "";"")))"),"")</f>
        <v/>
      </c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  <c r="Y875" s="68"/>
      <c r="Z875" s="68"/>
      <c r="AA875" s="68"/>
    </row>
    <row r="876" ht="26.25" customHeight="1">
      <c r="A876" s="68"/>
      <c r="B876" s="68"/>
      <c r="C876" s="68"/>
      <c r="D876" s="71"/>
      <c r="E876" s="71"/>
      <c r="F876" s="71"/>
      <c r="G876" s="65" t="str">
        <f t="shared" si="1"/>
        <v/>
      </c>
      <c r="H876" s="74"/>
      <c r="I876" s="67" t="str">
        <f>IFERROR(__xludf.DUMMYFUNCTION("if($H876="""", """", AVERAGE(split($H876, "";"")))"),"")</f>
        <v/>
      </c>
      <c r="J876" s="67" t="str">
        <f>IFERROR(__xludf.DUMMYFUNCTION("if(H876="""", """", SUM(split(H876, "";"")))"),"")</f>
        <v/>
      </c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  <c r="Y876" s="68"/>
      <c r="Z876" s="68"/>
      <c r="AA876" s="68"/>
    </row>
    <row r="877" ht="26.25" customHeight="1">
      <c r="A877" s="68"/>
      <c r="B877" s="68"/>
      <c r="C877" s="68"/>
      <c r="D877" s="71"/>
      <c r="E877" s="71"/>
      <c r="F877" s="71"/>
      <c r="G877" s="65" t="str">
        <f t="shared" si="1"/>
        <v/>
      </c>
      <c r="H877" s="74"/>
      <c r="I877" s="67" t="str">
        <f>IFERROR(__xludf.DUMMYFUNCTION("if($H877="""", """", AVERAGE(split($H877, "";"")))"),"")</f>
        <v/>
      </c>
      <c r="J877" s="67" t="str">
        <f>IFERROR(__xludf.DUMMYFUNCTION("if(H877="""", """", SUM(split(H877, "";"")))"),"")</f>
        <v/>
      </c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  <c r="AA877" s="68"/>
    </row>
    <row r="878" ht="26.25" customHeight="1">
      <c r="A878" s="68"/>
      <c r="B878" s="68"/>
      <c r="C878" s="68"/>
      <c r="D878" s="71"/>
      <c r="E878" s="71"/>
      <c r="F878" s="71"/>
      <c r="G878" s="65" t="str">
        <f t="shared" si="1"/>
        <v/>
      </c>
      <c r="H878" s="74"/>
      <c r="I878" s="67" t="str">
        <f>IFERROR(__xludf.DUMMYFUNCTION("if($H878="""", """", AVERAGE(split($H878, "";"")))"),"")</f>
        <v/>
      </c>
      <c r="J878" s="67" t="str">
        <f>IFERROR(__xludf.DUMMYFUNCTION("if(H878="""", """", SUM(split(H878, "";"")))"),"")</f>
        <v/>
      </c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  <c r="Y878" s="68"/>
      <c r="Z878" s="68"/>
      <c r="AA878" s="68"/>
    </row>
    <row r="879" ht="26.25" customHeight="1">
      <c r="A879" s="68"/>
      <c r="B879" s="68"/>
      <c r="C879" s="68"/>
      <c r="D879" s="71"/>
      <c r="E879" s="71"/>
      <c r="F879" s="71"/>
      <c r="G879" s="65" t="str">
        <f t="shared" si="1"/>
        <v/>
      </c>
      <c r="H879" s="74"/>
      <c r="I879" s="67" t="str">
        <f>IFERROR(__xludf.DUMMYFUNCTION("if($H879="""", """", AVERAGE(split($H879, "";"")))"),"")</f>
        <v/>
      </c>
      <c r="J879" s="67" t="str">
        <f>IFERROR(__xludf.DUMMYFUNCTION("if(H879="""", """", SUM(split(H879, "";"")))"),"")</f>
        <v/>
      </c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  <c r="Y879" s="68"/>
      <c r="Z879" s="68"/>
      <c r="AA879" s="68"/>
    </row>
    <row r="880" ht="26.25" customHeight="1">
      <c r="A880" s="68"/>
      <c r="B880" s="68"/>
      <c r="C880" s="68"/>
      <c r="D880" s="71"/>
      <c r="E880" s="71"/>
      <c r="F880" s="71"/>
      <c r="G880" s="65" t="str">
        <f t="shared" si="1"/>
        <v/>
      </c>
      <c r="H880" s="74"/>
      <c r="I880" s="67" t="str">
        <f>IFERROR(__xludf.DUMMYFUNCTION("if($H880="""", """", AVERAGE(split($H880, "";"")))"),"")</f>
        <v/>
      </c>
      <c r="J880" s="67" t="str">
        <f>IFERROR(__xludf.DUMMYFUNCTION("if(H880="""", """", SUM(split(H880, "";"")))"),"")</f>
        <v/>
      </c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  <c r="Y880" s="68"/>
      <c r="Z880" s="68"/>
      <c r="AA880" s="68"/>
    </row>
    <row r="881" ht="26.25" customHeight="1">
      <c r="A881" s="68"/>
      <c r="B881" s="68"/>
      <c r="C881" s="68"/>
      <c r="D881" s="71"/>
      <c r="E881" s="71"/>
      <c r="F881" s="71"/>
      <c r="G881" s="65" t="str">
        <f t="shared" si="1"/>
        <v/>
      </c>
      <c r="H881" s="74"/>
      <c r="I881" s="67" t="str">
        <f>IFERROR(__xludf.DUMMYFUNCTION("if($H881="""", """", AVERAGE(split($H881, "";"")))"),"")</f>
        <v/>
      </c>
      <c r="J881" s="67" t="str">
        <f>IFERROR(__xludf.DUMMYFUNCTION("if(H881="""", """", SUM(split(H881, "";"")))"),"")</f>
        <v/>
      </c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  <c r="Y881" s="68"/>
      <c r="Z881" s="68"/>
      <c r="AA881" s="68"/>
    </row>
    <row r="882" ht="26.25" customHeight="1">
      <c r="A882" s="68"/>
      <c r="B882" s="68"/>
      <c r="C882" s="68"/>
      <c r="D882" s="71"/>
      <c r="E882" s="71"/>
      <c r="F882" s="71"/>
      <c r="G882" s="65" t="str">
        <f t="shared" si="1"/>
        <v/>
      </c>
      <c r="H882" s="74"/>
      <c r="I882" s="67" t="str">
        <f>IFERROR(__xludf.DUMMYFUNCTION("if($H882="""", """", AVERAGE(split($H882, "";"")))"),"")</f>
        <v/>
      </c>
      <c r="J882" s="67" t="str">
        <f>IFERROR(__xludf.DUMMYFUNCTION("if(H882="""", """", SUM(split(H882, "";"")))"),"")</f>
        <v/>
      </c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  <c r="Y882" s="68"/>
      <c r="Z882" s="68"/>
      <c r="AA882" s="68"/>
    </row>
    <row r="883" ht="26.25" customHeight="1">
      <c r="A883" s="68"/>
      <c r="B883" s="68"/>
      <c r="C883" s="68"/>
      <c r="D883" s="71"/>
      <c r="E883" s="71"/>
      <c r="F883" s="71"/>
      <c r="G883" s="65" t="str">
        <f t="shared" si="1"/>
        <v/>
      </c>
      <c r="H883" s="74"/>
      <c r="I883" s="67" t="str">
        <f>IFERROR(__xludf.DUMMYFUNCTION("if($H883="""", """", AVERAGE(split($H883, "";"")))"),"")</f>
        <v/>
      </c>
      <c r="J883" s="67" t="str">
        <f>IFERROR(__xludf.DUMMYFUNCTION("if(H883="""", """", SUM(split(H883, "";"")))"),"")</f>
        <v/>
      </c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  <c r="X883" s="68"/>
      <c r="Y883" s="68"/>
      <c r="Z883" s="68"/>
      <c r="AA883" s="68"/>
    </row>
    <row r="884" ht="26.25" customHeight="1">
      <c r="A884" s="68"/>
      <c r="B884" s="68"/>
      <c r="C884" s="68"/>
      <c r="D884" s="71"/>
      <c r="E884" s="71"/>
      <c r="F884" s="71"/>
      <c r="G884" s="65" t="str">
        <f t="shared" si="1"/>
        <v/>
      </c>
      <c r="H884" s="74"/>
      <c r="I884" s="67" t="str">
        <f>IFERROR(__xludf.DUMMYFUNCTION("if($H884="""", """", AVERAGE(split($H884, "";"")))"),"")</f>
        <v/>
      </c>
      <c r="J884" s="67" t="str">
        <f>IFERROR(__xludf.DUMMYFUNCTION("if(H884="""", """", SUM(split(H884, "";"")))"),"")</f>
        <v/>
      </c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  <c r="X884" s="68"/>
      <c r="Y884" s="68"/>
      <c r="Z884" s="68"/>
      <c r="AA884" s="68"/>
    </row>
    <row r="885" ht="26.25" customHeight="1">
      <c r="A885" s="68"/>
      <c r="B885" s="68"/>
      <c r="C885" s="68"/>
      <c r="D885" s="71"/>
      <c r="E885" s="71"/>
      <c r="F885" s="71"/>
      <c r="G885" s="65" t="str">
        <f t="shared" si="1"/>
        <v/>
      </c>
      <c r="H885" s="74"/>
      <c r="I885" s="67" t="str">
        <f>IFERROR(__xludf.DUMMYFUNCTION("if($H885="""", """", AVERAGE(split($H885, "";"")))"),"")</f>
        <v/>
      </c>
      <c r="J885" s="67" t="str">
        <f>IFERROR(__xludf.DUMMYFUNCTION("if(H885="""", """", SUM(split(H885, "";"")))"),"")</f>
        <v/>
      </c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  <c r="X885" s="68"/>
      <c r="Y885" s="68"/>
      <c r="Z885" s="68"/>
      <c r="AA885" s="68"/>
    </row>
    <row r="886" ht="26.25" customHeight="1">
      <c r="A886" s="68"/>
      <c r="B886" s="68"/>
      <c r="C886" s="68"/>
      <c r="D886" s="71"/>
      <c r="E886" s="71"/>
      <c r="F886" s="71"/>
      <c r="G886" s="65" t="str">
        <f t="shared" si="1"/>
        <v/>
      </c>
      <c r="H886" s="74"/>
      <c r="I886" s="67" t="str">
        <f>IFERROR(__xludf.DUMMYFUNCTION("if($H886="""", """", AVERAGE(split($H886, "";"")))"),"")</f>
        <v/>
      </c>
      <c r="J886" s="67" t="str">
        <f>IFERROR(__xludf.DUMMYFUNCTION("if(H886="""", """", SUM(split(H886, "";"")))"),"")</f>
        <v/>
      </c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  <c r="X886" s="68"/>
      <c r="Y886" s="68"/>
      <c r="Z886" s="68"/>
      <c r="AA886" s="68"/>
    </row>
    <row r="887" ht="26.25" customHeight="1">
      <c r="A887" s="68"/>
      <c r="B887" s="68"/>
      <c r="C887" s="68"/>
      <c r="D887" s="71"/>
      <c r="E887" s="71"/>
      <c r="F887" s="71"/>
      <c r="G887" s="65" t="str">
        <f t="shared" si="1"/>
        <v/>
      </c>
      <c r="H887" s="74"/>
      <c r="I887" s="67" t="str">
        <f>IFERROR(__xludf.DUMMYFUNCTION("if($H887="""", """", AVERAGE(split($H887, "";"")))"),"")</f>
        <v/>
      </c>
      <c r="J887" s="67" t="str">
        <f>IFERROR(__xludf.DUMMYFUNCTION("if(H887="""", """", SUM(split(H887, "";"")))"),"")</f>
        <v/>
      </c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  <c r="Z887" s="68"/>
      <c r="AA887" s="68"/>
    </row>
    <row r="888" ht="26.25" customHeight="1">
      <c r="A888" s="68"/>
      <c r="B888" s="68"/>
      <c r="C888" s="68"/>
      <c r="D888" s="71"/>
      <c r="E888" s="71"/>
      <c r="F888" s="71"/>
      <c r="G888" s="65" t="str">
        <f t="shared" si="1"/>
        <v/>
      </c>
      <c r="H888" s="74"/>
      <c r="I888" s="67" t="str">
        <f>IFERROR(__xludf.DUMMYFUNCTION("if($H888="""", """", AVERAGE(split($H888, "";"")))"),"")</f>
        <v/>
      </c>
      <c r="J888" s="67" t="str">
        <f>IFERROR(__xludf.DUMMYFUNCTION("if(H888="""", """", SUM(split(H888, "";"")))"),"")</f>
        <v/>
      </c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  <c r="X888" s="68"/>
      <c r="Y888" s="68"/>
      <c r="Z888" s="68"/>
      <c r="AA888" s="68"/>
    </row>
    <row r="889" ht="26.25" customHeight="1">
      <c r="A889" s="68"/>
      <c r="B889" s="68"/>
      <c r="C889" s="68"/>
      <c r="D889" s="71"/>
      <c r="E889" s="71"/>
      <c r="F889" s="71"/>
      <c r="G889" s="65" t="str">
        <f t="shared" si="1"/>
        <v/>
      </c>
      <c r="H889" s="74"/>
      <c r="I889" s="67" t="str">
        <f>IFERROR(__xludf.DUMMYFUNCTION("if($H889="""", """", AVERAGE(split($H889, "";"")))"),"")</f>
        <v/>
      </c>
      <c r="J889" s="67" t="str">
        <f>IFERROR(__xludf.DUMMYFUNCTION("if(H889="""", """", SUM(split(H889, "";"")))"),"")</f>
        <v/>
      </c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  <c r="X889" s="68"/>
      <c r="Y889" s="68"/>
      <c r="Z889" s="68"/>
      <c r="AA889" s="68"/>
    </row>
    <row r="890" ht="26.25" customHeight="1">
      <c r="A890" s="68"/>
      <c r="B890" s="68"/>
      <c r="C890" s="68"/>
      <c r="D890" s="71"/>
      <c r="E890" s="71"/>
      <c r="F890" s="71"/>
      <c r="G890" s="65" t="str">
        <f t="shared" si="1"/>
        <v/>
      </c>
      <c r="H890" s="74"/>
      <c r="I890" s="67" t="str">
        <f>IFERROR(__xludf.DUMMYFUNCTION("if($H890="""", """", AVERAGE(split($H890, "";"")))"),"")</f>
        <v/>
      </c>
      <c r="J890" s="67" t="str">
        <f>IFERROR(__xludf.DUMMYFUNCTION("if(H890="""", """", SUM(split(H890, "";"")))"),"")</f>
        <v/>
      </c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  <c r="X890" s="68"/>
      <c r="Y890" s="68"/>
      <c r="Z890" s="68"/>
      <c r="AA890" s="68"/>
    </row>
    <row r="891" ht="26.25" customHeight="1">
      <c r="A891" s="68"/>
      <c r="B891" s="68"/>
      <c r="C891" s="68"/>
      <c r="D891" s="71"/>
      <c r="E891" s="71"/>
      <c r="F891" s="71"/>
      <c r="G891" s="65" t="str">
        <f t="shared" si="1"/>
        <v/>
      </c>
      <c r="H891" s="74"/>
      <c r="I891" s="67" t="str">
        <f>IFERROR(__xludf.DUMMYFUNCTION("if($H891="""", """", AVERAGE(split($H891, "";"")))"),"")</f>
        <v/>
      </c>
      <c r="J891" s="67" t="str">
        <f>IFERROR(__xludf.DUMMYFUNCTION("if(H891="""", """", SUM(split(H891, "";"")))"),"")</f>
        <v/>
      </c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  <c r="X891" s="68"/>
      <c r="Y891" s="68"/>
      <c r="Z891" s="68"/>
      <c r="AA891" s="68"/>
    </row>
    <row r="892" ht="26.25" customHeight="1">
      <c r="A892" s="68"/>
      <c r="B892" s="68"/>
      <c r="C892" s="68"/>
      <c r="D892" s="71"/>
      <c r="E892" s="71"/>
      <c r="F892" s="71"/>
      <c r="G892" s="65" t="str">
        <f t="shared" si="1"/>
        <v/>
      </c>
      <c r="H892" s="74"/>
      <c r="I892" s="67" t="str">
        <f>IFERROR(__xludf.DUMMYFUNCTION("if($H892="""", """", AVERAGE(split($H892, "";"")))"),"")</f>
        <v/>
      </c>
      <c r="J892" s="67" t="str">
        <f>IFERROR(__xludf.DUMMYFUNCTION("if(H892="""", """", SUM(split(H892, "";"")))"),"")</f>
        <v/>
      </c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  <c r="X892" s="68"/>
      <c r="Y892" s="68"/>
      <c r="Z892" s="68"/>
      <c r="AA892" s="68"/>
    </row>
    <row r="893" ht="26.25" customHeight="1">
      <c r="A893" s="68"/>
      <c r="B893" s="68"/>
      <c r="C893" s="68"/>
      <c r="D893" s="71"/>
      <c r="E893" s="71"/>
      <c r="F893" s="71"/>
      <c r="G893" s="65" t="str">
        <f t="shared" si="1"/>
        <v/>
      </c>
      <c r="H893" s="74"/>
      <c r="I893" s="67" t="str">
        <f>IFERROR(__xludf.DUMMYFUNCTION("if($H893="""", """", AVERAGE(split($H893, "";"")))"),"")</f>
        <v/>
      </c>
      <c r="J893" s="67" t="str">
        <f>IFERROR(__xludf.DUMMYFUNCTION("if(H893="""", """", SUM(split(H893, "";"")))"),"")</f>
        <v/>
      </c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  <c r="X893" s="68"/>
      <c r="Y893" s="68"/>
      <c r="Z893" s="68"/>
      <c r="AA893" s="68"/>
    </row>
    <row r="894" ht="26.25" customHeight="1">
      <c r="A894" s="68"/>
      <c r="B894" s="68"/>
      <c r="C894" s="68"/>
      <c r="D894" s="71"/>
      <c r="E894" s="71"/>
      <c r="F894" s="71"/>
      <c r="G894" s="65" t="str">
        <f t="shared" si="1"/>
        <v/>
      </c>
      <c r="H894" s="74"/>
      <c r="I894" s="67" t="str">
        <f>IFERROR(__xludf.DUMMYFUNCTION("if($H894="""", """", AVERAGE(split($H894, "";"")))"),"")</f>
        <v/>
      </c>
      <c r="J894" s="67" t="str">
        <f>IFERROR(__xludf.DUMMYFUNCTION("if(H894="""", """", SUM(split(H894, "";"")))"),"")</f>
        <v/>
      </c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  <c r="X894" s="68"/>
      <c r="Y894" s="68"/>
      <c r="Z894" s="68"/>
      <c r="AA894" s="68"/>
    </row>
    <row r="895" ht="26.25" customHeight="1">
      <c r="A895" s="68"/>
      <c r="B895" s="68"/>
      <c r="C895" s="68"/>
      <c r="D895" s="71"/>
      <c r="E895" s="71"/>
      <c r="F895" s="71"/>
      <c r="G895" s="65" t="str">
        <f t="shared" si="1"/>
        <v/>
      </c>
      <c r="H895" s="74"/>
      <c r="I895" s="67" t="str">
        <f>IFERROR(__xludf.DUMMYFUNCTION("if($H895="""", """", AVERAGE(split($H895, "";"")))"),"")</f>
        <v/>
      </c>
      <c r="J895" s="67" t="str">
        <f>IFERROR(__xludf.DUMMYFUNCTION("if(H895="""", """", SUM(split(H895, "";"")))"),"")</f>
        <v/>
      </c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  <c r="X895" s="68"/>
      <c r="Y895" s="68"/>
      <c r="Z895" s="68"/>
      <c r="AA895" s="68"/>
    </row>
    <row r="896" ht="26.25" customHeight="1">
      <c r="A896" s="68"/>
      <c r="B896" s="68"/>
      <c r="C896" s="68"/>
      <c r="D896" s="71"/>
      <c r="E896" s="71"/>
      <c r="F896" s="71"/>
      <c r="G896" s="65" t="str">
        <f t="shared" si="1"/>
        <v/>
      </c>
      <c r="H896" s="74"/>
      <c r="I896" s="67" t="str">
        <f>IFERROR(__xludf.DUMMYFUNCTION("if($H896="""", """", AVERAGE(split($H896, "";"")))"),"")</f>
        <v/>
      </c>
      <c r="J896" s="67" t="str">
        <f>IFERROR(__xludf.DUMMYFUNCTION("if(H896="""", """", SUM(split(H896, "";"")))"),"")</f>
        <v/>
      </c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  <c r="X896" s="68"/>
      <c r="Y896" s="68"/>
      <c r="Z896" s="68"/>
      <c r="AA896" s="68"/>
    </row>
    <row r="897" ht="26.25" customHeight="1">
      <c r="A897" s="68"/>
      <c r="B897" s="68"/>
      <c r="C897" s="68"/>
      <c r="D897" s="71"/>
      <c r="E897" s="71"/>
      <c r="F897" s="71"/>
      <c r="G897" s="65" t="str">
        <f t="shared" si="1"/>
        <v/>
      </c>
      <c r="H897" s="74"/>
      <c r="I897" s="67" t="str">
        <f>IFERROR(__xludf.DUMMYFUNCTION("if($H897="""", """", AVERAGE(split($H897, "";"")))"),"")</f>
        <v/>
      </c>
      <c r="J897" s="67" t="str">
        <f>IFERROR(__xludf.DUMMYFUNCTION("if(H897="""", """", SUM(split(H897, "";"")))"),"")</f>
        <v/>
      </c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  <c r="Y897" s="68"/>
      <c r="Z897" s="68"/>
      <c r="AA897" s="68"/>
    </row>
    <row r="898" ht="26.25" customHeight="1">
      <c r="A898" s="68"/>
      <c r="B898" s="68"/>
      <c r="C898" s="68"/>
      <c r="D898" s="71"/>
      <c r="E898" s="71"/>
      <c r="F898" s="71"/>
      <c r="G898" s="65" t="str">
        <f t="shared" si="1"/>
        <v/>
      </c>
      <c r="H898" s="74"/>
      <c r="I898" s="67" t="str">
        <f>IFERROR(__xludf.DUMMYFUNCTION("if($H898="""", """", AVERAGE(split($H898, "";"")))"),"")</f>
        <v/>
      </c>
      <c r="J898" s="67" t="str">
        <f>IFERROR(__xludf.DUMMYFUNCTION("if(H898="""", """", SUM(split(H898, "";"")))"),"")</f>
        <v/>
      </c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  <c r="X898" s="68"/>
      <c r="Y898" s="68"/>
      <c r="Z898" s="68"/>
      <c r="AA898" s="68"/>
    </row>
    <row r="899" ht="26.25" customHeight="1">
      <c r="A899" s="68"/>
      <c r="B899" s="68"/>
      <c r="C899" s="68"/>
      <c r="D899" s="71"/>
      <c r="E899" s="71"/>
      <c r="F899" s="71"/>
      <c r="G899" s="65" t="str">
        <f t="shared" si="1"/>
        <v/>
      </c>
      <c r="H899" s="74"/>
      <c r="I899" s="67" t="str">
        <f>IFERROR(__xludf.DUMMYFUNCTION("if($H899="""", """", AVERAGE(split($H899, "";"")))"),"")</f>
        <v/>
      </c>
      <c r="J899" s="67" t="str">
        <f>IFERROR(__xludf.DUMMYFUNCTION("if(H899="""", """", SUM(split(H899, "";"")))"),"")</f>
        <v/>
      </c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  <c r="X899" s="68"/>
      <c r="Y899" s="68"/>
      <c r="Z899" s="68"/>
      <c r="AA899" s="68"/>
    </row>
    <row r="900" ht="26.25" customHeight="1">
      <c r="A900" s="68"/>
      <c r="B900" s="68"/>
      <c r="C900" s="68"/>
      <c r="D900" s="71"/>
      <c r="E900" s="71"/>
      <c r="F900" s="71"/>
      <c r="G900" s="65" t="str">
        <f t="shared" si="1"/>
        <v/>
      </c>
      <c r="H900" s="74"/>
      <c r="I900" s="67" t="str">
        <f>IFERROR(__xludf.DUMMYFUNCTION("if($H900="""", """", AVERAGE(split($H900, "";"")))"),"")</f>
        <v/>
      </c>
      <c r="J900" s="67" t="str">
        <f>IFERROR(__xludf.DUMMYFUNCTION("if(H900="""", """", SUM(split(H900, "";"")))"),"")</f>
        <v/>
      </c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  <c r="X900" s="68"/>
      <c r="Y900" s="68"/>
      <c r="Z900" s="68"/>
      <c r="AA900" s="68"/>
    </row>
    <row r="901" ht="26.25" customHeight="1">
      <c r="A901" s="68"/>
      <c r="B901" s="68"/>
      <c r="C901" s="68"/>
      <c r="D901" s="71"/>
      <c r="E901" s="71"/>
      <c r="F901" s="71"/>
      <c r="G901" s="65" t="str">
        <f t="shared" si="1"/>
        <v/>
      </c>
      <c r="H901" s="74"/>
      <c r="I901" s="67" t="str">
        <f>IFERROR(__xludf.DUMMYFUNCTION("if($H901="""", """", AVERAGE(split($H901, "";"")))"),"")</f>
        <v/>
      </c>
      <c r="J901" s="67" t="str">
        <f>IFERROR(__xludf.DUMMYFUNCTION("if(H901="""", """", SUM(split(H901, "";"")))"),"")</f>
        <v/>
      </c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  <c r="X901" s="68"/>
      <c r="Y901" s="68"/>
      <c r="Z901" s="68"/>
      <c r="AA901" s="68"/>
    </row>
    <row r="902" ht="26.25" customHeight="1">
      <c r="A902" s="68"/>
      <c r="B902" s="68"/>
      <c r="C902" s="68"/>
      <c r="D902" s="71"/>
      <c r="E902" s="71"/>
      <c r="F902" s="71"/>
      <c r="G902" s="65" t="str">
        <f t="shared" si="1"/>
        <v/>
      </c>
      <c r="H902" s="74"/>
      <c r="I902" s="67" t="str">
        <f>IFERROR(__xludf.DUMMYFUNCTION("if($H902="""", """", AVERAGE(split($H902, "";"")))"),"")</f>
        <v/>
      </c>
      <c r="J902" s="67" t="str">
        <f>IFERROR(__xludf.DUMMYFUNCTION("if(H902="""", """", SUM(split(H902, "";"")))"),"")</f>
        <v/>
      </c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  <c r="X902" s="68"/>
      <c r="Y902" s="68"/>
      <c r="Z902" s="68"/>
      <c r="AA902" s="68"/>
    </row>
    <row r="903" ht="26.25" customHeight="1">
      <c r="A903" s="68"/>
      <c r="B903" s="68"/>
      <c r="C903" s="68"/>
      <c r="D903" s="71"/>
      <c r="E903" s="71"/>
      <c r="F903" s="71"/>
      <c r="G903" s="65" t="str">
        <f t="shared" si="1"/>
        <v/>
      </c>
      <c r="H903" s="74"/>
      <c r="I903" s="67" t="str">
        <f>IFERROR(__xludf.DUMMYFUNCTION("if($H903="""", """", AVERAGE(split($H903, "";"")))"),"")</f>
        <v/>
      </c>
      <c r="J903" s="67" t="str">
        <f>IFERROR(__xludf.DUMMYFUNCTION("if(H903="""", """", SUM(split(H903, "";"")))"),"")</f>
        <v/>
      </c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  <c r="X903" s="68"/>
      <c r="Y903" s="68"/>
      <c r="Z903" s="68"/>
      <c r="AA903" s="68"/>
    </row>
    <row r="904" ht="26.25" customHeight="1">
      <c r="A904" s="68"/>
      <c r="B904" s="68"/>
      <c r="C904" s="68"/>
      <c r="D904" s="71"/>
      <c r="E904" s="71"/>
      <c r="F904" s="71"/>
      <c r="G904" s="65" t="str">
        <f t="shared" si="1"/>
        <v/>
      </c>
      <c r="H904" s="74"/>
      <c r="I904" s="67" t="str">
        <f>IFERROR(__xludf.DUMMYFUNCTION("if($H904="""", """", AVERAGE(split($H904, "";"")))"),"")</f>
        <v/>
      </c>
      <c r="J904" s="67" t="str">
        <f>IFERROR(__xludf.DUMMYFUNCTION("if(H904="""", """", SUM(split(H904, "";"")))"),"")</f>
        <v/>
      </c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  <c r="Y904" s="68"/>
      <c r="Z904" s="68"/>
      <c r="AA904" s="68"/>
    </row>
    <row r="905" ht="26.25" customHeight="1">
      <c r="A905" s="68"/>
      <c r="B905" s="68"/>
      <c r="C905" s="68"/>
      <c r="D905" s="71"/>
      <c r="E905" s="71"/>
      <c r="F905" s="71"/>
      <c r="G905" s="65" t="str">
        <f t="shared" si="1"/>
        <v/>
      </c>
      <c r="H905" s="74"/>
      <c r="I905" s="67" t="str">
        <f>IFERROR(__xludf.DUMMYFUNCTION("if($H905="""", """", AVERAGE(split($H905, "";"")))"),"")</f>
        <v/>
      </c>
      <c r="J905" s="67" t="str">
        <f>IFERROR(__xludf.DUMMYFUNCTION("if(H905="""", """", SUM(split(H905, "";"")))"),"")</f>
        <v/>
      </c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  <c r="X905" s="68"/>
      <c r="Y905" s="68"/>
      <c r="Z905" s="68"/>
      <c r="AA905" s="68"/>
    </row>
    <row r="906" ht="26.25" customHeight="1">
      <c r="A906" s="68"/>
      <c r="B906" s="68"/>
      <c r="C906" s="68"/>
      <c r="D906" s="71"/>
      <c r="E906" s="71"/>
      <c r="F906" s="71"/>
      <c r="G906" s="65" t="str">
        <f t="shared" si="1"/>
        <v/>
      </c>
      <c r="H906" s="74"/>
      <c r="I906" s="67" t="str">
        <f>IFERROR(__xludf.DUMMYFUNCTION("if($H906="""", """", AVERAGE(split($H906, "";"")))"),"")</f>
        <v/>
      </c>
      <c r="J906" s="67" t="str">
        <f>IFERROR(__xludf.DUMMYFUNCTION("if(H906="""", """", SUM(split(H906, "";"")))"),"")</f>
        <v/>
      </c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  <c r="X906" s="68"/>
      <c r="Y906" s="68"/>
      <c r="Z906" s="68"/>
      <c r="AA906" s="68"/>
    </row>
    <row r="907" ht="26.25" customHeight="1">
      <c r="A907" s="68"/>
      <c r="B907" s="68"/>
      <c r="C907" s="68"/>
      <c r="D907" s="71"/>
      <c r="E907" s="71"/>
      <c r="F907" s="71"/>
      <c r="G907" s="65" t="str">
        <f t="shared" si="1"/>
        <v/>
      </c>
      <c r="H907" s="74"/>
      <c r="I907" s="67" t="str">
        <f>IFERROR(__xludf.DUMMYFUNCTION("if($H907="""", """", AVERAGE(split($H907, "";"")))"),"")</f>
        <v/>
      </c>
      <c r="J907" s="67" t="str">
        <f>IFERROR(__xludf.DUMMYFUNCTION("if(H907="""", """", SUM(split(H907, "";"")))"),"")</f>
        <v/>
      </c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  <c r="X907" s="68"/>
      <c r="Y907" s="68"/>
      <c r="Z907" s="68"/>
      <c r="AA907" s="68"/>
    </row>
    <row r="908" ht="26.25" customHeight="1">
      <c r="A908" s="68"/>
      <c r="B908" s="68"/>
      <c r="C908" s="68"/>
      <c r="D908" s="71"/>
      <c r="E908" s="71"/>
      <c r="F908" s="71"/>
      <c r="G908" s="65" t="str">
        <f t="shared" si="1"/>
        <v/>
      </c>
      <c r="H908" s="74"/>
      <c r="I908" s="67" t="str">
        <f>IFERROR(__xludf.DUMMYFUNCTION("if($H908="""", """", AVERAGE(split($H908, "";"")))"),"")</f>
        <v/>
      </c>
      <c r="J908" s="67" t="str">
        <f>IFERROR(__xludf.DUMMYFUNCTION("if(H908="""", """", SUM(split(H908, "";"")))"),"")</f>
        <v/>
      </c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  <c r="X908" s="68"/>
      <c r="Y908" s="68"/>
      <c r="Z908" s="68"/>
      <c r="AA908" s="68"/>
    </row>
    <row r="909" ht="26.25" customHeight="1">
      <c r="A909" s="68"/>
      <c r="B909" s="68"/>
      <c r="C909" s="68"/>
      <c r="D909" s="71"/>
      <c r="E909" s="71"/>
      <c r="F909" s="71"/>
      <c r="G909" s="65" t="str">
        <f t="shared" si="1"/>
        <v/>
      </c>
      <c r="H909" s="74"/>
      <c r="I909" s="67" t="str">
        <f>IFERROR(__xludf.DUMMYFUNCTION("if($H909="""", """", AVERAGE(split($H909, "";"")))"),"")</f>
        <v/>
      </c>
      <c r="J909" s="67" t="str">
        <f>IFERROR(__xludf.DUMMYFUNCTION("if(H909="""", """", SUM(split(H909, "";"")))"),"")</f>
        <v/>
      </c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  <c r="X909" s="68"/>
      <c r="Y909" s="68"/>
      <c r="Z909" s="68"/>
      <c r="AA909" s="68"/>
    </row>
    <row r="910" ht="26.25" customHeight="1">
      <c r="A910" s="68"/>
      <c r="B910" s="68"/>
      <c r="C910" s="68"/>
      <c r="D910" s="71"/>
      <c r="E910" s="71"/>
      <c r="F910" s="71"/>
      <c r="G910" s="65" t="str">
        <f t="shared" si="1"/>
        <v/>
      </c>
      <c r="H910" s="74"/>
      <c r="I910" s="67" t="str">
        <f>IFERROR(__xludf.DUMMYFUNCTION("if($H910="""", """", AVERAGE(split($H910, "";"")))"),"")</f>
        <v/>
      </c>
      <c r="J910" s="67" t="str">
        <f>IFERROR(__xludf.DUMMYFUNCTION("if(H910="""", """", SUM(split(H910, "";"")))"),"")</f>
        <v/>
      </c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  <c r="X910" s="68"/>
      <c r="Y910" s="68"/>
      <c r="Z910" s="68"/>
      <c r="AA910" s="68"/>
    </row>
    <row r="911" ht="26.25" customHeight="1">
      <c r="A911" s="68"/>
      <c r="B911" s="68"/>
      <c r="C911" s="68"/>
      <c r="D911" s="71"/>
      <c r="E911" s="71"/>
      <c r="F911" s="71"/>
      <c r="G911" s="65" t="str">
        <f t="shared" si="1"/>
        <v/>
      </c>
      <c r="H911" s="74"/>
      <c r="I911" s="67" t="str">
        <f>IFERROR(__xludf.DUMMYFUNCTION("if($H911="""", """", AVERAGE(split($H911, "";"")))"),"")</f>
        <v/>
      </c>
      <c r="J911" s="67" t="str">
        <f>IFERROR(__xludf.DUMMYFUNCTION("if(H911="""", """", SUM(split(H911, "";"")))"),"")</f>
        <v/>
      </c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  <c r="X911" s="68"/>
      <c r="Y911" s="68"/>
      <c r="Z911" s="68"/>
      <c r="AA911" s="68"/>
    </row>
    <row r="912" ht="26.25" customHeight="1">
      <c r="A912" s="68"/>
      <c r="B912" s="68"/>
      <c r="C912" s="68"/>
      <c r="D912" s="71"/>
      <c r="E912" s="71"/>
      <c r="F912" s="71"/>
      <c r="G912" s="65" t="str">
        <f t="shared" si="1"/>
        <v/>
      </c>
      <c r="H912" s="74"/>
      <c r="I912" s="67" t="str">
        <f>IFERROR(__xludf.DUMMYFUNCTION("if($H912="""", """", AVERAGE(split($H912, "";"")))"),"")</f>
        <v/>
      </c>
      <c r="J912" s="67" t="str">
        <f>IFERROR(__xludf.DUMMYFUNCTION("if(H912="""", """", SUM(split(H912, "";"")))"),"")</f>
        <v/>
      </c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  <c r="X912" s="68"/>
      <c r="Y912" s="68"/>
      <c r="Z912" s="68"/>
      <c r="AA912" s="68"/>
    </row>
    <row r="913" ht="26.25" customHeight="1">
      <c r="A913" s="68"/>
      <c r="B913" s="68"/>
      <c r="C913" s="68"/>
      <c r="D913" s="71"/>
      <c r="E913" s="71"/>
      <c r="F913" s="71"/>
      <c r="G913" s="65" t="str">
        <f t="shared" si="1"/>
        <v/>
      </c>
      <c r="H913" s="74"/>
      <c r="I913" s="67" t="str">
        <f>IFERROR(__xludf.DUMMYFUNCTION("if($H913="""", """", AVERAGE(split($H913, "";"")))"),"")</f>
        <v/>
      </c>
      <c r="J913" s="67" t="str">
        <f>IFERROR(__xludf.DUMMYFUNCTION("if(H913="""", """", SUM(split(H913, "";"")))"),"")</f>
        <v/>
      </c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  <c r="X913" s="68"/>
      <c r="Y913" s="68"/>
      <c r="Z913" s="68"/>
      <c r="AA913" s="68"/>
    </row>
    <row r="914" ht="26.25" customHeight="1">
      <c r="A914" s="68"/>
      <c r="B914" s="68"/>
      <c r="C914" s="68"/>
      <c r="D914" s="71"/>
      <c r="E914" s="71"/>
      <c r="F914" s="71"/>
      <c r="G914" s="65" t="str">
        <f t="shared" si="1"/>
        <v/>
      </c>
      <c r="H914" s="74"/>
      <c r="I914" s="67" t="str">
        <f>IFERROR(__xludf.DUMMYFUNCTION("if($H914="""", """", AVERAGE(split($H914, "";"")))"),"")</f>
        <v/>
      </c>
      <c r="J914" s="67" t="str">
        <f>IFERROR(__xludf.DUMMYFUNCTION("if(H914="""", """", SUM(split(H914, "";"")))"),"")</f>
        <v/>
      </c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  <c r="X914" s="68"/>
      <c r="Y914" s="68"/>
      <c r="Z914" s="68"/>
      <c r="AA914" s="68"/>
    </row>
    <row r="915" ht="26.25" customHeight="1">
      <c r="A915" s="68"/>
      <c r="B915" s="68"/>
      <c r="C915" s="68"/>
      <c r="D915" s="71"/>
      <c r="E915" s="71"/>
      <c r="F915" s="71"/>
      <c r="G915" s="65" t="str">
        <f t="shared" si="1"/>
        <v/>
      </c>
      <c r="H915" s="74"/>
      <c r="I915" s="67" t="str">
        <f>IFERROR(__xludf.DUMMYFUNCTION("if($H915="""", """", AVERAGE(split($H915, "";"")))"),"")</f>
        <v/>
      </c>
      <c r="J915" s="67" t="str">
        <f>IFERROR(__xludf.DUMMYFUNCTION("if(H915="""", """", SUM(split(H915, "";"")))"),"")</f>
        <v/>
      </c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  <c r="AA915" s="68"/>
    </row>
    <row r="916" ht="26.25" customHeight="1">
      <c r="A916" s="68"/>
      <c r="B916" s="68"/>
      <c r="C916" s="68"/>
      <c r="D916" s="71"/>
      <c r="E916" s="71"/>
      <c r="F916" s="71"/>
      <c r="G916" s="65" t="str">
        <f t="shared" si="1"/>
        <v/>
      </c>
      <c r="H916" s="74"/>
      <c r="I916" s="67" t="str">
        <f>IFERROR(__xludf.DUMMYFUNCTION("if($H916="""", """", AVERAGE(split($H916, "";"")))"),"")</f>
        <v/>
      </c>
      <c r="J916" s="67" t="str">
        <f>IFERROR(__xludf.DUMMYFUNCTION("if(H916="""", """", SUM(split(H916, "";"")))"),"")</f>
        <v/>
      </c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  <c r="X916" s="68"/>
      <c r="Y916" s="68"/>
      <c r="Z916" s="68"/>
      <c r="AA916" s="68"/>
    </row>
    <row r="917" ht="26.25" customHeight="1">
      <c r="A917" s="68"/>
      <c r="B917" s="68"/>
      <c r="C917" s="68"/>
      <c r="D917" s="71"/>
      <c r="E917" s="71"/>
      <c r="F917" s="71"/>
      <c r="G917" s="65" t="str">
        <f t="shared" si="1"/>
        <v/>
      </c>
      <c r="H917" s="74"/>
      <c r="I917" s="67" t="str">
        <f>IFERROR(__xludf.DUMMYFUNCTION("if($H917="""", """", AVERAGE(split($H917, "";"")))"),"")</f>
        <v/>
      </c>
      <c r="J917" s="67" t="str">
        <f>IFERROR(__xludf.DUMMYFUNCTION("if(H917="""", """", SUM(split(H917, "";"")))"),"")</f>
        <v/>
      </c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  <c r="X917" s="68"/>
      <c r="Y917" s="68"/>
      <c r="Z917" s="68"/>
      <c r="AA917" s="68"/>
    </row>
    <row r="918" ht="26.25" customHeight="1">
      <c r="A918" s="68"/>
      <c r="B918" s="68"/>
      <c r="C918" s="68"/>
      <c r="D918" s="71"/>
      <c r="E918" s="71"/>
      <c r="F918" s="71"/>
      <c r="G918" s="65" t="str">
        <f t="shared" si="1"/>
        <v/>
      </c>
      <c r="H918" s="74"/>
      <c r="I918" s="67" t="str">
        <f>IFERROR(__xludf.DUMMYFUNCTION("if($H918="""", """", AVERAGE(split($H918, "";"")))"),"")</f>
        <v/>
      </c>
      <c r="J918" s="67" t="str">
        <f>IFERROR(__xludf.DUMMYFUNCTION("if(H918="""", """", SUM(split(H918, "";"")))"),"")</f>
        <v/>
      </c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  <c r="X918" s="68"/>
      <c r="Y918" s="68"/>
      <c r="Z918" s="68"/>
      <c r="AA918" s="68"/>
    </row>
    <row r="919" ht="26.25" customHeight="1">
      <c r="A919" s="68"/>
      <c r="B919" s="68"/>
      <c r="C919" s="68"/>
      <c r="D919" s="71"/>
      <c r="E919" s="71"/>
      <c r="F919" s="71"/>
      <c r="G919" s="65" t="str">
        <f t="shared" si="1"/>
        <v/>
      </c>
      <c r="H919" s="74"/>
      <c r="I919" s="67" t="str">
        <f>IFERROR(__xludf.DUMMYFUNCTION("if($H919="""", """", AVERAGE(split($H919, "";"")))"),"")</f>
        <v/>
      </c>
      <c r="J919" s="67" t="str">
        <f>IFERROR(__xludf.DUMMYFUNCTION("if(H919="""", """", SUM(split(H919, "";"")))"),"")</f>
        <v/>
      </c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  <c r="X919" s="68"/>
      <c r="Y919" s="68"/>
      <c r="Z919" s="68"/>
      <c r="AA919" s="68"/>
    </row>
    <row r="920" ht="26.25" customHeight="1">
      <c r="A920" s="68"/>
      <c r="B920" s="68"/>
      <c r="C920" s="68"/>
      <c r="D920" s="71"/>
      <c r="E920" s="71"/>
      <c r="F920" s="71"/>
      <c r="G920" s="65" t="str">
        <f t="shared" si="1"/>
        <v/>
      </c>
      <c r="H920" s="74"/>
      <c r="I920" s="67" t="str">
        <f>IFERROR(__xludf.DUMMYFUNCTION("if($H920="""", """", AVERAGE(split($H920, "";"")))"),"")</f>
        <v/>
      </c>
      <c r="J920" s="67" t="str">
        <f>IFERROR(__xludf.DUMMYFUNCTION("if(H920="""", """", SUM(split(H920, "";"")))"),"")</f>
        <v/>
      </c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  <c r="X920" s="68"/>
      <c r="Y920" s="68"/>
      <c r="Z920" s="68"/>
      <c r="AA920" s="68"/>
    </row>
    <row r="921" ht="26.25" customHeight="1">
      <c r="A921" s="68"/>
      <c r="B921" s="68"/>
      <c r="C921" s="68"/>
      <c r="D921" s="71"/>
      <c r="E921" s="71"/>
      <c r="F921" s="71"/>
      <c r="G921" s="65" t="str">
        <f t="shared" si="1"/>
        <v/>
      </c>
      <c r="H921" s="74"/>
      <c r="I921" s="67" t="str">
        <f>IFERROR(__xludf.DUMMYFUNCTION("if($H921="""", """", AVERAGE(split($H921, "";"")))"),"")</f>
        <v/>
      </c>
      <c r="J921" s="67" t="str">
        <f>IFERROR(__xludf.DUMMYFUNCTION("if(H921="""", """", SUM(split(H921, "";"")))"),"")</f>
        <v/>
      </c>
      <c r="K921" s="68"/>
      <c r="L921" s="68"/>
      <c r="M921" s="68"/>
      <c r="N921" s="68"/>
      <c r="O921" s="68"/>
      <c r="P921" s="68"/>
      <c r="Q921" s="68"/>
      <c r="R921" s="68"/>
      <c r="S921" s="68"/>
      <c r="T921" s="68"/>
      <c r="U921" s="68"/>
      <c r="V921" s="68"/>
      <c r="W921" s="68"/>
      <c r="X921" s="68"/>
      <c r="Y921" s="68"/>
      <c r="Z921" s="68"/>
      <c r="AA921" s="68"/>
    </row>
    <row r="922" ht="26.25" customHeight="1">
      <c r="A922" s="68"/>
      <c r="B922" s="68"/>
      <c r="C922" s="68"/>
      <c r="D922" s="71"/>
      <c r="E922" s="71"/>
      <c r="F922" s="71"/>
      <c r="G922" s="65" t="str">
        <f t="shared" si="1"/>
        <v/>
      </c>
      <c r="H922" s="74"/>
      <c r="I922" s="67" t="str">
        <f>IFERROR(__xludf.DUMMYFUNCTION("if($H922="""", """", AVERAGE(split($H922, "";"")))"),"")</f>
        <v/>
      </c>
      <c r="J922" s="67" t="str">
        <f>IFERROR(__xludf.DUMMYFUNCTION("if(H922="""", """", SUM(split(H922, "";"")))"),"")</f>
        <v/>
      </c>
      <c r="K922" s="68"/>
      <c r="L922" s="68"/>
      <c r="M922" s="68"/>
      <c r="N922" s="68"/>
      <c r="O922" s="68"/>
      <c r="P922" s="68"/>
      <c r="Q922" s="68"/>
      <c r="R922" s="68"/>
      <c r="S922" s="68"/>
      <c r="T922" s="68"/>
      <c r="U922" s="68"/>
      <c r="V922" s="68"/>
      <c r="W922" s="68"/>
      <c r="X922" s="68"/>
      <c r="Y922" s="68"/>
      <c r="Z922" s="68"/>
      <c r="AA922" s="68"/>
    </row>
    <row r="923" ht="26.25" customHeight="1">
      <c r="A923" s="68"/>
      <c r="B923" s="68"/>
      <c r="C923" s="68"/>
      <c r="D923" s="71"/>
      <c r="E923" s="71"/>
      <c r="F923" s="71"/>
      <c r="G923" s="65" t="str">
        <f t="shared" si="1"/>
        <v/>
      </c>
      <c r="H923" s="74"/>
      <c r="I923" s="67" t="str">
        <f>IFERROR(__xludf.DUMMYFUNCTION("if($H923="""", """", AVERAGE(split($H923, "";"")))"),"")</f>
        <v/>
      </c>
      <c r="J923" s="67" t="str">
        <f>IFERROR(__xludf.DUMMYFUNCTION("if(H923="""", """", SUM(split(H923, "";"")))"),"")</f>
        <v/>
      </c>
      <c r="K923" s="68"/>
      <c r="L923" s="68"/>
      <c r="M923" s="68"/>
      <c r="N923" s="68"/>
      <c r="O923" s="68"/>
      <c r="P923" s="68"/>
      <c r="Q923" s="68"/>
      <c r="R923" s="68"/>
      <c r="S923" s="68"/>
      <c r="T923" s="68"/>
      <c r="U923" s="68"/>
      <c r="V923" s="68"/>
      <c r="W923" s="68"/>
      <c r="X923" s="68"/>
      <c r="Y923" s="68"/>
      <c r="Z923" s="68"/>
      <c r="AA923" s="68"/>
    </row>
    <row r="924" ht="26.25" customHeight="1">
      <c r="A924" s="68"/>
      <c r="B924" s="68"/>
      <c r="C924" s="68"/>
      <c r="D924" s="71"/>
      <c r="E924" s="71"/>
      <c r="F924" s="71"/>
      <c r="G924" s="65" t="str">
        <f t="shared" si="1"/>
        <v/>
      </c>
      <c r="H924" s="74"/>
      <c r="I924" s="67" t="str">
        <f>IFERROR(__xludf.DUMMYFUNCTION("if($H924="""", """", AVERAGE(split($H924, "";"")))"),"")</f>
        <v/>
      </c>
      <c r="J924" s="67" t="str">
        <f>IFERROR(__xludf.DUMMYFUNCTION("if(H924="""", """", SUM(split(H924, "";"")))"),"")</f>
        <v/>
      </c>
      <c r="K924" s="68"/>
      <c r="L924" s="68"/>
      <c r="M924" s="68"/>
      <c r="N924" s="68"/>
      <c r="O924" s="68"/>
      <c r="P924" s="68"/>
      <c r="Q924" s="68"/>
      <c r="R924" s="68"/>
      <c r="S924" s="68"/>
      <c r="T924" s="68"/>
      <c r="U924" s="68"/>
      <c r="V924" s="68"/>
      <c r="W924" s="68"/>
      <c r="X924" s="68"/>
      <c r="Y924" s="68"/>
      <c r="Z924" s="68"/>
      <c r="AA924" s="68"/>
    </row>
    <row r="925" ht="26.25" customHeight="1">
      <c r="A925" s="68"/>
      <c r="B925" s="68"/>
      <c r="C925" s="68"/>
      <c r="D925" s="71"/>
      <c r="E925" s="71"/>
      <c r="F925" s="71"/>
      <c r="G925" s="65" t="str">
        <f t="shared" si="1"/>
        <v/>
      </c>
      <c r="H925" s="74"/>
      <c r="I925" s="67" t="str">
        <f>IFERROR(__xludf.DUMMYFUNCTION("if($H925="""", """", AVERAGE(split($H925, "";"")))"),"")</f>
        <v/>
      </c>
      <c r="J925" s="67" t="str">
        <f>IFERROR(__xludf.DUMMYFUNCTION("if(H925="""", """", SUM(split(H925, "";"")))"),"")</f>
        <v/>
      </c>
      <c r="K925" s="68"/>
      <c r="L925" s="68"/>
      <c r="M925" s="68"/>
      <c r="N925" s="68"/>
      <c r="O925" s="68"/>
      <c r="P925" s="68"/>
      <c r="Q925" s="68"/>
      <c r="R925" s="68"/>
      <c r="S925" s="68"/>
      <c r="T925" s="68"/>
      <c r="U925" s="68"/>
      <c r="V925" s="68"/>
      <c r="W925" s="68"/>
      <c r="X925" s="68"/>
      <c r="Y925" s="68"/>
      <c r="Z925" s="68"/>
      <c r="AA925" s="68"/>
    </row>
    <row r="926" ht="26.25" customHeight="1">
      <c r="A926" s="68"/>
      <c r="B926" s="68"/>
      <c r="C926" s="68"/>
      <c r="D926" s="71"/>
      <c r="E926" s="71"/>
      <c r="F926" s="71"/>
      <c r="G926" s="65" t="str">
        <f t="shared" si="1"/>
        <v/>
      </c>
      <c r="H926" s="74"/>
      <c r="I926" s="67" t="str">
        <f>IFERROR(__xludf.DUMMYFUNCTION("if($H926="""", """", AVERAGE(split($H926, "";"")))"),"")</f>
        <v/>
      </c>
      <c r="J926" s="67" t="str">
        <f>IFERROR(__xludf.DUMMYFUNCTION("if(H926="""", """", SUM(split(H926, "";"")))"),"")</f>
        <v/>
      </c>
      <c r="K926" s="68"/>
      <c r="L926" s="68"/>
      <c r="M926" s="68"/>
      <c r="N926" s="68"/>
      <c r="O926" s="68"/>
      <c r="P926" s="68"/>
      <c r="Q926" s="68"/>
      <c r="R926" s="68"/>
      <c r="S926" s="68"/>
      <c r="T926" s="68"/>
      <c r="U926" s="68"/>
      <c r="V926" s="68"/>
      <c r="W926" s="68"/>
      <c r="X926" s="68"/>
      <c r="Y926" s="68"/>
      <c r="Z926" s="68"/>
      <c r="AA926" s="68"/>
    </row>
    <row r="927" ht="26.25" customHeight="1">
      <c r="A927" s="68"/>
      <c r="B927" s="68"/>
      <c r="C927" s="68"/>
      <c r="D927" s="71"/>
      <c r="E927" s="71"/>
      <c r="F927" s="71"/>
      <c r="G927" s="65" t="str">
        <f t="shared" si="1"/>
        <v/>
      </c>
      <c r="H927" s="74"/>
      <c r="I927" s="67" t="str">
        <f>IFERROR(__xludf.DUMMYFUNCTION("if($H927="""", """", AVERAGE(split($H927, "";"")))"),"")</f>
        <v/>
      </c>
      <c r="J927" s="67" t="str">
        <f>IFERROR(__xludf.DUMMYFUNCTION("if(H927="""", """", SUM(split(H927, "";"")))"),"")</f>
        <v/>
      </c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  <c r="X927" s="68"/>
      <c r="Y927" s="68"/>
      <c r="Z927" s="68"/>
      <c r="AA927" s="68"/>
    </row>
    <row r="928" ht="26.25" customHeight="1">
      <c r="A928" s="68"/>
      <c r="B928" s="68"/>
      <c r="C928" s="68"/>
      <c r="D928" s="71"/>
      <c r="E928" s="71"/>
      <c r="F928" s="71"/>
      <c r="G928" s="65" t="str">
        <f t="shared" si="1"/>
        <v/>
      </c>
      <c r="H928" s="74"/>
      <c r="I928" s="67" t="str">
        <f>IFERROR(__xludf.DUMMYFUNCTION("if($H928="""", """", AVERAGE(split($H928, "";"")))"),"")</f>
        <v/>
      </c>
      <c r="J928" s="67" t="str">
        <f>IFERROR(__xludf.DUMMYFUNCTION("if(H928="""", """", SUM(split(H928, "";"")))"),"")</f>
        <v/>
      </c>
      <c r="K928" s="68"/>
      <c r="L928" s="68"/>
      <c r="M928" s="68"/>
      <c r="N928" s="68"/>
      <c r="O928" s="68"/>
      <c r="P928" s="68"/>
      <c r="Q928" s="68"/>
      <c r="R928" s="68"/>
      <c r="S928" s="68"/>
      <c r="T928" s="68"/>
      <c r="U928" s="68"/>
      <c r="V928" s="68"/>
      <c r="W928" s="68"/>
      <c r="X928" s="68"/>
      <c r="Y928" s="68"/>
      <c r="Z928" s="68"/>
      <c r="AA928" s="68"/>
    </row>
    <row r="929" ht="26.25" customHeight="1">
      <c r="A929" s="68"/>
      <c r="B929" s="68"/>
      <c r="C929" s="68"/>
      <c r="D929" s="71"/>
      <c r="E929" s="71"/>
      <c r="F929" s="71"/>
      <c r="G929" s="65" t="str">
        <f t="shared" si="1"/>
        <v/>
      </c>
      <c r="H929" s="74"/>
      <c r="I929" s="67" t="str">
        <f>IFERROR(__xludf.DUMMYFUNCTION("if($H929="""", """", AVERAGE(split($H929, "";"")))"),"")</f>
        <v/>
      </c>
      <c r="J929" s="67" t="str">
        <f>IFERROR(__xludf.DUMMYFUNCTION("if(H929="""", """", SUM(split(H929, "";"")))"),"")</f>
        <v/>
      </c>
      <c r="K929" s="68"/>
      <c r="L929" s="68"/>
      <c r="M929" s="68"/>
      <c r="N929" s="68"/>
      <c r="O929" s="68"/>
      <c r="P929" s="68"/>
      <c r="Q929" s="68"/>
      <c r="R929" s="68"/>
      <c r="S929" s="68"/>
      <c r="T929" s="68"/>
      <c r="U929" s="68"/>
      <c r="V929" s="68"/>
      <c r="W929" s="68"/>
      <c r="X929" s="68"/>
      <c r="Y929" s="68"/>
      <c r="Z929" s="68"/>
      <c r="AA929" s="68"/>
    </row>
    <row r="930" ht="26.25" customHeight="1">
      <c r="A930" s="68"/>
      <c r="B930" s="68"/>
      <c r="C930" s="68"/>
      <c r="D930" s="71"/>
      <c r="E930" s="71"/>
      <c r="F930" s="71"/>
      <c r="G930" s="65" t="str">
        <f t="shared" si="1"/>
        <v/>
      </c>
      <c r="H930" s="74"/>
      <c r="I930" s="67" t="str">
        <f>IFERROR(__xludf.DUMMYFUNCTION("if($H930="""", """", AVERAGE(split($H930, "";"")))"),"")</f>
        <v/>
      </c>
      <c r="J930" s="67" t="str">
        <f>IFERROR(__xludf.DUMMYFUNCTION("if(H930="""", """", SUM(split(H930, "";"")))"),"")</f>
        <v/>
      </c>
      <c r="K930" s="68"/>
      <c r="L930" s="68"/>
      <c r="M930" s="68"/>
      <c r="N930" s="68"/>
      <c r="O930" s="68"/>
      <c r="P930" s="68"/>
      <c r="Q930" s="68"/>
      <c r="R930" s="68"/>
      <c r="S930" s="68"/>
      <c r="T930" s="68"/>
      <c r="U930" s="68"/>
      <c r="V930" s="68"/>
      <c r="W930" s="68"/>
      <c r="X930" s="68"/>
      <c r="Y930" s="68"/>
      <c r="Z930" s="68"/>
      <c r="AA930" s="68"/>
    </row>
    <row r="931" ht="26.25" customHeight="1">
      <c r="A931" s="68"/>
      <c r="B931" s="68"/>
      <c r="C931" s="68"/>
      <c r="D931" s="71"/>
      <c r="E931" s="71"/>
      <c r="F931" s="71"/>
      <c r="G931" s="65" t="str">
        <f t="shared" si="1"/>
        <v/>
      </c>
      <c r="H931" s="74"/>
      <c r="I931" s="67" t="str">
        <f>IFERROR(__xludf.DUMMYFUNCTION("if($H931="""", """", AVERAGE(split($H931, "";"")))"),"")</f>
        <v/>
      </c>
      <c r="J931" s="67" t="str">
        <f>IFERROR(__xludf.DUMMYFUNCTION("if(H931="""", """", SUM(split(H931, "";"")))"),"")</f>
        <v/>
      </c>
      <c r="K931" s="68"/>
      <c r="L931" s="68"/>
      <c r="M931" s="68"/>
      <c r="N931" s="68"/>
      <c r="O931" s="68"/>
      <c r="P931" s="68"/>
      <c r="Q931" s="68"/>
      <c r="R931" s="68"/>
      <c r="S931" s="68"/>
      <c r="T931" s="68"/>
      <c r="U931" s="68"/>
      <c r="V931" s="68"/>
      <c r="W931" s="68"/>
      <c r="X931" s="68"/>
      <c r="Y931" s="68"/>
      <c r="Z931" s="68"/>
      <c r="AA931" s="68"/>
    </row>
    <row r="932" ht="26.25" customHeight="1">
      <c r="A932" s="68"/>
      <c r="B932" s="68"/>
      <c r="C932" s="68"/>
      <c r="D932" s="71"/>
      <c r="E932" s="71"/>
      <c r="F932" s="71"/>
      <c r="G932" s="65" t="str">
        <f t="shared" si="1"/>
        <v/>
      </c>
      <c r="H932" s="74"/>
      <c r="I932" s="67" t="str">
        <f>IFERROR(__xludf.DUMMYFUNCTION("if($H932="""", """", AVERAGE(split($H932, "";"")))"),"")</f>
        <v/>
      </c>
      <c r="J932" s="67" t="str">
        <f>IFERROR(__xludf.DUMMYFUNCTION("if(H932="""", """", SUM(split(H932, "";"")))"),"")</f>
        <v/>
      </c>
      <c r="K932" s="68"/>
      <c r="L932" s="68"/>
      <c r="M932" s="68"/>
      <c r="N932" s="68"/>
      <c r="O932" s="68"/>
      <c r="P932" s="68"/>
      <c r="Q932" s="68"/>
      <c r="R932" s="68"/>
      <c r="S932" s="68"/>
      <c r="T932" s="68"/>
      <c r="U932" s="68"/>
      <c r="V932" s="68"/>
      <c r="W932" s="68"/>
      <c r="X932" s="68"/>
      <c r="Y932" s="68"/>
      <c r="Z932" s="68"/>
      <c r="AA932" s="68"/>
    </row>
    <row r="933" ht="26.25" customHeight="1">
      <c r="A933" s="68"/>
      <c r="B933" s="68"/>
      <c r="C933" s="68"/>
      <c r="D933" s="71"/>
      <c r="E933" s="71"/>
      <c r="F933" s="71"/>
      <c r="G933" s="65" t="str">
        <f t="shared" si="1"/>
        <v/>
      </c>
      <c r="H933" s="74"/>
      <c r="I933" s="67" t="str">
        <f>IFERROR(__xludf.DUMMYFUNCTION("if($H933="""", """", AVERAGE(split($H933, "";"")))"),"")</f>
        <v/>
      </c>
      <c r="J933" s="67" t="str">
        <f>IFERROR(__xludf.DUMMYFUNCTION("if(H933="""", """", SUM(split(H933, "";"")))"),"")</f>
        <v/>
      </c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  <c r="W933" s="68"/>
      <c r="X933" s="68"/>
      <c r="Y933" s="68"/>
      <c r="Z933" s="68"/>
      <c r="AA933" s="68"/>
    </row>
    <row r="934" ht="26.25" customHeight="1">
      <c r="A934" s="68"/>
      <c r="B934" s="68"/>
      <c r="C934" s="68"/>
      <c r="D934" s="71"/>
      <c r="E934" s="71"/>
      <c r="F934" s="71"/>
      <c r="G934" s="65" t="str">
        <f t="shared" si="1"/>
        <v/>
      </c>
      <c r="H934" s="74"/>
      <c r="I934" s="67" t="str">
        <f>IFERROR(__xludf.DUMMYFUNCTION("if($H934="""", """", AVERAGE(split($H934, "";"")))"),"")</f>
        <v/>
      </c>
      <c r="J934" s="67" t="str">
        <f>IFERROR(__xludf.DUMMYFUNCTION("if(H934="""", """", SUM(split(H934, "";"")))"),"")</f>
        <v/>
      </c>
      <c r="K934" s="68"/>
      <c r="L934" s="68"/>
      <c r="M934" s="68"/>
      <c r="N934" s="68"/>
      <c r="O934" s="68"/>
      <c r="P934" s="68"/>
      <c r="Q934" s="68"/>
      <c r="R934" s="68"/>
      <c r="S934" s="68"/>
      <c r="T934" s="68"/>
      <c r="U934" s="68"/>
      <c r="V934" s="68"/>
      <c r="W934" s="68"/>
      <c r="X934" s="68"/>
      <c r="Y934" s="68"/>
      <c r="Z934" s="68"/>
      <c r="AA934" s="68"/>
    </row>
    <row r="935" ht="26.25" customHeight="1">
      <c r="A935" s="68"/>
      <c r="B935" s="68"/>
      <c r="C935" s="68"/>
      <c r="D935" s="71"/>
      <c r="E935" s="71"/>
      <c r="F935" s="71"/>
      <c r="G935" s="65" t="str">
        <f t="shared" si="1"/>
        <v/>
      </c>
      <c r="H935" s="74"/>
      <c r="I935" s="67" t="str">
        <f>IFERROR(__xludf.DUMMYFUNCTION("if($H935="""", """", AVERAGE(split($H935, "";"")))"),"")</f>
        <v/>
      </c>
      <c r="J935" s="67" t="str">
        <f>IFERROR(__xludf.DUMMYFUNCTION("if(H935="""", """", SUM(split(H935, "";"")))"),"")</f>
        <v/>
      </c>
      <c r="K935" s="68"/>
      <c r="L935" s="68"/>
      <c r="M935" s="68"/>
      <c r="N935" s="68"/>
      <c r="O935" s="68"/>
      <c r="P935" s="68"/>
      <c r="Q935" s="68"/>
      <c r="R935" s="68"/>
      <c r="S935" s="68"/>
      <c r="T935" s="68"/>
      <c r="U935" s="68"/>
      <c r="V935" s="68"/>
      <c r="W935" s="68"/>
      <c r="X935" s="68"/>
      <c r="Y935" s="68"/>
      <c r="Z935" s="68"/>
      <c r="AA935" s="68"/>
    </row>
    <row r="936" ht="26.25" customHeight="1">
      <c r="A936" s="68"/>
      <c r="B936" s="68"/>
      <c r="C936" s="68"/>
      <c r="D936" s="71"/>
      <c r="E936" s="71"/>
      <c r="F936" s="71"/>
      <c r="G936" s="65" t="str">
        <f t="shared" si="1"/>
        <v/>
      </c>
      <c r="H936" s="74"/>
      <c r="I936" s="67" t="str">
        <f>IFERROR(__xludf.DUMMYFUNCTION("if($H936="""", """", AVERAGE(split($H936, "";"")))"),"")</f>
        <v/>
      </c>
      <c r="J936" s="67" t="str">
        <f>IFERROR(__xludf.DUMMYFUNCTION("if(H936="""", """", SUM(split(H936, "";"")))"),"")</f>
        <v/>
      </c>
      <c r="K936" s="68"/>
      <c r="L936" s="68"/>
      <c r="M936" s="68"/>
      <c r="N936" s="68"/>
      <c r="O936" s="68"/>
      <c r="P936" s="68"/>
      <c r="Q936" s="68"/>
      <c r="R936" s="68"/>
      <c r="S936" s="68"/>
      <c r="T936" s="68"/>
      <c r="U936" s="68"/>
      <c r="V936" s="68"/>
      <c r="W936" s="68"/>
      <c r="X936" s="68"/>
      <c r="Y936" s="68"/>
      <c r="Z936" s="68"/>
      <c r="AA936" s="68"/>
    </row>
    <row r="937" ht="26.25" customHeight="1">
      <c r="A937" s="68"/>
      <c r="B937" s="68"/>
      <c r="C937" s="68"/>
      <c r="D937" s="71"/>
      <c r="E937" s="71"/>
      <c r="F937" s="71"/>
      <c r="G937" s="65" t="str">
        <f t="shared" si="1"/>
        <v/>
      </c>
      <c r="H937" s="74"/>
      <c r="I937" s="67" t="str">
        <f>IFERROR(__xludf.DUMMYFUNCTION("if($H937="""", """", AVERAGE(split($H937, "";"")))"),"")</f>
        <v/>
      </c>
      <c r="J937" s="67" t="str">
        <f>IFERROR(__xludf.DUMMYFUNCTION("if(H937="""", """", SUM(split(H937, "";"")))"),"")</f>
        <v/>
      </c>
      <c r="K937" s="68"/>
      <c r="L937" s="68"/>
      <c r="M937" s="68"/>
      <c r="N937" s="68"/>
      <c r="O937" s="68"/>
      <c r="P937" s="68"/>
      <c r="Q937" s="68"/>
      <c r="R937" s="68"/>
      <c r="S937" s="68"/>
      <c r="T937" s="68"/>
      <c r="U937" s="68"/>
      <c r="V937" s="68"/>
      <c r="W937" s="68"/>
      <c r="X937" s="68"/>
      <c r="Y937" s="68"/>
      <c r="Z937" s="68"/>
      <c r="AA937" s="68"/>
    </row>
    <row r="938" ht="26.25" customHeight="1">
      <c r="A938" s="68"/>
      <c r="B938" s="68"/>
      <c r="C938" s="68"/>
      <c r="D938" s="71"/>
      <c r="E938" s="71"/>
      <c r="F938" s="71"/>
      <c r="G938" s="65" t="str">
        <f t="shared" si="1"/>
        <v/>
      </c>
      <c r="H938" s="74"/>
      <c r="I938" s="67" t="str">
        <f>IFERROR(__xludf.DUMMYFUNCTION("if($H938="""", """", AVERAGE(split($H938, "";"")))"),"")</f>
        <v/>
      </c>
      <c r="J938" s="67" t="str">
        <f>IFERROR(__xludf.DUMMYFUNCTION("if(H938="""", """", SUM(split(H938, "";"")))"),"")</f>
        <v/>
      </c>
      <c r="K938" s="68"/>
      <c r="L938" s="68"/>
      <c r="M938" s="68"/>
      <c r="N938" s="68"/>
      <c r="O938" s="68"/>
      <c r="P938" s="68"/>
      <c r="Q938" s="68"/>
      <c r="R938" s="68"/>
      <c r="S938" s="68"/>
      <c r="T938" s="68"/>
      <c r="U938" s="68"/>
      <c r="V938" s="68"/>
      <c r="W938" s="68"/>
      <c r="X938" s="68"/>
      <c r="Y938" s="68"/>
      <c r="Z938" s="68"/>
      <c r="AA938" s="68"/>
    </row>
    <row r="939" ht="26.25" customHeight="1">
      <c r="A939" s="68"/>
      <c r="B939" s="68"/>
      <c r="C939" s="68"/>
      <c r="D939" s="71"/>
      <c r="E939" s="71"/>
      <c r="F939" s="71"/>
      <c r="G939" s="65" t="str">
        <f t="shared" si="1"/>
        <v/>
      </c>
      <c r="H939" s="74"/>
      <c r="I939" s="67" t="str">
        <f>IFERROR(__xludf.DUMMYFUNCTION("if($H939="""", """", AVERAGE(split($H939, "";"")))"),"")</f>
        <v/>
      </c>
      <c r="J939" s="67" t="str">
        <f>IFERROR(__xludf.DUMMYFUNCTION("if(H939="""", """", SUM(split(H939, "";"")))"),"")</f>
        <v/>
      </c>
      <c r="K939" s="68"/>
      <c r="L939" s="68"/>
      <c r="M939" s="68"/>
      <c r="N939" s="68"/>
      <c r="O939" s="68"/>
      <c r="P939" s="68"/>
      <c r="Q939" s="68"/>
      <c r="R939" s="68"/>
      <c r="S939" s="68"/>
      <c r="T939" s="68"/>
      <c r="U939" s="68"/>
      <c r="V939" s="68"/>
      <c r="W939" s="68"/>
      <c r="X939" s="68"/>
      <c r="Y939" s="68"/>
      <c r="Z939" s="68"/>
      <c r="AA939" s="68"/>
    </row>
    <row r="940" ht="26.25" customHeight="1">
      <c r="A940" s="68"/>
      <c r="B940" s="68"/>
      <c r="C940" s="68"/>
      <c r="D940" s="71"/>
      <c r="E940" s="71"/>
      <c r="F940" s="71"/>
      <c r="G940" s="65" t="str">
        <f t="shared" si="1"/>
        <v/>
      </c>
      <c r="H940" s="74"/>
      <c r="I940" s="67" t="str">
        <f>IFERROR(__xludf.DUMMYFUNCTION("if($H940="""", """", AVERAGE(split($H940, "";"")))"),"")</f>
        <v/>
      </c>
      <c r="J940" s="67" t="str">
        <f>IFERROR(__xludf.DUMMYFUNCTION("if(H940="""", """", SUM(split(H940, "";"")))"),"")</f>
        <v/>
      </c>
      <c r="K940" s="68"/>
      <c r="L940" s="68"/>
      <c r="M940" s="68"/>
      <c r="N940" s="68"/>
      <c r="O940" s="68"/>
      <c r="P940" s="68"/>
      <c r="Q940" s="68"/>
      <c r="R940" s="68"/>
      <c r="S940" s="68"/>
      <c r="T940" s="68"/>
      <c r="U940" s="68"/>
      <c r="V940" s="68"/>
      <c r="W940" s="68"/>
      <c r="X940" s="68"/>
      <c r="Y940" s="68"/>
      <c r="Z940" s="68"/>
      <c r="AA940" s="68"/>
    </row>
    <row r="941" ht="26.25" customHeight="1">
      <c r="A941" s="68"/>
      <c r="B941" s="68"/>
      <c r="C941" s="68"/>
      <c r="D941" s="71"/>
      <c r="E941" s="71"/>
      <c r="F941" s="71"/>
      <c r="G941" s="65" t="str">
        <f t="shared" si="1"/>
        <v/>
      </c>
      <c r="H941" s="74"/>
      <c r="I941" s="67" t="str">
        <f>IFERROR(__xludf.DUMMYFUNCTION("if($H941="""", """", AVERAGE(split($H941, "";"")))"),"")</f>
        <v/>
      </c>
      <c r="J941" s="67" t="str">
        <f>IFERROR(__xludf.DUMMYFUNCTION("if(H941="""", """", SUM(split(H941, "";"")))"),"")</f>
        <v/>
      </c>
      <c r="K941" s="68"/>
      <c r="L941" s="68"/>
      <c r="M941" s="68"/>
      <c r="N941" s="68"/>
      <c r="O941" s="68"/>
      <c r="P941" s="68"/>
      <c r="Q941" s="68"/>
      <c r="R941" s="68"/>
      <c r="S941" s="68"/>
      <c r="T941" s="68"/>
      <c r="U941" s="68"/>
      <c r="V941" s="68"/>
      <c r="W941" s="68"/>
      <c r="X941" s="68"/>
      <c r="Y941" s="68"/>
      <c r="Z941" s="68"/>
      <c r="AA941" s="68"/>
    </row>
    <row r="942" ht="26.25" customHeight="1">
      <c r="A942" s="68"/>
      <c r="B942" s="68"/>
      <c r="C942" s="68"/>
      <c r="D942" s="71"/>
      <c r="E942" s="71"/>
      <c r="F942" s="71"/>
      <c r="G942" s="65" t="str">
        <f t="shared" si="1"/>
        <v/>
      </c>
      <c r="H942" s="74"/>
      <c r="I942" s="67" t="str">
        <f>IFERROR(__xludf.DUMMYFUNCTION("if($H942="""", """", AVERAGE(split($H942, "";"")))"),"")</f>
        <v/>
      </c>
      <c r="J942" s="67" t="str">
        <f>IFERROR(__xludf.DUMMYFUNCTION("if(H942="""", """", SUM(split(H942, "";"")))"),"")</f>
        <v/>
      </c>
      <c r="K942" s="68"/>
      <c r="L942" s="68"/>
      <c r="M942" s="68"/>
      <c r="N942" s="68"/>
      <c r="O942" s="68"/>
      <c r="P942" s="68"/>
      <c r="Q942" s="68"/>
      <c r="R942" s="68"/>
      <c r="S942" s="68"/>
      <c r="T942" s="68"/>
      <c r="U942" s="68"/>
      <c r="V942" s="68"/>
      <c r="W942" s="68"/>
      <c r="X942" s="68"/>
      <c r="Y942" s="68"/>
      <c r="Z942" s="68"/>
      <c r="AA942" s="68"/>
    </row>
    <row r="943" ht="26.25" customHeight="1">
      <c r="A943" s="68"/>
      <c r="B943" s="68"/>
      <c r="C943" s="68"/>
      <c r="D943" s="71"/>
      <c r="E943" s="71"/>
      <c r="F943" s="71"/>
      <c r="G943" s="65" t="str">
        <f t="shared" si="1"/>
        <v/>
      </c>
      <c r="H943" s="74"/>
      <c r="I943" s="67" t="str">
        <f>IFERROR(__xludf.DUMMYFUNCTION("if($H943="""", """", AVERAGE(split($H943, "";"")))"),"")</f>
        <v/>
      </c>
      <c r="J943" s="67" t="str">
        <f>IFERROR(__xludf.DUMMYFUNCTION("if(H943="""", """", SUM(split(H943, "";"")))"),"")</f>
        <v/>
      </c>
      <c r="K943" s="68"/>
      <c r="L943" s="68"/>
      <c r="M943" s="68"/>
      <c r="N943" s="68"/>
      <c r="O943" s="68"/>
      <c r="P943" s="68"/>
      <c r="Q943" s="68"/>
      <c r="R943" s="68"/>
      <c r="S943" s="68"/>
      <c r="T943" s="68"/>
      <c r="U943" s="68"/>
      <c r="V943" s="68"/>
      <c r="W943" s="68"/>
      <c r="X943" s="68"/>
      <c r="Y943" s="68"/>
      <c r="Z943" s="68"/>
      <c r="AA943" s="68"/>
    </row>
    <row r="944" ht="26.25" customHeight="1">
      <c r="A944" s="68"/>
      <c r="B944" s="68"/>
      <c r="C944" s="68"/>
      <c r="D944" s="71"/>
      <c r="E944" s="71"/>
      <c r="F944" s="71"/>
      <c r="G944" s="65" t="str">
        <f t="shared" si="1"/>
        <v/>
      </c>
      <c r="H944" s="74"/>
      <c r="I944" s="67" t="str">
        <f>IFERROR(__xludf.DUMMYFUNCTION("if($H944="""", """", AVERAGE(split($H944, "";"")))"),"")</f>
        <v/>
      </c>
      <c r="J944" s="67" t="str">
        <f>IFERROR(__xludf.DUMMYFUNCTION("if(H944="""", """", SUM(split(H944, "";"")))"),"")</f>
        <v/>
      </c>
      <c r="K944" s="68"/>
      <c r="L944" s="68"/>
      <c r="M944" s="68"/>
      <c r="N944" s="68"/>
      <c r="O944" s="68"/>
      <c r="P944" s="68"/>
      <c r="Q944" s="68"/>
      <c r="R944" s="68"/>
      <c r="S944" s="68"/>
      <c r="T944" s="68"/>
      <c r="U944" s="68"/>
      <c r="V944" s="68"/>
      <c r="W944" s="68"/>
      <c r="X944" s="68"/>
      <c r="Y944" s="68"/>
      <c r="Z944" s="68"/>
      <c r="AA944" s="68"/>
    </row>
    <row r="945" ht="26.25" customHeight="1">
      <c r="A945" s="68"/>
      <c r="B945" s="68"/>
      <c r="C945" s="68"/>
      <c r="D945" s="71"/>
      <c r="E945" s="71"/>
      <c r="F945" s="71"/>
      <c r="G945" s="65" t="str">
        <f t="shared" si="1"/>
        <v/>
      </c>
      <c r="H945" s="74"/>
      <c r="I945" s="67" t="str">
        <f>IFERROR(__xludf.DUMMYFUNCTION("if($H945="""", """", AVERAGE(split($H945, "";"")))"),"")</f>
        <v/>
      </c>
      <c r="J945" s="67" t="str">
        <f>IFERROR(__xludf.DUMMYFUNCTION("if(H945="""", """", SUM(split(H945, "";"")))"),"")</f>
        <v/>
      </c>
      <c r="K945" s="68"/>
      <c r="L945" s="68"/>
      <c r="M945" s="68"/>
      <c r="N945" s="68"/>
      <c r="O945" s="68"/>
      <c r="P945" s="68"/>
      <c r="Q945" s="68"/>
      <c r="R945" s="68"/>
      <c r="S945" s="68"/>
      <c r="T945" s="68"/>
      <c r="U945" s="68"/>
      <c r="V945" s="68"/>
      <c r="W945" s="68"/>
      <c r="X945" s="68"/>
      <c r="Y945" s="68"/>
      <c r="Z945" s="68"/>
      <c r="AA945" s="68"/>
    </row>
    <row r="946" ht="26.25" customHeight="1">
      <c r="A946" s="68"/>
      <c r="B946" s="68"/>
      <c r="C946" s="68"/>
      <c r="D946" s="71"/>
      <c r="E946" s="71"/>
      <c r="F946" s="71"/>
      <c r="G946" s="65" t="str">
        <f t="shared" si="1"/>
        <v/>
      </c>
      <c r="H946" s="74"/>
      <c r="I946" s="67" t="str">
        <f>IFERROR(__xludf.DUMMYFUNCTION("if($H946="""", """", AVERAGE(split($H946, "";"")))"),"")</f>
        <v/>
      </c>
      <c r="J946" s="67" t="str">
        <f>IFERROR(__xludf.DUMMYFUNCTION("if(H946="""", """", SUM(split(H946, "";"")))"),"")</f>
        <v/>
      </c>
      <c r="K946" s="68"/>
      <c r="L946" s="68"/>
      <c r="M946" s="68"/>
      <c r="N946" s="68"/>
      <c r="O946" s="68"/>
      <c r="P946" s="68"/>
      <c r="Q946" s="68"/>
      <c r="R946" s="68"/>
      <c r="S946" s="68"/>
      <c r="T946" s="68"/>
      <c r="U946" s="68"/>
      <c r="V946" s="68"/>
      <c r="W946" s="68"/>
      <c r="X946" s="68"/>
      <c r="Y946" s="68"/>
      <c r="Z946" s="68"/>
      <c r="AA946" s="68"/>
    </row>
    <row r="947" ht="26.25" customHeight="1">
      <c r="A947" s="68"/>
      <c r="B947" s="68"/>
      <c r="C947" s="68"/>
      <c r="D947" s="71"/>
      <c r="E947" s="71"/>
      <c r="F947" s="71"/>
      <c r="G947" s="65" t="str">
        <f t="shared" si="1"/>
        <v/>
      </c>
      <c r="H947" s="74"/>
      <c r="I947" s="67" t="str">
        <f>IFERROR(__xludf.DUMMYFUNCTION("if($H947="""", """", AVERAGE(split($H947, "";"")))"),"")</f>
        <v/>
      </c>
      <c r="J947" s="67" t="str">
        <f>IFERROR(__xludf.DUMMYFUNCTION("if(H947="""", """", SUM(split(H947, "";"")))"),"")</f>
        <v/>
      </c>
      <c r="K947" s="68"/>
      <c r="L947" s="68"/>
      <c r="M947" s="68"/>
      <c r="N947" s="68"/>
      <c r="O947" s="68"/>
      <c r="P947" s="68"/>
      <c r="Q947" s="68"/>
      <c r="R947" s="68"/>
      <c r="S947" s="68"/>
      <c r="T947" s="68"/>
      <c r="U947" s="68"/>
      <c r="V947" s="68"/>
      <c r="W947" s="68"/>
      <c r="X947" s="68"/>
      <c r="Y947" s="68"/>
      <c r="Z947" s="68"/>
      <c r="AA947" s="68"/>
    </row>
    <row r="948" ht="26.25" customHeight="1">
      <c r="A948" s="68"/>
      <c r="B948" s="68"/>
      <c r="C948" s="68"/>
      <c r="D948" s="71"/>
      <c r="E948" s="71"/>
      <c r="F948" s="71"/>
      <c r="G948" s="65" t="str">
        <f t="shared" si="1"/>
        <v/>
      </c>
      <c r="H948" s="74"/>
      <c r="I948" s="67" t="str">
        <f>IFERROR(__xludf.DUMMYFUNCTION("if($H948="""", """", AVERAGE(split($H948, "";"")))"),"")</f>
        <v/>
      </c>
      <c r="J948" s="67" t="str">
        <f>IFERROR(__xludf.DUMMYFUNCTION("if(H948="""", """", SUM(split(H948, "";"")))"),"")</f>
        <v/>
      </c>
      <c r="K948" s="68"/>
      <c r="L948" s="68"/>
      <c r="M948" s="68"/>
      <c r="N948" s="68"/>
      <c r="O948" s="68"/>
      <c r="P948" s="68"/>
      <c r="Q948" s="68"/>
      <c r="R948" s="68"/>
      <c r="S948" s="68"/>
      <c r="T948" s="68"/>
      <c r="U948" s="68"/>
      <c r="V948" s="68"/>
      <c r="W948" s="68"/>
      <c r="X948" s="68"/>
      <c r="Y948" s="68"/>
      <c r="Z948" s="68"/>
      <c r="AA948" s="68"/>
    </row>
    <row r="949" ht="26.25" customHeight="1">
      <c r="A949" s="68"/>
      <c r="B949" s="68"/>
      <c r="C949" s="68"/>
      <c r="D949" s="71"/>
      <c r="E949" s="71"/>
      <c r="F949" s="71"/>
      <c r="G949" s="65" t="str">
        <f t="shared" si="1"/>
        <v/>
      </c>
      <c r="H949" s="74"/>
      <c r="I949" s="67" t="str">
        <f>IFERROR(__xludf.DUMMYFUNCTION("if($H949="""", """", AVERAGE(split($H949, "";"")))"),"")</f>
        <v/>
      </c>
      <c r="J949" s="67" t="str">
        <f>IFERROR(__xludf.DUMMYFUNCTION("if(H949="""", """", SUM(split(H949, "";"")))"),"")</f>
        <v/>
      </c>
      <c r="K949" s="68"/>
      <c r="L949" s="68"/>
      <c r="M949" s="68"/>
      <c r="N949" s="68"/>
      <c r="O949" s="68"/>
      <c r="P949" s="68"/>
      <c r="Q949" s="68"/>
      <c r="R949" s="68"/>
      <c r="S949" s="68"/>
      <c r="T949" s="68"/>
      <c r="U949" s="68"/>
      <c r="V949" s="68"/>
      <c r="W949" s="68"/>
      <c r="X949" s="68"/>
      <c r="Y949" s="68"/>
      <c r="Z949" s="68"/>
      <c r="AA949" s="68"/>
    </row>
    <row r="950" ht="26.25" customHeight="1">
      <c r="A950" s="68"/>
      <c r="B950" s="68"/>
      <c r="C950" s="68"/>
      <c r="D950" s="71"/>
      <c r="E950" s="71"/>
      <c r="F950" s="71"/>
      <c r="G950" s="65" t="str">
        <f t="shared" si="1"/>
        <v/>
      </c>
      <c r="H950" s="74"/>
      <c r="I950" s="67" t="str">
        <f>IFERROR(__xludf.DUMMYFUNCTION("if($H950="""", """", AVERAGE(split($H950, "";"")))"),"")</f>
        <v/>
      </c>
      <c r="J950" s="67" t="str">
        <f>IFERROR(__xludf.DUMMYFUNCTION("if(H950="""", """", SUM(split(H950, "";"")))"),"")</f>
        <v/>
      </c>
      <c r="K950" s="68"/>
      <c r="L950" s="68"/>
      <c r="M950" s="68"/>
      <c r="N950" s="68"/>
      <c r="O950" s="68"/>
      <c r="P950" s="68"/>
      <c r="Q950" s="68"/>
      <c r="R950" s="68"/>
      <c r="S950" s="68"/>
      <c r="T950" s="68"/>
      <c r="U950" s="68"/>
      <c r="V950" s="68"/>
      <c r="W950" s="68"/>
      <c r="X950" s="68"/>
      <c r="Y950" s="68"/>
      <c r="Z950" s="68"/>
      <c r="AA950" s="68"/>
    </row>
    <row r="951" ht="26.25" customHeight="1">
      <c r="A951" s="68"/>
      <c r="B951" s="68"/>
      <c r="C951" s="68"/>
      <c r="D951" s="71"/>
      <c r="E951" s="71"/>
      <c r="F951" s="71"/>
      <c r="G951" s="65" t="str">
        <f t="shared" si="1"/>
        <v/>
      </c>
      <c r="H951" s="74"/>
      <c r="I951" s="67" t="str">
        <f>IFERROR(__xludf.DUMMYFUNCTION("if($H951="""", """", AVERAGE(split($H951, "";"")))"),"")</f>
        <v/>
      </c>
      <c r="J951" s="67" t="str">
        <f>IFERROR(__xludf.DUMMYFUNCTION("if(H951="""", """", SUM(split(H951, "";"")))"),"")</f>
        <v/>
      </c>
      <c r="K951" s="68"/>
      <c r="L951" s="68"/>
      <c r="M951" s="68"/>
      <c r="N951" s="68"/>
      <c r="O951" s="68"/>
      <c r="P951" s="68"/>
      <c r="Q951" s="68"/>
      <c r="R951" s="68"/>
      <c r="S951" s="68"/>
      <c r="T951" s="68"/>
      <c r="U951" s="68"/>
      <c r="V951" s="68"/>
      <c r="W951" s="68"/>
      <c r="X951" s="68"/>
      <c r="Y951" s="68"/>
      <c r="Z951" s="68"/>
      <c r="AA951" s="68"/>
    </row>
    <row r="952" ht="26.25" customHeight="1">
      <c r="A952" s="68"/>
      <c r="B952" s="68"/>
      <c r="C952" s="68"/>
      <c r="D952" s="71"/>
      <c r="E952" s="71"/>
      <c r="F952" s="71"/>
      <c r="G952" s="65" t="str">
        <f t="shared" si="1"/>
        <v/>
      </c>
      <c r="H952" s="74"/>
      <c r="I952" s="67" t="str">
        <f>IFERROR(__xludf.DUMMYFUNCTION("if($H952="""", """", AVERAGE(split($H952, "";"")))"),"")</f>
        <v/>
      </c>
      <c r="J952" s="67" t="str">
        <f>IFERROR(__xludf.DUMMYFUNCTION("if(H952="""", """", SUM(split(H952, "";"")))"),"")</f>
        <v/>
      </c>
      <c r="K952" s="68"/>
      <c r="L952" s="68"/>
      <c r="M952" s="68"/>
      <c r="N952" s="68"/>
      <c r="O952" s="68"/>
      <c r="P952" s="68"/>
      <c r="Q952" s="68"/>
      <c r="R952" s="68"/>
      <c r="S952" s="68"/>
      <c r="T952" s="68"/>
      <c r="U952" s="68"/>
      <c r="V952" s="68"/>
      <c r="W952" s="68"/>
      <c r="X952" s="68"/>
      <c r="Y952" s="68"/>
      <c r="Z952" s="68"/>
      <c r="AA952" s="68"/>
    </row>
    <row r="953" ht="26.25" customHeight="1">
      <c r="A953" s="68"/>
      <c r="B953" s="68"/>
      <c r="C953" s="68"/>
      <c r="D953" s="71"/>
      <c r="E953" s="71"/>
      <c r="F953" s="71"/>
      <c r="G953" s="65" t="str">
        <f t="shared" si="1"/>
        <v/>
      </c>
      <c r="H953" s="74"/>
      <c r="I953" s="67" t="str">
        <f>IFERROR(__xludf.DUMMYFUNCTION("if($H953="""", """", AVERAGE(split($H953, "";"")))"),"")</f>
        <v/>
      </c>
      <c r="J953" s="67" t="str">
        <f>IFERROR(__xludf.DUMMYFUNCTION("if(H953="""", """", SUM(split(H953, "";"")))"),"")</f>
        <v/>
      </c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  <c r="AA953" s="68"/>
    </row>
    <row r="954" ht="26.25" customHeight="1">
      <c r="A954" s="68"/>
      <c r="B954" s="68"/>
      <c r="C954" s="68"/>
      <c r="D954" s="71"/>
      <c r="E954" s="71"/>
      <c r="F954" s="71"/>
      <c r="G954" s="65" t="str">
        <f t="shared" si="1"/>
        <v/>
      </c>
      <c r="H954" s="74"/>
      <c r="I954" s="67" t="str">
        <f>IFERROR(__xludf.DUMMYFUNCTION("if($H954="""", """", AVERAGE(split($H954, "";"")))"),"")</f>
        <v/>
      </c>
      <c r="J954" s="67" t="str">
        <f>IFERROR(__xludf.DUMMYFUNCTION("if(H954="""", """", SUM(split(H954, "";"")))"),"")</f>
        <v/>
      </c>
      <c r="K954" s="68"/>
      <c r="L954" s="68"/>
      <c r="M954" s="68"/>
      <c r="N954" s="68"/>
      <c r="O954" s="68"/>
      <c r="P954" s="68"/>
      <c r="Q954" s="68"/>
      <c r="R954" s="68"/>
      <c r="S954" s="68"/>
      <c r="T954" s="68"/>
      <c r="U954" s="68"/>
      <c r="V954" s="68"/>
      <c r="W954" s="68"/>
      <c r="X954" s="68"/>
      <c r="Y954" s="68"/>
      <c r="Z954" s="68"/>
      <c r="AA954" s="68"/>
    </row>
    <row r="955" ht="26.25" customHeight="1">
      <c r="A955" s="68"/>
      <c r="B955" s="68"/>
      <c r="C955" s="68"/>
      <c r="D955" s="71"/>
      <c r="E955" s="71"/>
      <c r="F955" s="71"/>
      <c r="G955" s="65" t="str">
        <f t="shared" si="1"/>
        <v/>
      </c>
      <c r="H955" s="74"/>
      <c r="I955" s="67" t="str">
        <f>IFERROR(__xludf.DUMMYFUNCTION("if($H955="""", """", AVERAGE(split($H955, "";"")))"),"")</f>
        <v/>
      </c>
      <c r="J955" s="67" t="str">
        <f>IFERROR(__xludf.DUMMYFUNCTION("if(H955="""", """", SUM(split(H955, "";"")))"),"")</f>
        <v/>
      </c>
      <c r="K955" s="68"/>
      <c r="L955" s="68"/>
      <c r="M955" s="68"/>
      <c r="N955" s="68"/>
      <c r="O955" s="68"/>
      <c r="P955" s="68"/>
      <c r="Q955" s="68"/>
      <c r="R955" s="68"/>
      <c r="S955" s="68"/>
      <c r="T955" s="68"/>
      <c r="U955" s="68"/>
      <c r="V955" s="68"/>
      <c r="W955" s="68"/>
      <c r="X955" s="68"/>
      <c r="Y955" s="68"/>
      <c r="Z955" s="68"/>
      <c r="AA955" s="68"/>
    </row>
    <row r="956" ht="26.25" customHeight="1">
      <c r="A956" s="68"/>
      <c r="B956" s="68"/>
      <c r="C956" s="68"/>
      <c r="D956" s="71"/>
      <c r="E956" s="71"/>
      <c r="F956" s="71"/>
      <c r="G956" s="65" t="str">
        <f t="shared" si="1"/>
        <v/>
      </c>
      <c r="H956" s="74"/>
      <c r="I956" s="67" t="str">
        <f>IFERROR(__xludf.DUMMYFUNCTION("if($H956="""", """", AVERAGE(split($H956, "";"")))"),"")</f>
        <v/>
      </c>
      <c r="J956" s="67" t="str">
        <f>IFERROR(__xludf.DUMMYFUNCTION("if(H956="""", """", SUM(split(H956, "";"")))"),"")</f>
        <v/>
      </c>
      <c r="K956" s="68"/>
      <c r="L956" s="68"/>
      <c r="M956" s="68"/>
      <c r="N956" s="68"/>
      <c r="O956" s="68"/>
      <c r="P956" s="68"/>
      <c r="Q956" s="68"/>
      <c r="R956" s="68"/>
      <c r="S956" s="68"/>
      <c r="T956" s="68"/>
      <c r="U956" s="68"/>
      <c r="V956" s="68"/>
      <c r="W956" s="68"/>
      <c r="X956" s="68"/>
      <c r="Y956" s="68"/>
      <c r="Z956" s="68"/>
      <c r="AA956" s="68"/>
    </row>
    <row r="957" ht="26.25" customHeight="1">
      <c r="A957" s="68"/>
      <c r="B957" s="68"/>
      <c r="C957" s="68"/>
      <c r="D957" s="71"/>
      <c r="E957" s="71"/>
      <c r="F957" s="71"/>
      <c r="G957" s="65" t="str">
        <f t="shared" si="1"/>
        <v/>
      </c>
      <c r="H957" s="74"/>
      <c r="I957" s="67" t="str">
        <f>IFERROR(__xludf.DUMMYFUNCTION("if($H957="""", """", AVERAGE(split($H957, "";"")))"),"")</f>
        <v/>
      </c>
      <c r="J957" s="67" t="str">
        <f>IFERROR(__xludf.DUMMYFUNCTION("if(H957="""", """", SUM(split(H957, "";"")))"),"")</f>
        <v/>
      </c>
      <c r="K957" s="68"/>
      <c r="L957" s="68"/>
      <c r="M957" s="68"/>
      <c r="N957" s="68"/>
      <c r="O957" s="68"/>
      <c r="P957" s="68"/>
      <c r="Q957" s="68"/>
      <c r="R957" s="68"/>
      <c r="S957" s="68"/>
      <c r="T957" s="68"/>
      <c r="U957" s="68"/>
      <c r="V957" s="68"/>
      <c r="W957" s="68"/>
      <c r="X957" s="68"/>
      <c r="Y957" s="68"/>
      <c r="Z957" s="68"/>
      <c r="AA957" s="68"/>
    </row>
    <row r="958" ht="26.25" customHeight="1">
      <c r="A958" s="68"/>
      <c r="B958" s="68"/>
      <c r="C958" s="68"/>
      <c r="D958" s="71"/>
      <c r="E958" s="71"/>
      <c r="F958" s="71"/>
      <c r="G958" s="65" t="str">
        <f t="shared" si="1"/>
        <v/>
      </c>
      <c r="H958" s="74"/>
      <c r="I958" s="67" t="str">
        <f>IFERROR(__xludf.DUMMYFUNCTION("if($H958="""", """", AVERAGE(split($H958, "";"")))"),"")</f>
        <v/>
      </c>
      <c r="J958" s="67" t="str">
        <f>IFERROR(__xludf.DUMMYFUNCTION("if(H958="""", """", SUM(split(H958, "";"")))"),"")</f>
        <v/>
      </c>
      <c r="K958" s="68"/>
      <c r="L958" s="68"/>
      <c r="M958" s="68"/>
      <c r="N958" s="68"/>
      <c r="O958" s="68"/>
      <c r="P958" s="68"/>
      <c r="Q958" s="68"/>
      <c r="R958" s="68"/>
      <c r="S958" s="68"/>
      <c r="T958" s="68"/>
      <c r="U958" s="68"/>
      <c r="V958" s="68"/>
      <c r="W958" s="68"/>
      <c r="X958" s="68"/>
      <c r="Y958" s="68"/>
      <c r="Z958" s="68"/>
      <c r="AA958" s="68"/>
    </row>
    <row r="959" ht="26.25" customHeight="1">
      <c r="A959" s="68"/>
      <c r="B959" s="68"/>
      <c r="C959" s="68"/>
      <c r="D959" s="71"/>
      <c r="E959" s="71"/>
      <c r="F959" s="71"/>
      <c r="G959" s="65" t="str">
        <f t="shared" si="1"/>
        <v/>
      </c>
      <c r="H959" s="74"/>
      <c r="I959" s="67" t="str">
        <f>IFERROR(__xludf.DUMMYFUNCTION("if($H959="""", """", AVERAGE(split($H959, "";"")))"),"")</f>
        <v/>
      </c>
      <c r="J959" s="67" t="str">
        <f>IFERROR(__xludf.DUMMYFUNCTION("if(H959="""", """", SUM(split(H959, "";"")))"),"")</f>
        <v/>
      </c>
      <c r="K959" s="68"/>
      <c r="L959" s="68"/>
      <c r="M959" s="68"/>
      <c r="N959" s="68"/>
      <c r="O959" s="68"/>
      <c r="P959" s="68"/>
      <c r="Q959" s="68"/>
      <c r="R959" s="68"/>
      <c r="S959" s="68"/>
      <c r="T959" s="68"/>
      <c r="U959" s="68"/>
      <c r="V959" s="68"/>
      <c r="W959" s="68"/>
      <c r="X959" s="68"/>
      <c r="Y959" s="68"/>
      <c r="Z959" s="68"/>
      <c r="AA959" s="68"/>
    </row>
    <row r="960" ht="26.25" customHeight="1">
      <c r="A960" s="68"/>
      <c r="B960" s="68"/>
      <c r="C960" s="68"/>
      <c r="D960" s="71"/>
      <c r="E960" s="71"/>
      <c r="F960" s="71"/>
      <c r="G960" s="65" t="str">
        <f t="shared" si="1"/>
        <v/>
      </c>
      <c r="H960" s="74"/>
      <c r="I960" s="67" t="str">
        <f>IFERROR(__xludf.DUMMYFUNCTION("if($H960="""", """", AVERAGE(split($H960, "";"")))"),"")</f>
        <v/>
      </c>
      <c r="J960" s="67" t="str">
        <f>IFERROR(__xludf.DUMMYFUNCTION("if(H960="""", """", SUM(split(H960, "";"")))"),"")</f>
        <v/>
      </c>
      <c r="K960" s="68"/>
      <c r="L960" s="68"/>
      <c r="M960" s="68"/>
      <c r="N960" s="68"/>
      <c r="O960" s="68"/>
      <c r="P960" s="68"/>
      <c r="Q960" s="68"/>
      <c r="R960" s="68"/>
      <c r="S960" s="68"/>
      <c r="T960" s="68"/>
      <c r="U960" s="68"/>
      <c r="V960" s="68"/>
      <c r="W960" s="68"/>
      <c r="X960" s="68"/>
      <c r="Y960" s="68"/>
      <c r="Z960" s="68"/>
      <c r="AA960" s="68"/>
    </row>
    <row r="961" ht="26.25" customHeight="1">
      <c r="A961" s="68"/>
      <c r="B961" s="68"/>
      <c r="C961" s="68"/>
      <c r="D961" s="71"/>
      <c r="E961" s="71"/>
      <c r="F961" s="71"/>
      <c r="G961" s="65" t="str">
        <f t="shared" si="1"/>
        <v/>
      </c>
      <c r="H961" s="74"/>
      <c r="I961" s="67" t="str">
        <f>IFERROR(__xludf.DUMMYFUNCTION("if($H961="""", """", AVERAGE(split($H961, "";"")))"),"")</f>
        <v/>
      </c>
      <c r="J961" s="67" t="str">
        <f>IFERROR(__xludf.DUMMYFUNCTION("if(H961="""", """", SUM(split(H961, "";"")))"),"")</f>
        <v/>
      </c>
      <c r="K961" s="68"/>
      <c r="L961" s="68"/>
      <c r="M961" s="68"/>
      <c r="N961" s="68"/>
      <c r="O961" s="68"/>
      <c r="P961" s="68"/>
      <c r="Q961" s="68"/>
      <c r="R961" s="68"/>
      <c r="S961" s="68"/>
      <c r="T961" s="68"/>
      <c r="U961" s="68"/>
      <c r="V961" s="68"/>
      <c r="W961" s="68"/>
      <c r="X961" s="68"/>
      <c r="Y961" s="68"/>
      <c r="Z961" s="68"/>
      <c r="AA961" s="68"/>
    </row>
    <row r="962" ht="26.25" customHeight="1">
      <c r="A962" s="68"/>
      <c r="B962" s="68"/>
      <c r="C962" s="68"/>
      <c r="D962" s="71"/>
      <c r="E962" s="71"/>
      <c r="F962" s="71"/>
      <c r="G962" s="65" t="str">
        <f t="shared" si="1"/>
        <v/>
      </c>
      <c r="H962" s="74"/>
      <c r="I962" s="67" t="str">
        <f>IFERROR(__xludf.DUMMYFUNCTION("if($H962="""", """", AVERAGE(split($H962, "";"")))"),"")</f>
        <v/>
      </c>
      <c r="J962" s="67" t="str">
        <f>IFERROR(__xludf.DUMMYFUNCTION("if(H962="""", """", SUM(split(H962, "";"")))"),"")</f>
        <v/>
      </c>
      <c r="K962" s="68"/>
      <c r="L962" s="68"/>
      <c r="M962" s="68"/>
      <c r="N962" s="68"/>
      <c r="O962" s="68"/>
      <c r="P962" s="68"/>
      <c r="Q962" s="68"/>
      <c r="R962" s="68"/>
      <c r="S962" s="68"/>
      <c r="T962" s="68"/>
      <c r="U962" s="68"/>
      <c r="V962" s="68"/>
      <c r="W962" s="68"/>
      <c r="X962" s="68"/>
      <c r="Y962" s="68"/>
      <c r="Z962" s="68"/>
      <c r="AA962" s="68"/>
    </row>
    <row r="963" ht="26.25" customHeight="1">
      <c r="A963" s="68"/>
      <c r="B963" s="68"/>
      <c r="C963" s="68"/>
      <c r="D963" s="71"/>
      <c r="E963" s="71"/>
      <c r="F963" s="71"/>
      <c r="G963" s="65" t="str">
        <f t="shared" si="1"/>
        <v/>
      </c>
      <c r="H963" s="74"/>
      <c r="I963" s="67" t="str">
        <f>IFERROR(__xludf.DUMMYFUNCTION("if($H963="""", """", AVERAGE(split($H963, "";"")))"),"")</f>
        <v/>
      </c>
      <c r="J963" s="67" t="str">
        <f>IFERROR(__xludf.DUMMYFUNCTION("if(H963="""", """", SUM(split(H963, "";"")))"),"")</f>
        <v/>
      </c>
      <c r="K963" s="68"/>
      <c r="L963" s="68"/>
      <c r="M963" s="68"/>
      <c r="N963" s="68"/>
      <c r="O963" s="68"/>
      <c r="P963" s="68"/>
      <c r="Q963" s="68"/>
      <c r="R963" s="68"/>
      <c r="S963" s="68"/>
      <c r="T963" s="68"/>
      <c r="U963" s="68"/>
      <c r="V963" s="68"/>
      <c r="W963" s="68"/>
      <c r="X963" s="68"/>
      <c r="Y963" s="68"/>
      <c r="Z963" s="68"/>
      <c r="AA963" s="68"/>
    </row>
    <row r="964" ht="26.25" customHeight="1">
      <c r="A964" s="68"/>
      <c r="B964" s="68"/>
      <c r="C964" s="68"/>
      <c r="D964" s="71"/>
      <c r="E964" s="71"/>
      <c r="F964" s="71"/>
      <c r="G964" s="65" t="str">
        <f t="shared" si="1"/>
        <v/>
      </c>
      <c r="H964" s="74"/>
      <c r="I964" s="67" t="str">
        <f>IFERROR(__xludf.DUMMYFUNCTION("if($H964="""", """", AVERAGE(split($H964, "";"")))"),"")</f>
        <v/>
      </c>
      <c r="J964" s="67" t="str">
        <f>IFERROR(__xludf.DUMMYFUNCTION("if(H964="""", """", SUM(split(H964, "";"")))"),"")</f>
        <v/>
      </c>
      <c r="K964" s="68"/>
      <c r="L964" s="68"/>
      <c r="M964" s="68"/>
      <c r="N964" s="68"/>
      <c r="O964" s="68"/>
      <c r="P964" s="68"/>
      <c r="Q964" s="68"/>
      <c r="R964" s="68"/>
      <c r="S964" s="68"/>
      <c r="T964" s="68"/>
      <c r="U964" s="68"/>
      <c r="V964" s="68"/>
      <c r="W964" s="68"/>
      <c r="X964" s="68"/>
      <c r="Y964" s="68"/>
      <c r="Z964" s="68"/>
      <c r="AA964" s="68"/>
    </row>
    <row r="965" ht="26.25" customHeight="1">
      <c r="A965" s="68"/>
      <c r="B965" s="68"/>
      <c r="C965" s="68"/>
      <c r="D965" s="71"/>
      <c r="E965" s="71"/>
      <c r="F965" s="71"/>
      <c r="G965" s="65" t="str">
        <f t="shared" si="1"/>
        <v/>
      </c>
      <c r="H965" s="74"/>
      <c r="I965" s="67" t="str">
        <f>IFERROR(__xludf.DUMMYFUNCTION("if($H965="""", """", AVERAGE(split($H965, "";"")))"),"")</f>
        <v/>
      </c>
      <c r="J965" s="67" t="str">
        <f>IFERROR(__xludf.DUMMYFUNCTION("if(H965="""", """", SUM(split(H965, "";"")))"),"")</f>
        <v/>
      </c>
      <c r="K965" s="68"/>
      <c r="L965" s="68"/>
      <c r="M965" s="68"/>
      <c r="N965" s="68"/>
      <c r="O965" s="68"/>
      <c r="P965" s="68"/>
      <c r="Q965" s="68"/>
      <c r="R965" s="68"/>
      <c r="S965" s="68"/>
      <c r="T965" s="68"/>
      <c r="U965" s="68"/>
      <c r="V965" s="68"/>
      <c r="W965" s="68"/>
      <c r="X965" s="68"/>
      <c r="Y965" s="68"/>
      <c r="Z965" s="68"/>
      <c r="AA965" s="68"/>
    </row>
    <row r="966" ht="26.25" customHeight="1">
      <c r="A966" s="68"/>
      <c r="B966" s="68"/>
      <c r="C966" s="68"/>
      <c r="D966" s="71"/>
      <c r="E966" s="71"/>
      <c r="F966" s="71"/>
      <c r="G966" s="65" t="str">
        <f t="shared" si="1"/>
        <v/>
      </c>
      <c r="H966" s="74"/>
      <c r="I966" s="67" t="str">
        <f>IFERROR(__xludf.DUMMYFUNCTION("if($H966="""", """", AVERAGE(split($H966, "";"")))"),"")</f>
        <v/>
      </c>
      <c r="J966" s="67" t="str">
        <f>IFERROR(__xludf.DUMMYFUNCTION("if(H966="""", """", SUM(split(H966, "";"")))"),"")</f>
        <v/>
      </c>
      <c r="K966" s="68"/>
      <c r="L966" s="68"/>
      <c r="M966" s="68"/>
      <c r="N966" s="68"/>
      <c r="O966" s="68"/>
      <c r="P966" s="68"/>
      <c r="Q966" s="68"/>
      <c r="R966" s="68"/>
      <c r="S966" s="68"/>
      <c r="T966" s="68"/>
      <c r="U966" s="68"/>
      <c r="V966" s="68"/>
      <c r="W966" s="68"/>
      <c r="X966" s="68"/>
      <c r="Y966" s="68"/>
      <c r="Z966" s="68"/>
      <c r="AA966" s="68"/>
    </row>
    <row r="967" ht="26.25" customHeight="1">
      <c r="A967" s="68"/>
      <c r="B967" s="68"/>
      <c r="C967" s="68"/>
      <c r="D967" s="71"/>
      <c r="E967" s="71"/>
      <c r="F967" s="71"/>
      <c r="G967" s="65" t="str">
        <f t="shared" si="1"/>
        <v/>
      </c>
      <c r="H967" s="74"/>
      <c r="I967" s="67" t="str">
        <f>IFERROR(__xludf.DUMMYFUNCTION("if($H967="""", """", AVERAGE(split($H967, "";"")))"),"")</f>
        <v/>
      </c>
      <c r="J967" s="67" t="str">
        <f>IFERROR(__xludf.DUMMYFUNCTION("if(H967="""", """", SUM(split(H967, "";"")))"),"")</f>
        <v/>
      </c>
      <c r="K967" s="68"/>
      <c r="L967" s="68"/>
      <c r="M967" s="68"/>
      <c r="N967" s="68"/>
      <c r="O967" s="68"/>
      <c r="P967" s="68"/>
      <c r="Q967" s="68"/>
      <c r="R967" s="68"/>
      <c r="S967" s="68"/>
      <c r="T967" s="68"/>
      <c r="U967" s="68"/>
      <c r="V967" s="68"/>
      <c r="W967" s="68"/>
      <c r="X967" s="68"/>
      <c r="Y967" s="68"/>
      <c r="Z967" s="68"/>
      <c r="AA967" s="68"/>
    </row>
    <row r="968" ht="26.25" customHeight="1">
      <c r="A968" s="68"/>
      <c r="B968" s="68"/>
      <c r="C968" s="68"/>
      <c r="D968" s="71"/>
      <c r="E968" s="71"/>
      <c r="F968" s="71"/>
      <c r="G968" s="65" t="str">
        <f t="shared" si="1"/>
        <v/>
      </c>
      <c r="H968" s="74"/>
      <c r="I968" s="67" t="str">
        <f>IFERROR(__xludf.DUMMYFUNCTION("if($H968="""", """", AVERAGE(split($H968, "";"")))"),"")</f>
        <v/>
      </c>
      <c r="J968" s="67" t="str">
        <f>IFERROR(__xludf.DUMMYFUNCTION("if(H968="""", """", SUM(split(H968, "";"")))"),"")</f>
        <v/>
      </c>
      <c r="K968" s="68"/>
      <c r="L968" s="68"/>
      <c r="M968" s="68"/>
      <c r="N968" s="68"/>
      <c r="O968" s="68"/>
      <c r="P968" s="68"/>
      <c r="Q968" s="68"/>
      <c r="R968" s="68"/>
      <c r="S968" s="68"/>
      <c r="T968" s="68"/>
      <c r="U968" s="68"/>
      <c r="V968" s="68"/>
      <c r="W968" s="68"/>
      <c r="X968" s="68"/>
      <c r="Y968" s="68"/>
      <c r="Z968" s="68"/>
      <c r="AA968" s="68"/>
    </row>
    <row r="969" ht="26.25" customHeight="1">
      <c r="A969" s="68"/>
      <c r="B969" s="68"/>
      <c r="C969" s="68"/>
      <c r="D969" s="71"/>
      <c r="E969" s="71"/>
      <c r="F969" s="71"/>
      <c r="G969" s="65" t="str">
        <f t="shared" si="1"/>
        <v/>
      </c>
      <c r="H969" s="74"/>
      <c r="I969" s="67" t="str">
        <f>IFERROR(__xludf.DUMMYFUNCTION("if($H969="""", """", AVERAGE(split($H969, "";"")))"),"")</f>
        <v/>
      </c>
      <c r="J969" s="67" t="str">
        <f>IFERROR(__xludf.DUMMYFUNCTION("if(H969="""", """", SUM(split(H969, "";"")))"),"")</f>
        <v/>
      </c>
      <c r="K969" s="68"/>
      <c r="L969" s="68"/>
      <c r="M969" s="68"/>
      <c r="N969" s="68"/>
      <c r="O969" s="68"/>
      <c r="P969" s="68"/>
      <c r="Q969" s="68"/>
      <c r="R969" s="68"/>
      <c r="S969" s="68"/>
      <c r="T969" s="68"/>
      <c r="U969" s="68"/>
      <c r="V969" s="68"/>
      <c r="W969" s="68"/>
      <c r="X969" s="68"/>
      <c r="Y969" s="68"/>
      <c r="Z969" s="68"/>
      <c r="AA969" s="68"/>
    </row>
    <row r="970" ht="26.25" customHeight="1">
      <c r="A970" s="68"/>
      <c r="B970" s="68"/>
      <c r="C970" s="68"/>
      <c r="D970" s="71"/>
      <c r="E970" s="71"/>
      <c r="F970" s="71"/>
      <c r="G970" s="65" t="str">
        <f t="shared" si="1"/>
        <v/>
      </c>
      <c r="H970" s="74"/>
      <c r="I970" s="67" t="str">
        <f>IFERROR(__xludf.DUMMYFUNCTION("if($H970="""", """", AVERAGE(split($H970, "";"")))"),"")</f>
        <v/>
      </c>
      <c r="J970" s="67" t="str">
        <f>IFERROR(__xludf.DUMMYFUNCTION("if(H970="""", """", SUM(split(H970, "";"")))"),"")</f>
        <v/>
      </c>
      <c r="K970" s="68"/>
      <c r="L970" s="68"/>
      <c r="M970" s="68"/>
      <c r="N970" s="68"/>
      <c r="O970" s="68"/>
      <c r="P970" s="68"/>
      <c r="Q970" s="68"/>
      <c r="R970" s="68"/>
      <c r="S970" s="68"/>
      <c r="T970" s="68"/>
      <c r="U970" s="68"/>
      <c r="V970" s="68"/>
      <c r="W970" s="68"/>
      <c r="X970" s="68"/>
      <c r="Y970" s="68"/>
      <c r="Z970" s="68"/>
      <c r="AA970" s="68"/>
    </row>
    <row r="971" ht="26.25" customHeight="1">
      <c r="A971" s="68"/>
      <c r="B971" s="68"/>
      <c r="C971" s="68"/>
      <c r="D971" s="71"/>
      <c r="E971" s="71"/>
      <c r="F971" s="71"/>
      <c r="G971" s="65" t="str">
        <f t="shared" si="1"/>
        <v/>
      </c>
      <c r="H971" s="74"/>
      <c r="I971" s="67" t="str">
        <f>IFERROR(__xludf.DUMMYFUNCTION("if($H971="""", """", AVERAGE(split($H971, "";"")))"),"")</f>
        <v/>
      </c>
      <c r="J971" s="67" t="str">
        <f>IFERROR(__xludf.DUMMYFUNCTION("if(H971="""", """", SUM(split(H971, "";"")))"),"")</f>
        <v/>
      </c>
      <c r="K971" s="68"/>
      <c r="L971" s="68"/>
      <c r="M971" s="68"/>
      <c r="N971" s="68"/>
      <c r="O971" s="68"/>
      <c r="P971" s="68"/>
      <c r="Q971" s="68"/>
      <c r="R971" s="68"/>
      <c r="S971" s="68"/>
      <c r="T971" s="68"/>
      <c r="U971" s="68"/>
      <c r="V971" s="68"/>
      <c r="W971" s="68"/>
      <c r="X971" s="68"/>
      <c r="Y971" s="68"/>
      <c r="Z971" s="68"/>
      <c r="AA971" s="68"/>
    </row>
    <row r="972" ht="26.25" customHeight="1">
      <c r="A972" s="68"/>
      <c r="B972" s="68"/>
      <c r="C972" s="68"/>
      <c r="D972" s="71"/>
      <c r="E972" s="71"/>
      <c r="F972" s="71"/>
      <c r="G972" s="65" t="str">
        <f t="shared" si="1"/>
        <v/>
      </c>
      <c r="H972" s="74"/>
      <c r="I972" s="67" t="str">
        <f>IFERROR(__xludf.DUMMYFUNCTION("if($H972="""", """", AVERAGE(split($H972, "";"")))"),"")</f>
        <v/>
      </c>
      <c r="J972" s="67" t="str">
        <f>IFERROR(__xludf.DUMMYFUNCTION("if(H972="""", """", SUM(split(H972, "";"")))"),"")</f>
        <v/>
      </c>
      <c r="K972" s="68"/>
      <c r="L972" s="68"/>
      <c r="M972" s="68"/>
      <c r="N972" s="68"/>
      <c r="O972" s="68"/>
      <c r="P972" s="68"/>
      <c r="Q972" s="68"/>
      <c r="R972" s="68"/>
      <c r="S972" s="68"/>
      <c r="T972" s="68"/>
      <c r="U972" s="68"/>
      <c r="V972" s="68"/>
      <c r="W972" s="68"/>
      <c r="X972" s="68"/>
      <c r="Y972" s="68"/>
      <c r="Z972" s="68"/>
      <c r="AA972" s="68"/>
    </row>
    <row r="973" ht="26.25" customHeight="1">
      <c r="A973" s="68"/>
      <c r="B973" s="68"/>
      <c r="C973" s="68"/>
      <c r="D973" s="71"/>
      <c r="E973" s="71"/>
      <c r="F973" s="71"/>
      <c r="G973" s="65" t="str">
        <f t="shared" si="1"/>
        <v/>
      </c>
      <c r="H973" s="74"/>
      <c r="I973" s="67" t="str">
        <f>IFERROR(__xludf.DUMMYFUNCTION("if($H973="""", """", AVERAGE(split($H973, "";"")))"),"")</f>
        <v/>
      </c>
      <c r="J973" s="67" t="str">
        <f>IFERROR(__xludf.DUMMYFUNCTION("if(H973="""", """", SUM(split(H973, "";"")))"),"")</f>
        <v/>
      </c>
      <c r="K973" s="68"/>
      <c r="L973" s="68"/>
      <c r="M973" s="68"/>
      <c r="N973" s="68"/>
      <c r="O973" s="68"/>
      <c r="P973" s="68"/>
      <c r="Q973" s="68"/>
      <c r="R973" s="68"/>
      <c r="S973" s="68"/>
      <c r="T973" s="68"/>
      <c r="U973" s="68"/>
      <c r="V973" s="68"/>
      <c r="W973" s="68"/>
      <c r="X973" s="68"/>
      <c r="Y973" s="68"/>
      <c r="Z973" s="68"/>
      <c r="AA973" s="68"/>
    </row>
    <row r="974" ht="26.25" customHeight="1">
      <c r="A974" s="68"/>
      <c r="B974" s="68"/>
      <c r="C974" s="68"/>
      <c r="D974" s="71"/>
      <c r="E974" s="71"/>
      <c r="F974" s="71"/>
      <c r="G974" s="65" t="str">
        <f t="shared" si="1"/>
        <v/>
      </c>
      <c r="H974" s="74"/>
      <c r="I974" s="67" t="str">
        <f>IFERROR(__xludf.DUMMYFUNCTION("if($H974="""", """", AVERAGE(split($H974, "";"")))"),"")</f>
        <v/>
      </c>
      <c r="J974" s="67" t="str">
        <f>IFERROR(__xludf.DUMMYFUNCTION("if(H974="""", """", SUM(split(H974, "";"")))"),"")</f>
        <v/>
      </c>
      <c r="K974" s="68"/>
      <c r="L974" s="68"/>
      <c r="M974" s="68"/>
      <c r="N974" s="68"/>
      <c r="O974" s="68"/>
      <c r="P974" s="68"/>
      <c r="Q974" s="68"/>
      <c r="R974" s="68"/>
      <c r="S974" s="68"/>
      <c r="T974" s="68"/>
      <c r="U974" s="68"/>
      <c r="V974" s="68"/>
      <c r="W974" s="68"/>
      <c r="X974" s="68"/>
      <c r="Y974" s="68"/>
      <c r="Z974" s="68"/>
      <c r="AA974" s="68"/>
    </row>
    <row r="975" ht="26.25" customHeight="1">
      <c r="A975" s="68"/>
      <c r="B975" s="68"/>
      <c r="C975" s="68"/>
      <c r="D975" s="71"/>
      <c r="E975" s="71"/>
      <c r="F975" s="71"/>
      <c r="G975" s="65" t="str">
        <f t="shared" si="1"/>
        <v/>
      </c>
      <c r="H975" s="74"/>
      <c r="I975" s="67" t="str">
        <f>IFERROR(__xludf.DUMMYFUNCTION("if($H975="""", """", AVERAGE(split($H975, "";"")))"),"")</f>
        <v/>
      </c>
      <c r="J975" s="67" t="str">
        <f>IFERROR(__xludf.DUMMYFUNCTION("if(H975="""", """", SUM(split(H975, "";"")))"),"")</f>
        <v/>
      </c>
      <c r="K975" s="68"/>
      <c r="L975" s="68"/>
      <c r="M975" s="68"/>
      <c r="N975" s="68"/>
      <c r="O975" s="68"/>
      <c r="P975" s="68"/>
      <c r="Q975" s="68"/>
      <c r="R975" s="68"/>
      <c r="S975" s="68"/>
      <c r="T975" s="68"/>
      <c r="U975" s="68"/>
      <c r="V975" s="68"/>
      <c r="W975" s="68"/>
      <c r="X975" s="68"/>
      <c r="Y975" s="68"/>
      <c r="Z975" s="68"/>
      <c r="AA975" s="68"/>
    </row>
    <row r="976" ht="26.25" customHeight="1">
      <c r="A976" s="68"/>
      <c r="B976" s="68"/>
      <c r="C976" s="68"/>
      <c r="D976" s="71"/>
      <c r="E976" s="71"/>
      <c r="F976" s="71"/>
      <c r="G976" s="65" t="str">
        <f t="shared" si="1"/>
        <v/>
      </c>
      <c r="H976" s="74"/>
      <c r="I976" s="67" t="str">
        <f>IFERROR(__xludf.DUMMYFUNCTION("if($H976="""", """", AVERAGE(split($H976, "";"")))"),"")</f>
        <v/>
      </c>
      <c r="J976" s="67" t="str">
        <f>IFERROR(__xludf.DUMMYFUNCTION("if(H976="""", """", SUM(split(H976, "";"")))"),"")</f>
        <v/>
      </c>
      <c r="K976" s="68"/>
      <c r="L976" s="68"/>
      <c r="M976" s="68"/>
      <c r="N976" s="68"/>
      <c r="O976" s="68"/>
      <c r="P976" s="68"/>
      <c r="Q976" s="68"/>
      <c r="R976" s="68"/>
      <c r="S976" s="68"/>
      <c r="T976" s="68"/>
      <c r="U976" s="68"/>
      <c r="V976" s="68"/>
      <c r="W976" s="68"/>
      <c r="X976" s="68"/>
      <c r="Y976" s="68"/>
      <c r="Z976" s="68"/>
      <c r="AA976" s="68"/>
    </row>
    <row r="977" ht="26.25" customHeight="1">
      <c r="A977" s="68"/>
      <c r="B977" s="68"/>
      <c r="C977" s="68"/>
      <c r="D977" s="71"/>
      <c r="E977" s="71"/>
      <c r="F977" s="71"/>
      <c r="G977" s="65" t="str">
        <f t="shared" si="1"/>
        <v/>
      </c>
      <c r="H977" s="74"/>
      <c r="I977" s="67" t="str">
        <f>IFERROR(__xludf.DUMMYFUNCTION("if($H977="""", """", AVERAGE(split($H977, "";"")))"),"")</f>
        <v/>
      </c>
      <c r="J977" s="67" t="str">
        <f>IFERROR(__xludf.DUMMYFUNCTION("if(H977="""", """", SUM(split(H977, "";"")))"),"")</f>
        <v/>
      </c>
      <c r="K977" s="68"/>
      <c r="L977" s="68"/>
      <c r="M977" s="68"/>
      <c r="N977" s="68"/>
      <c r="O977" s="68"/>
      <c r="P977" s="68"/>
      <c r="Q977" s="68"/>
      <c r="R977" s="68"/>
      <c r="S977" s="68"/>
      <c r="T977" s="68"/>
      <c r="U977" s="68"/>
      <c r="V977" s="68"/>
      <c r="W977" s="68"/>
      <c r="X977" s="68"/>
      <c r="Y977" s="68"/>
      <c r="Z977" s="68"/>
      <c r="AA977" s="68"/>
    </row>
    <row r="978" ht="26.25" customHeight="1">
      <c r="A978" s="68"/>
      <c r="B978" s="68"/>
      <c r="C978" s="68"/>
      <c r="D978" s="71"/>
      <c r="E978" s="71"/>
      <c r="F978" s="71"/>
      <c r="G978" s="65" t="str">
        <f t="shared" si="1"/>
        <v/>
      </c>
      <c r="H978" s="74"/>
      <c r="I978" s="67" t="str">
        <f>IFERROR(__xludf.DUMMYFUNCTION("if($H978="""", """", AVERAGE(split($H978, "";"")))"),"")</f>
        <v/>
      </c>
      <c r="J978" s="67" t="str">
        <f>IFERROR(__xludf.DUMMYFUNCTION("if(H978="""", """", SUM(split(H978, "";"")))"),"")</f>
        <v/>
      </c>
      <c r="K978" s="68"/>
      <c r="L978" s="68"/>
      <c r="M978" s="68"/>
      <c r="N978" s="68"/>
      <c r="O978" s="68"/>
      <c r="P978" s="68"/>
      <c r="Q978" s="68"/>
      <c r="R978" s="68"/>
      <c r="S978" s="68"/>
      <c r="T978" s="68"/>
      <c r="U978" s="68"/>
      <c r="V978" s="68"/>
      <c r="W978" s="68"/>
      <c r="X978" s="68"/>
      <c r="Y978" s="68"/>
      <c r="Z978" s="68"/>
      <c r="AA978" s="68"/>
    </row>
    <row r="979" ht="26.25" customHeight="1">
      <c r="A979" s="68"/>
      <c r="B979" s="68"/>
      <c r="C979" s="68"/>
      <c r="D979" s="71"/>
      <c r="E979" s="71"/>
      <c r="F979" s="71"/>
      <c r="G979" s="65" t="str">
        <f t="shared" si="1"/>
        <v/>
      </c>
      <c r="H979" s="74"/>
      <c r="I979" s="67" t="str">
        <f>IFERROR(__xludf.DUMMYFUNCTION("if($H979="""", """", AVERAGE(split($H979, "";"")))"),"")</f>
        <v/>
      </c>
      <c r="J979" s="67" t="str">
        <f>IFERROR(__xludf.DUMMYFUNCTION("if(H979="""", """", SUM(split(H979, "";"")))"),"")</f>
        <v/>
      </c>
      <c r="K979" s="68"/>
      <c r="L979" s="68"/>
      <c r="M979" s="68"/>
      <c r="N979" s="68"/>
      <c r="O979" s="68"/>
      <c r="P979" s="68"/>
      <c r="Q979" s="68"/>
      <c r="R979" s="68"/>
      <c r="S979" s="68"/>
      <c r="T979" s="68"/>
      <c r="U979" s="68"/>
      <c r="V979" s="68"/>
      <c r="W979" s="68"/>
      <c r="X979" s="68"/>
      <c r="Y979" s="68"/>
      <c r="Z979" s="68"/>
      <c r="AA979" s="68"/>
    </row>
    <row r="980" ht="26.25" customHeight="1">
      <c r="A980" s="68"/>
      <c r="B980" s="68"/>
      <c r="C980" s="68"/>
      <c r="D980" s="71"/>
      <c r="E980" s="71"/>
      <c r="F980" s="71"/>
      <c r="G980" s="65" t="str">
        <f t="shared" si="1"/>
        <v/>
      </c>
      <c r="H980" s="74"/>
      <c r="I980" s="67" t="str">
        <f>IFERROR(__xludf.DUMMYFUNCTION("if($H980="""", """", AVERAGE(split($H980, "";"")))"),"")</f>
        <v/>
      </c>
      <c r="J980" s="67" t="str">
        <f>IFERROR(__xludf.DUMMYFUNCTION("if(H980="""", """", SUM(split(H980, "";"")))"),"")</f>
        <v/>
      </c>
      <c r="K980" s="68"/>
      <c r="L980" s="68"/>
      <c r="M980" s="68"/>
      <c r="N980" s="68"/>
      <c r="O980" s="68"/>
      <c r="P980" s="68"/>
      <c r="Q980" s="68"/>
      <c r="R980" s="68"/>
      <c r="S980" s="68"/>
      <c r="T980" s="68"/>
      <c r="U980" s="68"/>
      <c r="V980" s="68"/>
      <c r="W980" s="68"/>
      <c r="X980" s="68"/>
      <c r="Y980" s="68"/>
      <c r="Z980" s="68"/>
      <c r="AA980" s="68"/>
    </row>
    <row r="981" ht="26.25" customHeight="1">
      <c r="A981" s="68"/>
      <c r="B981" s="68"/>
      <c r="C981" s="68"/>
      <c r="D981" s="71"/>
      <c r="E981" s="71"/>
      <c r="F981" s="71"/>
      <c r="G981" s="65" t="str">
        <f t="shared" si="1"/>
        <v/>
      </c>
      <c r="H981" s="74"/>
      <c r="I981" s="67" t="str">
        <f>IFERROR(__xludf.DUMMYFUNCTION("if($H981="""", """", AVERAGE(split($H981, "";"")))"),"")</f>
        <v/>
      </c>
      <c r="J981" s="67" t="str">
        <f>IFERROR(__xludf.DUMMYFUNCTION("if(H981="""", """", SUM(split(H981, "";"")))"),"")</f>
        <v/>
      </c>
      <c r="K981" s="68"/>
      <c r="L981" s="68"/>
      <c r="M981" s="68"/>
      <c r="N981" s="68"/>
      <c r="O981" s="68"/>
      <c r="P981" s="68"/>
      <c r="Q981" s="68"/>
      <c r="R981" s="68"/>
      <c r="S981" s="68"/>
      <c r="T981" s="68"/>
      <c r="U981" s="68"/>
      <c r="V981" s="68"/>
      <c r="W981" s="68"/>
      <c r="X981" s="68"/>
      <c r="Y981" s="68"/>
      <c r="Z981" s="68"/>
      <c r="AA981" s="68"/>
    </row>
    <row r="982" ht="26.25" customHeight="1">
      <c r="A982" s="68"/>
      <c r="B982" s="68"/>
      <c r="C982" s="68"/>
      <c r="D982" s="71"/>
      <c r="E982" s="71"/>
      <c r="F982" s="71"/>
      <c r="G982" s="65" t="str">
        <f t="shared" si="1"/>
        <v/>
      </c>
      <c r="H982" s="74"/>
      <c r="I982" s="67" t="str">
        <f>IFERROR(__xludf.DUMMYFUNCTION("if($H982="""", """", AVERAGE(split($H982, "";"")))"),"")</f>
        <v/>
      </c>
      <c r="J982" s="67" t="str">
        <f>IFERROR(__xludf.DUMMYFUNCTION("if(H982="""", """", SUM(split(H982, "";"")))"),"")</f>
        <v/>
      </c>
      <c r="K982" s="68"/>
      <c r="L982" s="68"/>
      <c r="M982" s="68"/>
      <c r="N982" s="68"/>
      <c r="O982" s="68"/>
      <c r="P982" s="68"/>
      <c r="Q982" s="68"/>
      <c r="R982" s="68"/>
      <c r="S982" s="68"/>
      <c r="T982" s="68"/>
      <c r="U982" s="68"/>
      <c r="V982" s="68"/>
      <c r="W982" s="68"/>
      <c r="X982" s="68"/>
      <c r="Y982" s="68"/>
      <c r="Z982" s="68"/>
      <c r="AA982" s="68"/>
    </row>
    <row r="983" ht="26.25" customHeight="1">
      <c r="A983" s="68"/>
      <c r="B983" s="68"/>
      <c r="C983" s="68"/>
      <c r="D983" s="71"/>
      <c r="E983" s="71"/>
      <c r="F983" s="71"/>
      <c r="G983" s="65" t="str">
        <f t="shared" si="1"/>
        <v/>
      </c>
      <c r="H983" s="74"/>
      <c r="I983" s="67" t="str">
        <f>IFERROR(__xludf.DUMMYFUNCTION("if($H983="""", """", AVERAGE(split($H983, "";"")))"),"")</f>
        <v/>
      </c>
      <c r="J983" s="67" t="str">
        <f>IFERROR(__xludf.DUMMYFUNCTION("if(H983="""", """", SUM(split(H983, "";"")))"),"")</f>
        <v/>
      </c>
      <c r="K983" s="68"/>
      <c r="L983" s="68"/>
      <c r="M983" s="68"/>
      <c r="N983" s="68"/>
      <c r="O983" s="68"/>
      <c r="P983" s="68"/>
      <c r="Q983" s="68"/>
      <c r="R983" s="68"/>
      <c r="S983" s="68"/>
      <c r="T983" s="68"/>
      <c r="U983" s="68"/>
      <c r="V983" s="68"/>
      <c r="W983" s="68"/>
      <c r="X983" s="68"/>
      <c r="Y983" s="68"/>
      <c r="Z983" s="68"/>
      <c r="AA983" s="68"/>
    </row>
    <row r="984" ht="26.25" customHeight="1">
      <c r="A984" s="68"/>
      <c r="B984" s="68"/>
      <c r="C984" s="68"/>
      <c r="D984" s="71"/>
      <c r="E984" s="71"/>
      <c r="F984" s="71"/>
      <c r="G984" s="65" t="str">
        <f t="shared" si="1"/>
        <v/>
      </c>
      <c r="H984" s="74"/>
      <c r="I984" s="67" t="str">
        <f>IFERROR(__xludf.DUMMYFUNCTION("if($H984="""", """", AVERAGE(split($H984, "";"")))"),"")</f>
        <v/>
      </c>
      <c r="J984" s="67" t="str">
        <f>IFERROR(__xludf.DUMMYFUNCTION("if(H984="""", """", SUM(split(H984, "";"")))"),"")</f>
        <v/>
      </c>
      <c r="K984" s="68"/>
      <c r="L984" s="68"/>
      <c r="M984" s="68"/>
      <c r="N984" s="68"/>
      <c r="O984" s="68"/>
      <c r="P984" s="68"/>
      <c r="Q984" s="68"/>
      <c r="R984" s="68"/>
      <c r="S984" s="68"/>
      <c r="T984" s="68"/>
      <c r="U984" s="68"/>
      <c r="V984" s="68"/>
      <c r="W984" s="68"/>
      <c r="X984" s="68"/>
      <c r="Y984" s="68"/>
      <c r="Z984" s="68"/>
      <c r="AA984" s="68"/>
    </row>
    <row r="985" ht="26.25" customHeight="1">
      <c r="A985" s="68"/>
      <c r="B985" s="68"/>
      <c r="C985" s="68"/>
      <c r="D985" s="71"/>
      <c r="E985" s="71"/>
      <c r="F985" s="71"/>
      <c r="G985" s="65" t="str">
        <f t="shared" si="1"/>
        <v/>
      </c>
      <c r="H985" s="74"/>
      <c r="I985" s="67" t="str">
        <f>IFERROR(__xludf.DUMMYFUNCTION("if($H985="""", """", AVERAGE(split($H985, "";"")))"),"")</f>
        <v/>
      </c>
      <c r="J985" s="67" t="str">
        <f>IFERROR(__xludf.DUMMYFUNCTION("if(H985="""", """", SUM(split(H985, "";"")))"),"")</f>
        <v/>
      </c>
      <c r="K985" s="68"/>
      <c r="L985" s="68"/>
      <c r="M985" s="68"/>
      <c r="N985" s="68"/>
      <c r="O985" s="68"/>
      <c r="P985" s="68"/>
      <c r="Q985" s="68"/>
      <c r="R985" s="68"/>
      <c r="S985" s="68"/>
      <c r="T985" s="68"/>
      <c r="U985" s="68"/>
      <c r="V985" s="68"/>
      <c r="W985" s="68"/>
      <c r="X985" s="68"/>
      <c r="Y985" s="68"/>
      <c r="Z985" s="68"/>
      <c r="AA985" s="68"/>
    </row>
    <row r="986" ht="26.25" customHeight="1">
      <c r="A986" s="68"/>
      <c r="B986" s="68"/>
      <c r="C986" s="68"/>
      <c r="D986" s="71"/>
      <c r="E986" s="71"/>
      <c r="F986" s="71"/>
      <c r="G986" s="65" t="str">
        <f t="shared" si="1"/>
        <v/>
      </c>
      <c r="H986" s="74"/>
      <c r="I986" s="67" t="str">
        <f>IFERROR(__xludf.DUMMYFUNCTION("if($H986="""", """", AVERAGE(split($H986, "";"")))"),"")</f>
        <v/>
      </c>
      <c r="J986" s="67" t="str">
        <f>IFERROR(__xludf.DUMMYFUNCTION("if(H986="""", """", SUM(split(H986, "";"")))"),"")</f>
        <v/>
      </c>
      <c r="K986" s="68"/>
      <c r="L986" s="68"/>
      <c r="M986" s="68"/>
      <c r="N986" s="68"/>
      <c r="O986" s="68"/>
      <c r="P986" s="68"/>
      <c r="Q986" s="68"/>
      <c r="R986" s="68"/>
      <c r="S986" s="68"/>
      <c r="T986" s="68"/>
      <c r="U986" s="68"/>
      <c r="V986" s="68"/>
      <c r="W986" s="68"/>
      <c r="X986" s="68"/>
      <c r="Y986" s="68"/>
      <c r="Z986" s="68"/>
      <c r="AA986" s="68"/>
    </row>
    <row r="987" ht="26.25" customHeight="1">
      <c r="A987" s="68"/>
      <c r="B987" s="68"/>
      <c r="C987" s="68"/>
      <c r="D987" s="71"/>
      <c r="E987" s="71"/>
      <c r="F987" s="71"/>
      <c r="G987" s="65" t="str">
        <f t="shared" si="1"/>
        <v/>
      </c>
      <c r="H987" s="74"/>
      <c r="I987" s="67" t="str">
        <f>IFERROR(__xludf.DUMMYFUNCTION("if($H987="""", """", AVERAGE(split($H987, "";"")))"),"")</f>
        <v/>
      </c>
      <c r="J987" s="67" t="str">
        <f>IFERROR(__xludf.DUMMYFUNCTION("if(H987="""", """", SUM(split(H987, "";"")))"),"")</f>
        <v/>
      </c>
      <c r="K987" s="68"/>
      <c r="L987" s="68"/>
      <c r="M987" s="68"/>
      <c r="N987" s="68"/>
      <c r="O987" s="68"/>
      <c r="P987" s="68"/>
      <c r="Q987" s="68"/>
      <c r="R987" s="68"/>
      <c r="S987" s="68"/>
      <c r="T987" s="68"/>
      <c r="U987" s="68"/>
      <c r="V987" s="68"/>
      <c r="W987" s="68"/>
      <c r="X987" s="68"/>
      <c r="Y987" s="68"/>
      <c r="Z987" s="68"/>
      <c r="AA987" s="68"/>
    </row>
    <row r="988" ht="26.25" customHeight="1">
      <c r="A988" s="68"/>
      <c r="B988" s="68"/>
      <c r="C988" s="68"/>
      <c r="D988" s="71"/>
      <c r="E988" s="71"/>
      <c r="F988" s="71"/>
      <c r="G988" s="65" t="str">
        <f t="shared" si="1"/>
        <v/>
      </c>
      <c r="H988" s="74"/>
      <c r="I988" s="67" t="str">
        <f>IFERROR(__xludf.DUMMYFUNCTION("if($H988="""", """", AVERAGE(split($H988, "";"")))"),"")</f>
        <v/>
      </c>
      <c r="J988" s="67" t="str">
        <f>IFERROR(__xludf.DUMMYFUNCTION("if(H988="""", """", SUM(split(H988, "";"")))"),"")</f>
        <v/>
      </c>
      <c r="K988" s="68"/>
      <c r="L988" s="68"/>
      <c r="M988" s="68"/>
      <c r="N988" s="68"/>
      <c r="O988" s="68"/>
      <c r="P988" s="68"/>
      <c r="Q988" s="68"/>
      <c r="R988" s="68"/>
      <c r="S988" s="68"/>
      <c r="T988" s="68"/>
      <c r="U988" s="68"/>
      <c r="V988" s="68"/>
      <c r="W988" s="68"/>
      <c r="X988" s="68"/>
      <c r="Y988" s="68"/>
      <c r="Z988" s="68"/>
      <c r="AA988" s="68"/>
    </row>
    <row r="989" ht="26.25" customHeight="1">
      <c r="A989" s="68"/>
      <c r="B989" s="68"/>
      <c r="C989" s="68"/>
      <c r="D989" s="71"/>
      <c r="E989" s="71"/>
      <c r="F989" s="71"/>
      <c r="G989" s="65" t="str">
        <f t="shared" si="1"/>
        <v/>
      </c>
      <c r="H989" s="74"/>
      <c r="I989" s="67" t="str">
        <f>IFERROR(__xludf.DUMMYFUNCTION("if($H989="""", """", AVERAGE(split($H989, "";"")))"),"")</f>
        <v/>
      </c>
      <c r="J989" s="67" t="str">
        <f>IFERROR(__xludf.DUMMYFUNCTION("if(H989="""", """", SUM(split(H989, "";"")))"),"")</f>
        <v/>
      </c>
      <c r="K989" s="68"/>
      <c r="L989" s="68"/>
      <c r="M989" s="68"/>
      <c r="N989" s="68"/>
      <c r="O989" s="68"/>
      <c r="P989" s="68"/>
      <c r="Q989" s="68"/>
      <c r="R989" s="68"/>
      <c r="S989" s="68"/>
      <c r="T989" s="68"/>
      <c r="U989" s="68"/>
      <c r="V989" s="68"/>
      <c r="W989" s="68"/>
      <c r="X989" s="68"/>
      <c r="Y989" s="68"/>
      <c r="Z989" s="68"/>
      <c r="AA989" s="68"/>
    </row>
    <row r="990" ht="26.25" customHeight="1">
      <c r="A990" s="68"/>
      <c r="B990" s="68"/>
      <c r="C990" s="68"/>
      <c r="D990" s="71"/>
      <c r="E990" s="71"/>
      <c r="F990" s="71"/>
      <c r="G990" s="65" t="str">
        <f t="shared" si="1"/>
        <v/>
      </c>
      <c r="H990" s="74"/>
      <c r="I990" s="67" t="str">
        <f>IFERROR(__xludf.DUMMYFUNCTION("if($H990="""", """", AVERAGE(split($H990, "";"")))"),"")</f>
        <v/>
      </c>
      <c r="J990" s="67" t="str">
        <f>IFERROR(__xludf.DUMMYFUNCTION("if(H990="""", """", SUM(split(H990, "";"")))"),"")</f>
        <v/>
      </c>
      <c r="K990" s="68"/>
      <c r="L990" s="68"/>
      <c r="M990" s="68"/>
      <c r="N990" s="68"/>
      <c r="O990" s="68"/>
      <c r="P990" s="68"/>
      <c r="Q990" s="68"/>
      <c r="R990" s="68"/>
      <c r="S990" s="68"/>
      <c r="T990" s="68"/>
      <c r="U990" s="68"/>
      <c r="V990" s="68"/>
      <c r="W990" s="68"/>
      <c r="X990" s="68"/>
      <c r="Y990" s="68"/>
      <c r="Z990" s="68"/>
      <c r="AA990" s="68"/>
    </row>
    <row r="991" ht="26.25" customHeight="1">
      <c r="A991" s="68"/>
      <c r="B991" s="68"/>
      <c r="C991" s="68"/>
      <c r="D991" s="71"/>
      <c r="E991" s="71"/>
      <c r="F991" s="71"/>
      <c r="G991" s="65" t="str">
        <f t="shared" si="1"/>
        <v/>
      </c>
      <c r="H991" s="74"/>
      <c r="I991" s="67" t="str">
        <f>IFERROR(__xludf.DUMMYFUNCTION("if($H991="""", """", AVERAGE(split($H991, "";"")))"),"")</f>
        <v/>
      </c>
      <c r="J991" s="67" t="str">
        <f>IFERROR(__xludf.DUMMYFUNCTION("if(H991="""", """", SUM(split(H991, "";"")))"),"")</f>
        <v/>
      </c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  <c r="AA991" s="68"/>
    </row>
    <row r="992" ht="26.25" customHeight="1">
      <c r="A992" s="68"/>
      <c r="B992" s="68"/>
      <c r="C992" s="68"/>
      <c r="D992" s="71"/>
      <c r="E992" s="71"/>
      <c r="F992" s="71"/>
      <c r="G992" s="65" t="str">
        <f t="shared" si="1"/>
        <v/>
      </c>
      <c r="H992" s="74"/>
      <c r="I992" s="67" t="str">
        <f>IFERROR(__xludf.DUMMYFUNCTION("if($H992="""", """", AVERAGE(split($H992, "";"")))"),"")</f>
        <v/>
      </c>
      <c r="J992" s="67" t="str">
        <f>IFERROR(__xludf.DUMMYFUNCTION("if(H992="""", """", SUM(split(H992, "";"")))"),"")</f>
        <v/>
      </c>
      <c r="K992" s="68"/>
      <c r="L992" s="68"/>
      <c r="M992" s="68"/>
      <c r="N992" s="68"/>
      <c r="O992" s="68"/>
      <c r="P992" s="68"/>
      <c r="Q992" s="68"/>
      <c r="R992" s="68"/>
      <c r="S992" s="68"/>
      <c r="T992" s="68"/>
      <c r="U992" s="68"/>
      <c r="V992" s="68"/>
      <c r="W992" s="68"/>
      <c r="X992" s="68"/>
      <c r="Y992" s="68"/>
      <c r="Z992" s="68"/>
      <c r="AA992" s="68"/>
    </row>
    <row r="993" ht="26.25" customHeight="1">
      <c r="A993" s="68"/>
      <c r="B993" s="68"/>
      <c r="C993" s="68"/>
      <c r="D993" s="71"/>
      <c r="E993" s="71"/>
      <c r="F993" s="71"/>
      <c r="G993" s="65" t="str">
        <f t="shared" si="1"/>
        <v/>
      </c>
      <c r="H993" s="74"/>
      <c r="I993" s="67" t="str">
        <f>IFERROR(__xludf.DUMMYFUNCTION("if($H993="""", """", AVERAGE(split($H993, "";"")))"),"")</f>
        <v/>
      </c>
      <c r="J993" s="67" t="str">
        <f>IFERROR(__xludf.DUMMYFUNCTION("if(H993="""", """", SUM(split(H993, "";"")))"),"")</f>
        <v/>
      </c>
      <c r="K993" s="68"/>
      <c r="L993" s="68"/>
      <c r="M993" s="68"/>
      <c r="N993" s="68"/>
      <c r="O993" s="68"/>
      <c r="P993" s="68"/>
      <c r="Q993" s="68"/>
      <c r="R993" s="68"/>
      <c r="S993" s="68"/>
      <c r="T993" s="68"/>
      <c r="U993" s="68"/>
      <c r="V993" s="68"/>
      <c r="W993" s="68"/>
      <c r="X993" s="68"/>
      <c r="Y993" s="68"/>
      <c r="Z993" s="68"/>
      <c r="AA993" s="68"/>
    </row>
    <row r="994" ht="26.25" customHeight="1">
      <c r="A994" s="68"/>
      <c r="B994" s="68"/>
      <c r="C994" s="68"/>
      <c r="D994" s="71"/>
      <c r="E994" s="71"/>
      <c r="F994" s="71"/>
      <c r="G994" s="65" t="str">
        <f t="shared" si="1"/>
        <v/>
      </c>
      <c r="H994" s="74"/>
      <c r="I994" s="67" t="str">
        <f>IFERROR(__xludf.DUMMYFUNCTION("if($H994="""", """", AVERAGE(split($H994, "";"")))"),"")</f>
        <v/>
      </c>
      <c r="J994" s="67" t="str">
        <f>IFERROR(__xludf.DUMMYFUNCTION("if(H994="""", """", SUM(split(H994, "";"")))"),"")</f>
        <v/>
      </c>
      <c r="K994" s="68"/>
      <c r="L994" s="68"/>
      <c r="M994" s="68"/>
      <c r="N994" s="68"/>
      <c r="O994" s="68"/>
      <c r="P994" s="68"/>
      <c r="Q994" s="68"/>
      <c r="R994" s="68"/>
      <c r="S994" s="68"/>
      <c r="T994" s="68"/>
      <c r="U994" s="68"/>
      <c r="V994" s="68"/>
      <c r="W994" s="68"/>
      <c r="X994" s="68"/>
      <c r="Y994" s="68"/>
      <c r="Z994" s="68"/>
      <c r="AA994" s="68"/>
    </row>
    <row r="995" ht="26.25" customHeight="1">
      <c r="A995" s="68"/>
      <c r="B995" s="68"/>
      <c r="C995" s="68"/>
      <c r="D995" s="71"/>
      <c r="E995" s="71"/>
      <c r="F995" s="71"/>
      <c r="G995" s="65" t="str">
        <f t="shared" si="1"/>
        <v/>
      </c>
      <c r="H995" s="74"/>
      <c r="I995" s="67" t="str">
        <f>IFERROR(__xludf.DUMMYFUNCTION("if($H995="""", """", AVERAGE(split($H995, "";"")))"),"")</f>
        <v/>
      </c>
      <c r="J995" s="67" t="str">
        <f>IFERROR(__xludf.DUMMYFUNCTION("if(H995="""", """", SUM(split(H995, "";"")))"),"")</f>
        <v/>
      </c>
      <c r="K995" s="68"/>
      <c r="L995" s="68"/>
      <c r="M995" s="68"/>
      <c r="N995" s="68"/>
      <c r="O995" s="68"/>
      <c r="P995" s="68"/>
      <c r="Q995" s="68"/>
      <c r="R995" s="68"/>
      <c r="S995" s="68"/>
      <c r="T995" s="68"/>
      <c r="U995" s="68"/>
      <c r="V995" s="68"/>
      <c r="W995" s="68"/>
      <c r="X995" s="68"/>
      <c r="Y995" s="68"/>
      <c r="Z995" s="68"/>
      <c r="AA995" s="68"/>
    </row>
    <row r="996" ht="26.25" customHeight="1">
      <c r="A996" s="68"/>
      <c r="B996" s="68"/>
      <c r="C996" s="68"/>
      <c r="D996" s="71"/>
      <c r="E996" s="71"/>
      <c r="F996" s="71"/>
      <c r="G996" s="65" t="str">
        <f t="shared" si="1"/>
        <v/>
      </c>
      <c r="H996" s="74"/>
      <c r="I996" s="67" t="str">
        <f>IFERROR(__xludf.DUMMYFUNCTION("if($H996="""", """", AVERAGE(split($H996, "";"")))"),"")</f>
        <v/>
      </c>
      <c r="J996" s="67" t="str">
        <f>IFERROR(__xludf.DUMMYFUNCTION("if(H996="""", """", SUM(split(H996, "";"")))"),"")</f>
        <v/>
      </c>
      <c r="K996" s="68"/>
      <c r="L996" s="68"/>
      <c r="M996" s="68"/>
      <c r="N996" s="68"/>
      <c r="O996" s="68"/>
      <c r="P996" s="68"/>
      <c r="Q996" s="68"/>
      <c r="R996" s="68"/>
      <c r="S996" s="68"/>
      <c r="T996" s="68"/>
      <c r="U996" s="68"/>
      <c r="V996" s="68"/>
      <c r="W996" s="68"/>
      <c r="X996" s="68"/>
      <c r="Y996" s="68"/>
      <c r="Z996" s="68"/>
      <c r="AA996" s="68"/>
    </row>
    <row r="997" ht="26.25" customHeight="1">
      <c r="A997" s="68"/>
      <c r="B997" s="68"/>
      <c r="C997" s="68"/>
      <c r="D997" s="71"/>
      <c r="E997" s="71"/>
      <c r="F997" s="71"/>
      <c r="G997" s="65" t="str">
        <f t="shared" si="1"/>
        <v/>
      </c>
      <c r="H997" s="74"/>
      <c r="I997" s="67" t="str">
        <f>IFERROR(__xludf.DUMMYFUNCTION("if($H997="""", """", AVERAGE(split($H997, "";"")))"),"")</f>
        <v/>
      </c>
      <c r="J997" s="67" t="str">
        <f>IFERROR(__xludf.DUMMYFUNCTION("if(H997="""", """", SUM(split(H997, "";"")))"),"")</f>
        <v/>
      </c>
      <c r="K997" s="68"/>
      <c r="L997" s="68"/>
      <c r="M997" s="68"/>
      <c r="N997" s="68"/>
      <c r="O997" s="68"/>
      <c r="P997" s="68"/>
      <c r="Q997" s="68"/>
      <c r="R997" s="68"/>
      <c r="S997" s="68"/>
      <c r="T997" s="68"/>
      <c r="U997" s="68"/>
      <c r="V997" s="68"/>
      <c r="W997" s="68"/>
      <c r="X997" s="68"/>
      <c r="Y997" s="68"/>
      <c r="Z997" s="68"/>
      <c r="AA997" s="68"/>
    </row>
    <row r="998" ht="26.25" customHeight="1">
      <c r="A998" s="68"/>
      <c r="B998" s="68"/>
      <c r="C998" s="68"/>
      <c r="D998" s="71"/>
      <c r="E998" s="71"/>
      <c r="F998" s="71"/>
      <c r="G998" s="65" t="str">
        <f t="shared" si="1"/>
        <v/>
      </c>
      <c r="H998" s="74"/>
      <c r="I998" s="67" t="str">
        <f>IFERROR(__xludf.DUMMYFUNCTION("if($H998="""", """", AVERAGE(split($H998, "";"")))"),"")</f>
        <v/>
      </c>
      <c r="J998" s="67" t="str">
        <f>IFERROR(__xludf.DUMMYFUNCTION("if(H998="""", """", SUM(split(H998, "";"")))"),"")</f>
        <v/>
      </c>
      <c r="K998" s="68"/>
      <c r="L998" s="68"/>
      <c r="M998" s="68"/>
      <c r="N998" s="68"/>
      <c r="O998" s="68"/>
      <c r="P998" s="68"/>
      <c r="Q998" s="68"/>
      <c r="R998" s="68"/>
      <c r="S998" s="68"/>
      <c r="T998" s="68"/>
      <c r="U998" s="68"/>
      <c r="V998" s="68"/>
      <c r="W998" s="68"/>
      <c r="X998" s="68"/>
      <c r="Y998" s="68"/>
      <c r="Z998" s="68"/>
      <c r="AA998" s="68"/>
    </row>
    <row r="999" ht="26.25" customHeight="1">
      <c r="A999" s="68"/>
      <c r="B999" s="68"/>
      <c r="C999" s="68"/>
      <c r="D999" s="71"/>
      <c r="E999" s="71"/>
      <c r="F999" s="71"/>
      <c r="G999" s="65" t="str">
        <f t="shared" si="1"/>
        <v/>
      </c>
      <c r="H999" s="74"/>
      <c r="I999" s="67" t="str">
        <f>IFERROR(__xludf.DUMMYFUNCTION("if($H999="""", """", AVERAGE(split($H999, "";"")))"),"")</f>
        <v/>
      </c>
      <c r="J999" s="67" t="str">
        <f>IFERROR(__xludf.DUMMYFUNCTION("if(H999="""", """", SUM(split(H999, "";"")))"),"")</f>
        <v/>
      </c>
      <c r="K999" s="68"/>
      <c r="L999" s="68"/>
      <c r="M999" s="68"/>
      <c r="N999" s="68"/>
      <c r="O999" s="68"/>
      <c r="P999" s="68"/>
      <c r="Q999" s="68"/>
      <c r="R999" s="68"/>
      <c r="S999" s="68"/>
      <c r="T999" s="68"/>
      <c r="U999" s="68"/>
      <c r="V999" s="68"/>
      <c r="W999" s="68"/>
      <c r="X999" s="68"/>
      <c r="Y999" s="68"/>
      <c r="Z999" s="68"/>
      <c r="AA999" s="68"/>
    </row>
    <row r="1000" ht="26.25" customHeight="1">
      <c r="A1000" s="68"/>
      <c r="B1000" s="68"/>
      <c r="C1000" s="68"/>
      <c r="D1000" s="71"/>
      <c r="E1000" s="71"/>
      <c r="F1000" s="71"/>
      <c r="G1000" s="65" t="str">
        <f t="shared" si="1"/>
        <v/>
      </c>
      <c r="H1000" s="74"/>
      <c r="I1000" s="67" t="str">
        <f>IFERROR(__xludf.DUMMYFUNCTION("if($H1000="""", """", AVERAGE(split($H1000, "";"")))"),"")</f>
        <v/>
      </c>
      <c r="J1000" s="67" t="str">
        <f>IFERROR(__xludf.DUMMYFUNCTION("if(H1000="""", """", SUM(split(H1000, "";"")))"),"")</f>
        <v/>
      </c>
      <c r="K1000" s="68"/>
      <c r="L1000" s="68"/>
      <c r="M1000" s="68"/>
      <c r="N1000" s="68"/>
      <c r="O1000" s="68"/>
      <c r="P1000" s="68"/>
      <c r="Q1000" s="68"/>
      <c r="R1000" s="68"/>
      <c r="S1000" s="68"/>
      <c r="T1000" s="68"/>
      <c r="U1000" s="68"/>
      <c r="V1000" s="68"/>
      <c r="W1000" s="68"/>
      <c r="X1000" s="68"/>
      <c r="Y1000" s="68"/>
      <c r="Z1000" s="68"/>
      <c r="AA1000" s="68"/>
    </row>
    <row r="1001" ht="26.25" customHeight="1">
      <c r="A1001" s="68"/>
      <c r="B1001" s="68"/>
      <c r="C1001" s="68"/>
      <c r="D1001" s="71"/>
      <c r="E1001" s="71"/>
      <c r="F1001" s="71"/>
      <c r="G1001" s="65"/>
      <c r="H1001" s="74"/>
      <c r="I1001" s="67" t="str">
        <f>IFERROR(__xludf.DUMMYFUNCTION("if($H1001="""", """", AVERAGE(split($H1001, "";"")))"),"")</f>
        <v/>
      </c>
      <c r="J1001" s="67" t="str">
        <f>IFERROR(__xludf.DUMMYFUNCTION("if(H1001="""", """", SUM(split(H1001, "";"")))"),"")</f>
        <v/>
      </c>
      <c r="K1001" s="68"/>
      <c r="L1001" s="68"/>
      <c r="M1001" s="68"/>
      <c r="N1001" s="68"/>
      <c r="O1001" s="68"/>
      <c r="P1001" s="68"/>
      <c r="Q1001" s="68"/>
      <c r="R1001" s="68"/>
      <c r="S1001" s="68"/>
      <c r="T1001" s="68"/>
      <c r="U1001" s="68"/>
      <c r="V1001" s="68"/>
      <c r="W1001" s="68"/>
      <c r="X1001" s="68"/>
      <c r="Y1001" s="68"/>
      <c r="Z1001" s="68"/>
      <c r="AA1001" s="68"/>
    </row>
    <row r="1002" ht="26.25" customHeight="1">
      <c r="A1002" s="68"/>
      <c r="B1002" s="68"/>
      <c r="C1002" s="68"/>
      <c r="D1002" s="71"/>
      <c r="E1002" s="71"/>
      <c r="F1002" s="71"/>
      <c r="G1002" s="65"/>
      <c r="H1002" s="74"/>
      <c r="I1002" s="67" t="str">
        <f>IFERROR(__xludf.DUMMYFUNCTION("if($H1002="""", """", AVERAGE(split($H1002, "";"")))"),"")</f>
        <v/>
      </c>
      <c r="J1002" s="67" t="str">
        <f>IFERROR(__xludf.DUMMYFUNCTION("if(H1002="""", """", SUM(split(H1002, "";"")))"),"")</f>
        <v/>
      </c>
      <c r="K1002" s="68"/>
      <c r="L1002" s="68"/>
      <c r="M1002" s="68"/>
      <c r="N1002" s="68"/>
      <c r="O1002" s="68"/>
      <c r="P1002" s="68"/>
      <c r="Q1002" s="68"/>
      <c r="R1002" s="68"/>
      <c r="S1002" s="68"/>
      <c r="T1002" s="68"/>
      <c r="U1002" s="68"/>
      <c r="V1002" s="68"/>
      <c r="W1002" s="68"/>
      <c r="X1002" s="68"/>
      <c r="Y1002" s="68"/>
      <c r="Z1002" s="68"/>
      <c r="AA1002" s="68"/>
    </row>
    <row r="1003" ht="26.25" customHeight="1">
      <c r="A1003" s="68"/>
      <c r="B1003" s="68"/>
      <c r="C1003" s="68"/>
      <c r="D1003" s="71"/>
      <c r="E1003" s="71"/>
      <c r="F1003" s="71"/>
      <c r="G1003" s="65"/>
      <c r="H1003" s="74"/>
      <c r="I1003" s="67" t="str">
        <f>IFERROR(__xludf.DUMMYFUNCTION("if($H1003="""", """", AVERAGE(split($H1003, "";"")))"),"")</f>
        <v/>
      </c>
      <c r="J1003" s="67" t="str">
        <f>IFERROR(__xludf.DUMMYFUNCTION("if(H1003="""", """", SUM(split(H1003, "";"")))"),"")</f>
        <v/>
      </c>
      <c r="K1003" s="68"/>
      <c r="L1003" s="68"/>
      <c r="M1003" s="68"/>
      <c r="N1003" s="68"/>
      <c r="O1003" s="68"/>
      <c r="P1003" s="68"/>
      <c r="Q1003" s="68"/>
      <c r="R1003" s="68"/>
      <c r="S1003" s="68"/>
      <c r="T1003" s="68"/>
      <c r="U1003" s="68"/>
      <c r="V1003" s="68"/>
      <c r="W1003" s="68"/>
      <c r="X1003" s="68"/>
      <c r="Y1003" s="68"/>
      <c r="Z1003" s="68"/>
      <c r="AA1003" s="68"/>
    </row>
    <row r="1004" ht="26.25" customHeight="1">
      <c r="A1004" s="68"/>
      <c r="B1004" s="68"/>
      <c r="C1004" s="68"/>
      <c r="D1004" s="71"/>
      <c r="E1004" s="71"/>
      <c r="F1004" s="71"/>
      <c r="G1004" s="65"/>
      <c r="H1004" s="74"/>
      <c r="I1004" s="67" t="str">
        <f>IFERROR(__xludf.DUMMYFUNCTION("if($H1004="""", """", AVERAGE(split($H1004, "";"")))"),"")</f>
        <v/>
      </c>
      <c r="J1004" s="67" t="str">
        <f>IFERROR(__xludf.DUMMYFUNCTION("if(H1004="""", """", SUM(split(H1004, "";"")))"),"")</f>
        <v/>
      </c>
      <c r="K1004" s="68"/>
      <c r="L1004" s="68"/>
      <c r="M1004" s="68"/>
      <c r="N1004" s="68"/>
      <c r="O1004" s="68"/>
      <c r="P1004" s="68"/>
      <c r="Q1004" s="68"/>
      <c r="R1004" s="68"/>
      <c r="S1004" s="68"/>
      <c r="T1004" s="68"/>
      <c r="U1004" s="68"/>
      <c r="V1004" s="68"/>
      <c r="W1004" s="68"/>
      <c r="X1004" s="68"/>
      <c r="Y1004" s="68"/>
      <c r="Z1004" s="68"/>
      <c r="AA1004" s="68"/>
    </row>
    <row r="1005" ht="26.25" customHeight="1">
      <c r="A1005" s="68"/>
      <c r="B1005" s="68"/>
      <c r="C1005" s="68"/>
      <c r="D1005" s="71"/>
      <c r="E1005" s="71"/>
      <c r="F1005" s="71"/>
      <c r="G1005" s="65"/>
      <c r="H1005" s="74"/>
      <c r="I1005" s="67" t="str">
        <f>IFERROR(__xludf.DUMMYFUNCTION("if($H1005="""", """", AVERAGE(split($H1005, "";"")))"),"")</f>
        <v/>
      </c>
      <c r="J1005" s="67" t="str">
        <f>IFERROR(__xludf.DUMMYFUNCTION("if(H1005="""", """", SUM(split(H1005, "";"")))"),"")</f>
        <v/>
      </c>
      <c r="K1005" s="68"/>
      <c r="L1005" s="68"/>
      <c r="M1005" s="68"/>
      <c r="N1005" s="68"/>
      <c r="O1005" s="68"/>
      <c r="P1005" s="68"/>
      <c r="Q1005" s="68"/>
      <c r="R1005" s="68"/>
      <c r="S1005" s="68"/>
      <c r="T1005" s="68"/>
      <c r="U1005" s="68"/>
      <c r="V1005" s="68"/>
      <c r="W1005" s="68"/>
      <c r="X1005" s="68"/>
      <c r="Y1005" s="68"/>
      <c r="Z1005" s="68"/>
      <c r="AA1005" s="68"/>
    </row>
    <row r="1006" ht="26.25" customHeight="1">
      <c r="A1006" s="68"/>
      <c r="B1006" s="68"/>
      <c r="C1006" s="68"/>
      <c r="D1006" s="71"/>
      <c r="E1006" s="71"/>
      <c r="F1006" s="71"/>
      <c r="G1006" s="65"/>
      <c r="H1006" s="74"/>
      <c r="I1006" s="67" t="str">
        <f>IFERROR(__xludf.DUMMYFUNCTION("if($H1006="""", """", AVERAGE(split($H1006, "";"")))"),"")</f>
        <v/>
      </c>
      <c r="J1006" s="67" t="str">
        <f>IFERROR(__xludf.DUMMYFUNCTION("if(H1006="""", """", SUM(split(H1006, "";"")))"),"")</f>
        <v/>
      </c>
      <c r="K1006" s="68"/>
      <c r="L1006" s="68"/>
      <c r="M1006" s="68"/>
      <c r="N1006" s="68"/>
      <c r="O1006" s="68"/>
      <c r="P1006" s="68"/>
      <c r="Q1006" s="68"/>
      <c r="R1006" s="68"/>
      <c r="S1006" s="68"/>
      <c r="T1006" s="68"/>
      <c r="U1006" s="68"/>
      <c r="V1006" s="68"/>
      <c r="W1006" s="68"/>
      <c r="X1006" s="68"/>
      <c r="Y1006" s="68"/>
      <c r="Z1006" s="68"/>
      <c r="AA1006" s="68"/>
    </row>
    <row r="1007" ht="26.25" customHeight="1">
      <c r="A1007" s="68"/>
      <c r="B1007" s="68"/>
      <c r="C1007" s="68"/>
      <c r="D1007" s="71"/>
      <c r="E1007" s="71"/>
      <c r="F1007" s="71"/>
      <c r="G1007" s="65"/>
      <c r="H1007" s="74"/>
      <c r="I1007" s="67" t="str">
        <f>IFERROR(__xludf.DUMMYFUNCTION("if($H1007="""", """", AVERAGE(split($H1007, "";"")))"),"")</f>
        <v/>
      </c>
      <c r="J1007" s="67" t="str">
        <f>IFERROR(__xludf.DUMMYFUNCTION("if(H1007="""", """", SUM(split(H1007, "";"")))"),"")</f>
        <v/>
      </c>
      <c r="K1007" s="68"/>
      <c r="L1007" s="68"/>
      <c r="M1007" s="68"/>
      <c r="N1007" s="68"/>
      <c r="O1007" s="68"/>
      <c r="P1007" s="68"/>
      <c r="Q1007" s="68"/>
      <c r="R1007" s="68"/>
      <c r="S1007" s="68"/>
      <c r="T1007" s="68"/>
      <c r="U1007" s="68"/>
      <c r="V1007" s="68"/>
      <c r="W1007" s="68"/>
      <c r="X1007" s="68"/>
      <c r="Y1007" s="68"/>
      <c r="Z1007" s="68"/>
      <c r="AA1007" s="68"/>
    </row>
    <row r="1008" ht="26.25" customHeight="1">
      <c r="A1008" s="68"/>
      <c r="B1008" s="68"/>
      <c r="C1008" s="68"/>
      <c r="D1008" s="71"/>
      <c r="E1008" s="71"/>
      <c r="F1008" s="71"/>
      <c r="G1008" s="65"/>
      <c r="H1008" s="74"/>
      <c r="I1008" s="67" t="str">
        <f>IFERROR(__xludf.DUMMYFUNCTION("if($H1008="""", """", AVERAGE(split($H1008, "";"")))"),"")</f>
        <v/>
      </c>
      <c r="J1008" s="67" t="str">
        <f>IFERROR(__xludf.DUMMYFUNCTION("if(H1008="""", """", SUM(split(H1008, "";"")))"),"")</f>
        <v/>
      </c>
      <c r="K1008" s="68"/>
      <c r="L1008" s="68"/>
      <c r="M1008" s="68"/>
      <c r="N1008" s="68"/>
      <c r="O1008" s="68"/>
      <c r="P1008" s="68"/>
      <c r="Q1008" s="68"/>
      <c r="R1008" s="68"/>
      <c r="S1008" s="68"/>
      <c r="T1008" s="68"/>
      <c r="U1008" s="68"/>
      <c r="V1008" s="68"/>
      <c r="W1008" s="68"/>
      <c r="X1008" s="68"/>
      <c r="Y1008" s="68"/>
      <c r="Z1008" s="68"/>
      <c r="AA1008" s="68"/>
    </row>
    <row r="1009" ht="26.25" customHeight="1">
      <c r="A1009" s="68"/>
      <c r="B1009" s="68"/>
      <c r="C1009" s="68"/>
      <c r="D1009" s="71"/>
      <c r="E1009" s="71"/>
      <c r="F1009" s="71"/>
      <c r="G1009" s="65"/>
      <c r="H1009" s="74"/>
      <c r="I1009" s="67" t="str">
        <f>IFERROR(__xludf.DUMMYFUNCTION("if($H1009="""", """", AVERAGE(split($H1009, "";"")))"),"")</f>
        <v/>
      </c>
      <c r="J1009" s="67" t="str">
        <f>IFERROR(__xludf.DUMMYFUNCTION("if(H1009="""", """", SUM(split(H1009, "";"")))"),"")</f>
        <v/>
      </c>
      <c r="K1009" s="68"/>
      <c r="L1009" s="68"/>
      <c r="M1009" s="68"/>
      <c r="N1009" s="68"/>
      <c r="O1009" s="68"/>
      <c r="P1009" s="68"/>
      <c r="Q1009" s="68"/>
      <c r="R1009" s="68"/>
      <c r="S1009" s="68"/>
      <c r="T1009" s="68"/>
      <c r="U1009" s="68"/>
      <c r="V1009" s="68"/>
      <c r="W1009" s="68"/>
      <c r="X1009" s="68"/>
      <c r="Y1009" s="68"/>
      <c r="Z1009" s="68"/>
      <c r="AA1009" s="68"/>
    </row>
    <row r="1010" ht="26.25" customHeight="1">
      <c r="A1010" s="68"/>
      <c r="B1010" s="68"/>
      <c r="C1010" s="68"/>
      <c r="D1010" s="71"/>
      <c r="E1010" s="71"/>
      <c r="F1010" s="71"/>
      <c r="G1010" s="65"/>
      <c r="H1010" s="74"/>
      <c r="I1010" s="67" t="str">
        <f>IFERROR(__xludf.DUMMYFUNCTION("if($H1010="""", """", AVERAGE(split($H1010, "";"")))"),"")</f>
        <v/>
      </c>
      <c r="J1010" s="67" t="str">
        <f>IFERROR(__xludf.DUMMYFUNCTION("if(H1010="""", """", SUM(split(H1010, "";"")))"),"")</f>
        <v/>
      </c>
      <c r="K1010" s="68"/>
      <c r="L1010" s="68"/>
      <c r="M1010" s="68"/>
      <c r="N1010" s="68"/>
      <c r="O1010" s="68"/>
      <c r="P1010" s="68"/>
      <c r="Q1010" s="68"/>
      <c r="R1010" s="68"/>
      <c r="S1010" s="68"/>
      <c r="T1010" s="68"/>
      <c r="U1010" s="68"/>
      <c r="V1010" s="68"/>
      <c r="W1010" s="68"/>
      <c r="X1010" s="68"/>
      <c r="Y1010" s="68"/>
      <c r="Z1010" s="68"/>
      <c r="AA1010" s="68"/>
    </row>
    <row r="1011" ht="26.25" customHeight="1">
      <c r="A1011" s="68"/>
      <c r="B1011" s="68"/>
      <c r="C1011" s="68"/>
      <c r="D1011" s="71"/>
      <c r="E1011" s="71"/>
      <c r="F1011" s="71"/>
      <c r="G1011" s="65"/>
      <c r="H1011" s="74"/>
      <c r="I1011" s="67" t="str">
        <f>IFERROR(__xludf.DUMMYFUNCTION("if($H1011="""", """", AVERAGE(split($H1011, "";"")))"),"")</f>
        <v/>
      </c>
      <c r="J1011" s="67" t="str">
        <f>IFERROR(__xludf.DUMMYFUNCTION("if(H1011="""", """", SUM(split(H1011, "";"")))"),"")</f>
        <v/>
      </c>
      <c r="K1011" s="68"/>
      <c r="L1011" s="68"/>
      <c r="M1011" s="68"/>
      <c r="N1011" s="68"/>
      <c r="O1011" s="68"/>
      <c r="P1011" s="68"/>
      <c r="Q1011" s="68"/>
      <c r="R1011" s="68"/>
      <c r="S1011" s="68"/>
      <c r="T1011" s="68"/>
      <c r="U1011" s="68"/>
      <c r="V1011" s="68"/>
      <c r="W1011" s="68"/>
      <c r="X1011" s="68"/>
      <c r="Y1011" s="68"/>
      <c r="Z1011" s="68"/>
      <c r="AA1011" s="68"/>
    </row>
    <row r="1012" ht="26.25" customHeight="1">
      <c r="A1012" s="68"/>
      <c r="B1012" s="68"/>
      <c r="C1012" s="68"/>
      <c r="D1012" s="71"/>
      <c r="E1012" s="71"/>
      <c r="F1012" s="71"/>
      <c r="G1012" s="65"/>
      <c r="H1012" s="74"/>
      <c r="I1012" s="67" t="str">
        <f>IFERROR(__xludf.DUMMYFUNCTION("if($H1012="""", """", AVERAGE(split($H1012, "";"")))"),"")</f>
        <v/>
      </c>
      <c r="J1012" s="67" t="str">
        <f>IFERROR(__xludf.DUMMYFUNCTION("if(H1012="""", """", SUM(split(H1012, "";"")))"),"")</f>
        <v/>
      </c>
      <c r="K1012" s="68"/>
      <c r="L1012" s="68"/>
      <c r="M1012" s="68"/>
      <c r="N1012" s="68"/>
      <c r="O1012" s="68"/>
      <c r="P1012" s="68"/>
      <c r="Q1012" s="68"/>
      <c r="R1012" s="68"/>
      <c r="S1012" s="68"/>
      <c r="T1012" s="68"/>
      <c r="U1012" s="68"/>
      <c r="V1012" s="68"/>
      <c r="W1012" s="68"/>
      <c r="X1012" s="68"/>
      <c r="Y1012" s="68"/>
      <c r="Z1012" s="68"/>
      <c r="AA1012" s="68"/>
    </row>
    <row r="1013" ht="26.25" customHeight="1">
      <c r="A1013" s="68"/>
      <c r="B1013" s="68"/>
      <c r="C1013" s="68"/>
      <c r="D1013" s="71"/>
      <c r="E1013" s="71"/>
      <c r="F1013" s="71"/>
      <c r="G1013" s="65"/>
      <c r="H1013" s="74"/>
      <c r="I1013" s="67" t="str">
        <f>IFERROR(__xludf.DUMMYFUNCTION("if($H1013="""", """", AVERAGE(split($H1013, "";"")))"),"")</f>
        <v/>
      </c>
      <c r="J1013" s="67" t="str">
        <f>IFERROR(__xludf.DUMMYFUNCTION("if(H1013="""", """", SUM(split(H1013, "";"")))"),"")</f>
        <v/>
      </c>
      <c r="K1013" s="68"/>
      <c r="L1013" s="68"/>
      <c r="M1013" s="68"/>
      <c r="N1013" s="68"/>
      <c r="O1013" s="68"/>
      <c r="P1013" s="68"/>
      <c r="Q1013" s="68"/>
      <c r="R1013" s="68"/>
      <c r="S1013" s="68"/>
      <c r="T1013" s="68"/>
      <c r="U1013" s="68"/>
      <c r="V1013" s="68"/>
      <c r="W1013" s="68"/>
      <c r="X1013" s="68"/>
      <c r="Y1013" s="68"/>
      <c r="Z1013" s="68"/>
      <c r="AA1013" s="68"/>
    </row>
    <row r="1014" ht="26.25" customHeight="1">
      <c r="A1014" s="68"/>
      <c r="B1014" s="68"/>
      <c r="C1014" s="68"/>
      <c r="D1014" s="71"/>
      <c r="E1014" s="71"/>
      <c r="F1014" s="71"/>
      <c r="G1014" s="65"/>
      <c r="H1014" s="74"/>
      <c r="I1014" s="67" t="str">
        <f>IFERROR(__xludf.DUMMYFUNCTION("if($H1014="""", """", AVERAGE(split($H1014, "";"")))"),"")</f>
        <v/>
      </c>
      <c r="J1014" s="67" t="str">
        <f>IFERROR(__xludf.DUMMYFUNCTION("if(H1014="""", """", SUM(split(H1014, "";"")))"),"")</f>
        <v/>
      </c>
      <c r="K1014" s="68"/>
      <c r="L1014" s="68"/>
      <c r="M1014" s="68"/>
      <c r="N1014" s="68"/>
      <c r="O1014" s="68"/>
      <c r="P1014" s="68"/>
      <c r="Q1014" s="68"/>
      <c r="R1014" s="68"/>
      <c r="S1014" s="68"/>
      <c r="T1014" s="68"/>
      <c r="U1014" s="68"/>
      <c r="V1014" s="68"/>
      <c r="W1014" s="68"/>
      <c r="X1014" s="68"/>
      <c r="Y1014" s="68"/>
      <c r="Z1014" s="68"/>
      <c r="AA1014" s="68"/>
    </row>
    <row r="1015" ht="26.25" customHeight="1">
      <c r="A1015" s="68"/>
      <c r="B1015" s="68"/>
      <c r="C1015" s="68"/>
      <c r="D1015" s="71"/>
      <c r="E1015" s="71"/>
      <c r="F1015" s="71"/>
      <c r="G1015" s="65"/>
      <c r="H1015" s="74"/>
      <c r="I1015" s="67" t="str">
        <f>IFERROR(__xludf.DUMMYFUNCTION("if($H1015="""", """", AVERAGE(split($H1015, "";"")))"),"")</f>
        <v/>
      </c>
      <c r="J1015" s="67" t="str">
        <f>IFERROR(__xludf.DUMMYFUNCTION("if(H1015="""", """", SUM(split(H1015, "";"")))"),"")</f>
        <v/>
      </c>
      <c r="K1015" s="68"/>
      <c r="L1015" s="68"/>
      <c r="M1015" s="68"/>
      <c r="N1015" s="68"/>
      <c r="O1015" s="68"/>
      <c r="P1015" s="68"/>
      <c r="Q1015" s="68"/>
      <c r="R1015" s="68"/>
      <c r="S1015" s="68"/>
      <c r="T1015" s="68"/>
      <c r="U1015" s="68"/>
      <c r="V1015" s="68"/>
      <c r="W1015" s="68"/>
      <c r="X1015" s="68"/>
      <c r="Y1015" s="68"/>
      <c r="Z1015" s="68"/>
      <c r="AA1015" s="68"/>
    </row>
    <row r="1016" ht="26.25" customHeight="1">
      <c r="A1016" s="68"/>
      <c r="B1016" s="68"/>
      <c r="C1016" s="68"/>
      <c r="D1016" s="71"/>
      <c r="E1016" s="71"/>
      <c r="F1016" s="71"/>
      <c r="G1016" s="65"/>
      <c r="H1016" s="74"/>
      <c r="I1016" s="67" t="str">
        <f>IFERROR(__xludf.DUMMYFUNCTION("if($H1016="""", """", AVERAGE(split($H1016, "";"")))"),"")</f>
        <v/>
      </c>
      <c r="J1016" s="67" t="str">
        <f>IFERROR(__xludf.DUMMYFUNCTION("if(H1016="""", """", SUM(split(H1016, "";"")))"),"")</f>
        <v/>
      </c>
      <c r="K1016" s="68"/>
      <c r="L1016" s="68"/>
      <c r="M1016" s="68"/>
      <c r="N1016" s="68"/>
      <c r="O1016" s="68"/>
      <c r="P1016" s="68"/>
      <c r="Q1016" s="68"/>
      <c r="R1016" s="68"/>
      <c r="S1016" s="68"/>
      <c r="T1016" s="68"/>
      <c r="U1016" s="68"/>
      <c r="V1016" s="68"/>
      <c r="W1016" s="68"/>
      <c r="X1016" s="68"/>
      <c r="Y1016" s="68"/>
      <c r="Z1016" s="68"/>
      <c r="AA1016" s="68"/>
    </row>
    <row r="1017" ht="26.25" customHeight="1">
      <c r="A1017" s="68"/>
      <c r="B1017" s="68"/>
      <c r="C1017" s="68"/>
      <c r="D1017" s="71"/>
      <c r="E1017" s="71"/>
      <c r="F1017" s="71"/>
      <c r="G1017" s="65"/>
      <c r="H1017" s="74"/>
      <c r="I1017" s="67" t="str">
        <f>IFERROR(__xludf.DUMMYFUNCTION("if($H1017="""", """", AVERAGE(split($H1017, "";"")))"),"")</f>
        <v/>
      </c>
      <c r="J1017" s="67" t="str">
        <f>IFERROR(__xludf.DUMMYFUNCTION("if(H1017="""", """", SUM(split(H1017, "";"")))"),"")</f>
        <v/>
      </c>
      <c r="K1017" s="68"/>
      <c r="L1017" s="68"/>
      <c r="M1017" s="68"/>
      <c r="N1017" s="68"/>
      <c r="O1017" s="68"/>
      <c r="P1017" s="68"/>
      <c r="Q1017" s="68"/>
      <c r="R1017" s="68"/>
      <c r="S1017" s="68"/>
      <c r="T1017" s="68"/>
      <c r="U1017" s="68"/>
      <c r="V1017" s="68"/>
      <c r="W1017" s="68"/>
      <c r="X1017" s="68"/>
      <c r="Y1017" s="68"/>
      <c r="Z1017" s="68"/>
      <c r="AA1017" s="68"/>
    </row>
    <row r="1018" ht="26.25" customHeight="1">
      <c r="A1018" s="68"/>
      <c r="B1018" s="68"/>
      <c r="C1018" s="68"/>
      <c r="D1018" s="71"/>
      <c r="E1018" s="71"/>
      <c r="F1018" s="71"/>
      <c r="G1018" s="65"/>
      <c r="H1018" s="74"/>
      <c r="I1018" s="67" t="str">
        <f>IFERROR(__xludf.DUMMYFUNCTION("if($H1018="""", """", AVERAGE(split($H1018, "";"")))"),"")</f>
        <v/>
      </c>
      <c r="J1018" s="67" t="str">
        <f>IFERROR(__xludf.DUMMYFUNCTION("if(H1018="""", """", SUM(split(H1018, "";"")))"),"")</f>
        <v/>
      </c>
      <c r="K1018" s="68"/>
      <c r="L1018" s="68"/>
      <c r="M1018" s="68"/>
      <c r="N1018" s="68"/>
      <c r="O1018" s="68"/>
      <c r="P1018" s="68"/>
      <c r="Q1018" s="68"/>
      <c r="R1018" s="68"/>
      <c r="S1018" s="68"/>
      <c r="T1018" s="68"/>
      <c r="U1018" s="68"/>
      <c r="V1018" s="68"/>
      <c r="W1018" s="68"/>
      <c r="X1018" s="68"/>
      <c r="Y1018" s="68"/>
      <c r="Z1018" s="68"/>
      <c r="AA1018" s="68"/>
    </row>
    <row r="1019" ht="26.25" customHeight="1">
      <c r="A1019" s="68"/>
      <c r="B1019" s="68"/>
      <c r="C1019" s="68"/>
      <c r="D1019" s="71"/>
      <c r="E1019" s="71"/>
      <c r="F1019" s="71"/>
      <c r="G1019" s="65"/>
      <c r="H1019" s="74"/>
      <c r="I1019" s="67" t="str">
        <f>IFERROR(__xludf.DUMMYFUNCTION("if($H1019="""", """", AVERAGE(split($H1019, "";"")))"),"")</f>
        <v/>
      </c>
      <c r="J1019" s="67" t="str">
        <f>IFERROR(__xludf.DUMMYFUNCTION("if(H1019="""", """", SUM(split(H1019, "";"")))"),"")</f>
        <v/>
      </c>
      <c r="K1019" s="68"/>
      <c r="L1019" s="68"/>
      <c r="M1019" s="68"/>
      <c r="N1019" s="68"/>
      <c r="O1019" s="68"/>
      <c r="P1019" s="68"/>
      <c r="Q1019" s="68"/>
      <c r="R1019" s="68"/>
      <c r="S1019" s="68"/>
      <c r="T1019" s="68"/>
      <c r="U1019" s="68"/>
      <c r="V1019" s="68"/>
      <c r="W1019" s="68"/>
      <c r="X1019" s="68"/>
      <c r="Y1019" s="68"/>
      <c r="Z1019" s="68"/>
      <c r="AA1019" s="68"/>
    </row>
    <row r="1020" ht="26.25" customHeight="1">
      <c r="A1020" s="68"/>
      <c r="B1020" s="68"/>
      <c r="C1020" s="68"/>
      <c r="D1020" s="71"/>
      <c r="E1020" s="71"/>
      <c r="F1020" s="71"/>
      <c r="G1020" s="65"/>
      <c r="H1020" s="74"/>
      <c r="I1020" s="67" t="str">
        <f>IFERROR(__xludf.DUMMYFUNCTION("if($H1020="""", """", AVERAGE(split($H1020, "";"")))"),"")</f>
        <v/>
      </c>
      <c r="J1020" s="67" t="str">
        <f>IFERROR(__xludf.DUMMYFUNCTION("if(H1020="""", """", SUM(split(H1020, "";"")))"),"")</f>
        <v/>
      </c>
      <c r="K1020" s="68"/>
      <c r="L1020" s="68"/>
      <c r="M1020" s="68"/>
      <c r="N1020" s="68"/>
      <c r="O1020" s="68"/>
      <c r="P1020" s="68"/>
      <c r="Q1020" s="68"/>
      <c r="R1020" s="68"/>
      <c r="S1020" s="68"/>
      <c r="T1020" s="68"/>
      <c r="U1020" s="68"/>
      <c r="V1020" s="68"/>
      <c r="W1020" s="68"/>
      <c r="X1020" s="68"/>
      <c r="Y1020" s="68"/>
      <c r="Z1020" s="68"/>
      <c r="AA1020" s="68"/>
    </row>
    <row r="1021" ht="26.25" customHeight="1">
      <c r="A1021" s="68"/>
      <c r="B1021" s="68"/>
      <c r="C1021" s="68"/>
      <c r="D1021" s="71"/>
      <c r="E1021" s="71"/>
      <c r="F1021" s="71"/>
      <c r="G1021" s="65"/>
      <c r="H1021" s="74"/>
      <c r="I1021" s="67" t="str">
        <f>IFERROR(__xludf.DUMMYFUNCTION("if($H1021="""", """", AVERAGE(split($H1021, "";"")))"),"")</f>
        <v/>
      </c>
      <c r="J1021" s="67" t="str">
        <f>IFERROR(__xludf.DUMMYFUNCTION("if(H1021="""", """", SUM(split(H1021, "";"")))"),"")</f>
        <v/>
      </c>
      <c r="K1021" s="68"/>
      <c r="L1021" s="68"/>
      <c r="M1021" s="68"/>
      <c r="N1021" s="68"/>
      <c r="O1021" s="68"/>
      <c r="P1021" s="68"/>
      <c r="Q1021" s="68"/>
      <c r="R1021" s="68"/>
      <c r="S1021" s="68"/>
      <c r="T1021" s="68"/>
      <c r="U1021" s="68"/>
      <c r="V1021" s="68"/>
      <c r="W1021" s="68"/>
      <c r="X1021" s="68"/>
      <c r="Y1021" s="68"/>
      <c r="Z1021" s="68"/>
      <c r="AA1021" s="68"/>
    </row>
    <row r="1022" ht="26.25" customHeight="1">
      <c r="A1022" s="68"/>
      <c r="B1022" s="68"/>
      <c r="C1022" s="68"/>
      <c r="D1022" s="71"/>
      <c r="E1022" s="71"/>
      <c r="F1022" s="71"/>
      <c r="G1022" s="65"/>
      <c r="H1022" s="74"/>
      <c r="I1022" s="67" t="str">
        <f>IFERROR(__xludf.DUMMYFUNCTION("if($H1022="""", """", AVERAGE(split($H1022, "";"")))"),"")</f>
        <v/>
      </c>
      <c r="J1022" s="67" t="str">
        <f>IFERROR(__xludf.DUMMYFUNCTION("if(H1022="""", """", SUM(split(H1022, "";"")))"),"")</f>
        <v/>
      </c>
      <c r="K1022" s="68"/>
      <c r="L1022" s="68"/>
      <c r="M1022" s="68"/>
      <c r="N1022" s="68"/>
      <c r="O1022" s="68"/>
      <c r="P1022" s="68"/>
      <c r="Q1022" s="68"/>
      <c r="R1022" s="68"/>
      <c r="S1022" s="68"/>
      <c r="T1022" s="68"/>
      <c r="U1022" s="68"/>
      <c r="V1022" s="68"/>
      <c r="W1022" s="68"/>
      <c r="X1022" s="68"/>
      <c r="Y1022" s="68"/>
      <c r="Z1022" s="68"/>
      <c r="AA1022" s="68"/>
    </row>
    <row r="1023" ht="26.25" customHeight="1">
      <c r="A1023" s="68"/>
      <c r="B1023" s="68"/>
      <c r="C1023" s="68"/>
      <c r="D1023" s="71"/>
      <c r="E1023" s="71"/>
      <c r="F1023" s="71"/>
      <c r="G1023" s="65"/>
      <c r="H1023" s="74"/>
      <c r="I1023" s="67" t="str">
        <f>IFERROR(__xludf.DUMMYFUNCTION("if($H1023="""", """", AVERAGE(split($H1023, "";"")))"),"")</f>
        <v/>
      </c>
      <c r="J1023" s="67" t="str">
        <f>IFERROR(__xludf.DUMMYFUNCTION("if(H1023="""", """", SUM(split(H1023, "";"")))"),"")</f>
        <v/>
      </c>
      <c r="K1023" s="68"/>
      <c r="L1023" s="68"/>
      <c r="M1023" s="68"/>
      <c r="N1023" s="68"/>
      <c r="O1023" s="68"/>
      <c r="P1023" s="68"/>
      <c r="Q1023" s="68"/>
      <c r="R1023" s="68"/>
      <c r="S1023" s="68"/>
      <c r="T1023" s="68"/>
      <c r="U1023" s="68"/>
      <c r="V1023" s="68"/>
      <c r="W1023" s="68"/>
      <c r="X1023" s="68"/>
      <c r="Y1023" s="68"/>
      <c r="Z1023" s="68"/>
      <c r="AA1023" s="68"/>
    </row>
    <row r="1024" ht="26.25" customHeight="1">
      <c r="A1024" s="68"/>
      <c r="B1024" s="68"/>
      <c r="C1024" s="68"/>
      <c r="D1024" s="71"/>
      <c r="E1024" s="71"/>
      <c r="F1024" s="71"/>
      <c r="G1024" s="65"/>
      <c r="H1024" s="74"/>
      <c r="I1024" s="67" t="str">
        <f>IFERROR(__xludf.DUMMYFUNCTION("if($H1024="""", """", AVERAGE(split($H1024, "";"")))"),"")</f>
        <v/>
      </c>
      <c r="J1024" s="67" t="str">
        <f>IFERROR(__xludf.DUMMYFUNCTION("if(H1024="""", """", SUM(split(H1024, "";"")))"),"")</f>
        <v/>
      </c>
      <c r="K1024" s="68"/>
      <c r="L1024" s="68"/>
      <c r="M1024" s="68"/>
      <c r="N1024" s="68"/>
      <c r="O1024" s="68"/>
      <c r="P1024" s="68"/>
      <c r="Q1024" s="68"/>
      <c r="R1024" s="68"/>
      <c r="S1024" s="68"/>
      <c r="T1024" s="68"/>
      <c r="U1024" s="68"/>
      <c r="V1024" s="68"/>
      <c r="W1024" s="68"/>
      <c r="X1024" s="68"/>
      <c r="Y1024" s="68"/>
      <c r="Z1024" s="68"/>
      <c r="AA1024" s="68"/>
    </row>
    <row r="1025" ht="26.25" customHeight="1">
      <c r="A1025" s="68"/>
      <c r="B1025" s="68"/>
      <c r="C1025" s="68"/>
      <c r="D1025" s="71"/>
      <c r="E1025" s="71"/>
      <c r="F1025" s="71"/>
      <c r="G1025" s="65"/>
      <c r="H1025" s="74"/>
      <c r="I1025" s="67" t="str">
        <f>IFERROR(__xludf.DUMMYFUNCTION("if($H1025="""", """", AVERAGE(split($H1025, "";"")))"),"")</f>
        <v/>
      </c>
      <c r="J1025" s="67" t="str">
        <f>IFERROR(__xludf.DUMMYFUNCTION("if(H1025="""", """", SUM(split(H1025, "";"")))"),"")</f>
        <v/>
      </c>
      <c r="K1025" s="68"/>
      <c r="L1025" s="68"/>
      <c r="M1025" s="68"/>
      <c r="N1025" s="68"/>
      <c r="O1025" s="68"/>
      <c r="P1025" s="68"/>
      <c r="Q1025" s="68"/>
      <c r="R1025" s="68"/>
      <c r="S1025" s="68"/>
      <c r="T1025" s="68"/>
      <c r="U1025" s="68"/>
      <c r="V1025" s="68"/>
      <c r="W1025" s="68"/>
      <c r="X1025" s="68"/>
      <c r="Y1025" s="68"/>
      <c r="Z1025" s="68"/>
      <c r="AA1025" s="68"/>
    </row>
    <row r="1026" ht="26.25" customHeight="1">
      <c r="A1026" s="68"/>
      <c r="B1026" s="68"/>
      <c r="C1026" s="68"/>
      <c r="D1026" s="71"/>
      <c r="E1026" s="71"/>
      <c r="F1026" s="71"/>
      <c r="G1026" s="65"/>
      <c r="H1026" s="74"/>
      <c r="I1026" s="67" t="str">
        <f>IFERROR(__xludf.DUMMYFUNCTION("if($H1026="""", """", AVERAGE(split($H1026, "";"")))"),"")</f>
        <v/>
      </c>
      <c r="J1026" s="67" t="str">
        <f>IFERROR(__xludf.DUMMYFUNCTION("if(H1026="""", """", SUM(split(H1026, "";"")))"),"")</f>
        <v/>
      </c>
      <c r="K1026" s="68"/>
      <c r="L1026" s="68"/>
      <c r="M1026" s="68"/>
      <c r="N1026" s="68"/>
      <c r="O1026" s="68"/>
      <c r="P1026" s="68"/>
      <c r="Q1026" s="68"/>
      <c r="R1026" s="68"/>
      <c r="S1026" s="68"/>
      <c r="T1026" s="68"/>
      <c r="U1026" s="68"/>
      <c r="V1026" s="68"/>
      <c r="W1026" s="68"/>
      <c r="X1026" s="68"/>
      <c r="Y1026" s="68"/>
      <c r="Z1026" s="68"/>
      <c r="AA1026" s="68"/>
    </row>
    <row r="1027" ht="26.25" customHeight="1">
      <c r="A1027" s="68"/>
      <c r="B1027" s="68"/>
      <c r="C1027" s="68"/>
      <c r="D1027" s="71"/>
      <c r="E1027" s="71"/>
      <c r="F1027" s="71"/>
      <c r="G1027" s="65"/>
      <c r="H1027" s="74"/>
      <c r="I1027" s="67" t="str">
        <f>IFERROR(__xludf.DUMMYFUNCTION("if($H1027="""", """", AVERAGE(split($H1027, "";"")))"),"")</f>
        <v/>
      </c>
      <c r="J1027" s="67" t="str">
        <f>IFERROR(__xludf.DUMMYFUNCTION("if(H1027="""", """", SUM(split(H1027, "";"")))"),"")</f>
        <v/>
      </c>
      <c r="K1027" s="68"/>
      <c r="L1027" s="68"/>
      <c r="M1027" s="68"/>
      <c r="N1027" s="68"/>
      <c r="O1027" s="68"/>
      <c r="P1027" s="68"/>
      <c r="Q1027" s="68"/>
      <c r="R1027" s="68"/>
      <c r="S1027" s="68"/>
      <c r="T1027" s="68"/>
      <c r="U1027" s="68"/>
      <c r="V1027" s="68"/>
      <c r="W1027" s="68"/>
      <c r="X1027" s="68"/>
      <c r="Y1027" s="68"/>
      <c r="Z1027" s="68"/>
      <c r="AA1027" s="68"/>
    </row>
    <row r="1028" ht="26.25" customHeight="1">
      <c r="A1028" s="68"/>
      <c r="B1028" s="68"/>
      <c r="C1028" s="68"/>
      <c r="D1028" s="71"/>
      <c r="E1028" s="71"/>
      <c r="F1028" s="71"/>
      <c r="G1028" s="65"/>
      <c r="H1028" s="74"/>
      <c r="I1028" s="67" t="str">
        <f>IFERROR(__xludf.DUMMYFUNCTION("if($H1028="""", """", AVERAGE(split($H1028, "";"")))"),"")</f>
        <v/>
      </c>
      <c r="J1028" s="67" t="str">
        <f>IFERROR(__xludf.DUMMYFUNCTION("if(H1028="""", """", SUM(split(H1028, "";"")))"),"")</f>
        <v/>
      </c>
      <c r="K1028" s="68"/>
      <c r="L1028" s="68"/>
      <c r="M1028" s="68"/>
      <c r="N1028" s="68"/>
      <c r="O1028" s="68"/>
      <c r="P1028" s="68"/>
      <c r="Q1028" s="68"/>
      <c r="R1028" s="68"/>
      <c r="S1028" s="68"/>
      <c r="T1028" s="68"/>
      <c r="U1028" s="68"/>
      <c r="V1028" s="68"/>
      <c r="W1028" s="68"/>
      <c r="X1028" s="68"/>
      <c r="Y1028" s="68"/>
      <c r="Z1028" s="68"/>
      <c r="AA1028" s="68"/>
    </row>
    <row r="1029" ht="26.25" customHeight="1">
      <c r="A1029" s="68"/>
      <c r="B1029" s="68"/>
      <c r="C1029" s="68"/>
      <c r="D1029" s="71"/>
      <c r="E1029" s="71"/>
      <c r="F1029" s="71"/>
      <c r="G1029" s="65"/>
      <c r="H1029" s="74"/>
      <c r="I1029" s="67" t="str">
        <f>IFERROR(__xludf.DUMMYFUNCTION("if($H1029="""", """", AVERAGE(split($H1029, "";"")))"),"")</f>
        <v/>
      </c>
      <c r="J1029" s="67" t="str">
        <f>IFERROR(__xludf.DUMMYFUNCTION("if(H1029="""", """", SUM(split(H1029, "";"")))"),"")</f>
        <v/>
      </c>
      <c r="K1029" s="68"/>
      <c r="L1029" s="68"/>
      <c r="M1029" s="68"/>
      <c r="N1029" s="68"/>
      <c r="O1029" s="68"/>
      <c r="P1029" s="68"/>
      <c r="Q1029" s="68"/>
      <c r="R1029" s="68"/>
      <c r="S1029" s="68"/>
      <c r="T1029" s="68"/>
      <c r="U1029" s="68"/>
      <c r="V1029" s="68"/>
      <c r="W1029" s="68"/>
      <c r="X1029" s="68"/>
      <c r="Y1029" s="68"/>
      <c r="Z1029" s="68"/>
      <c r="AA1029" s="68"/>
    </row>
    <row r="1030" ht="26.25" customHeight="1">
      <c r="A1030" s="68"/>
      <c r="B1030" s="68"/>
      <c r="C1030" s="68"/>
      <c r="D1030" s="71"/>
      <c r="E1030" s="71"/>
      <c r="F1030" s="71"/>
      <c r="G1030" s="65"/>
      <c r="H1030" s="74"/>
      <c r="I1030" s="67" t="str">
        <f>IFERROR(__xludf.DUMMYFUNCTION("if($H1030="""", """", AVERAGE(split($H1030, "";"")))"),"")</f>
        <v/>
      </c>
      <c r="J1030" s="67" t="str">
        <f>IFERROR(__xludf.DUMMYFUNCTION("if(H1030="""", """", SUM(split(H1030, "";"")))"),"")</f>
        <v/>
      </c>
      <c r="K1030" s="68"/>
      <c r="L1030" s="68"/>
      <c r="M1030" s="68"/>
      <c r="N1030" s="68"/>
      <c r="O1030" s="68"/>
      <c r="P1030" s="68"/>
      <c r="Q1030" s="68"/>
      <c r="R1030" s="68"/>
      <c r="S1030" s="68"/>
      <c r="T1030" s="68"/>
      <c r="U1030" s="68"/>
      <c r="V1030" s="68"/>
      <c r="W1030" s="68"/>
      <c r="X1030" s="68"/>
      <c r="Y1030" s="68"/>
      <c r="Z1030" s="68"/>
      <c r="AA1030" s="68"/>
    </row>
    <row r="1031" ht="26.25" customHeight="1">
      <c r="A1031" s="68"/>
      <c r="B1031" s="68"/>
      <c r="C1031" s="68"/>
      <c r="D1031" s="71"/>
      <c r="E1031" s="71"/>
      <c r="F1031" s="71"/>
      <c r="G1031" s="65"/>
      <c r="H1031" s="74"/>
      <c r="I1031" s="67" t="str">
        <f>IFERROR(__xludf.DUMMYFUNCTION("if($H1031="""", """", AVERAGE(split($H1031, "";"")))"),"")</f>
        <v/>
      </c>
      <c r="J1031" s="67" t="str">
        <f>IFERROR(__xludf.DUMMYFUNCTION("if(H1031="""", """", SUM(split(H1031, "";"")))"),"")</f>
        <v/>
      </c>
      <c r="K1031" s="68"/>
      <c r="L1031" s="68"/>
      <c r="M1031" s="68"/>
      <c r="N1031" s="68"/>
      <c r="O1031" s="68"/>
      <c r="P1031" s="68"/>
      <c r="Q1031" s="68"/>
      <c r="R1031" s="68"/>
      <c r="S1031" s="68"/>
      <c r="T1031" s="68"/>
      <c r="U1031" s="68"/>
      <c r="V1031" s="68"/>
      <c r="W1031" s="68"/>
      <c r="X1031" s="68"/>
      <c r="Y1031" s="68"/>
      <c r="Z1031" s="68"/>
      <c r="AA1031" s="68"/>
    </row>
    <row r="1032" ht="26.25" customHeight="1">
      <c r="A1032" s="68"/>
      <c r="B1032" s="68"/>
      <c r="C1032" s="68"/>
      <c r="D1032" s="71"/>
      <c r="E1032" s="71"/>
      <c r="F1032" s="71"/>
      <c r="G1032" s="65"/>
      <c r="H1032" s="74"/>
      <c r="I1032" s="67" t="str">
        <f>IFERROR(__xludf.DUMMYFUNCTION("if($H1032="""", """", AVERAGE(split($H1032, "";"")))"),"")</f>
        <v/>
      </c>
      <c r="J1032" s="67" t="str">
        <f>IFERROR(__xludf.DUMMYFUNCTION("if(H1032="""", """", SUM(split(H1032, "";"")))"),"")</f>
        <v/>
      </c>
      <c r="K1032" s="68"/>
      <c r="L1032" s="68"/>
      <c r="M1032" s="68"/>
      <c r="N1032" s="68"/>
      <c r="O1032" s="68"/>
      <c r="P1032" s="68"/>
      <c r="Q1032" s="68"/>
      <c r="R1032" s="68"/>
      <c r="S1032" s="68"/>
      <c r="T1032" s="68"/>
      <c r="U1032" s="68"/>
      <c r="V1032" s="68"/>
      <c r="W1032" s="68"/>
      <c r="X1032" s="68"/>
      <c r="Y1032" s="68"/>
      <c r="Z1032" s="68"/>
      <c r="AA1032" s="68"/>
    </row>
    <row r="1033" ht="26.25" customHeight="1">
      <c r="A1033" s="68"/>
      <c r="B1033" s="68"/>
      <c r="C1033" s="68"/>
      <c r="D1033" s="71"/>
      <c r="E1033" s="71"/>
      <c r="F1033" s="71"/>
      <c r="G1033" s="65"/>
      <c r="H1033" s="74"/>
      <c r="I1033" s="67" t="str">
        <f>IFERROR(__xludf.DUMMYFUNCTION("if($H1033="""", """", AVERAGE(split($H1033, "";"")))"),"")</f>
        <v/>
      </c>
      <c r="J1033" s="67" t="str">
        <f>IFERROR(__xludf.DUMMYFUNCTION("if(H1033="""", """", SUM(split(H1033, "";"")))"),"")</f>
        <v/>
      </c>
      <c r="K1033" s="68"/>
      <c r="L1033" s="68"/>
      <c r="M1033" s="68"/>
      <c r="N1033" s="68"/>
      <c r="O1033" s="68"/>
      <c r="P1033" s="68"/>
      <c r="Q1033" s="68"/>
      <c r="R1033" s="68"/>
      <c r="S1033" s="68"/>
      <c r="T1033" s="68"/>
      <c r="U1033" s="68"/>
      <c r="V1033" s="68"/>
      <c r="W1033" s="68"/>
      <c r="X1033" s="68"/>
      <c r="Y1033" s="68"/>
      <c r="Z1033" s="68"/>
      <c r="AA1033" s="68"/>
    </row>
    <row r="1034" ht="26.25" customHeight="1">
      <c r="A1034" s="68"/>
      <c r="B1034" s="68"/>
      <c r="C1034" s="68"/>
      <c r="D1034" s="71"/>
      <c r="E1034" s="71"/>
      <c r="F1034" s="71"/>
      <c r="G1034" s="65"/>
      <c r="H1034" s="74"/>
      <c r="I1034" s="67" t="str">
        <f>IFERROR(__xludf.DUMMYFUNCTION("if($H1034="""", """", AVERAGE(split($H1034, "";"")))"),"")</f>
        <v/>
      </c>
      <c r="J1034" s="67" t="str">
        <f>IFERROR(__xludf.DUMMYFUNCTION("if(H1034="""", """", SUM(split(H1034, "";"")))"),"")</f>
        <v/>
      </c>
      <c r="K1034" s="68"/>
      <c r="L1034" s="68"/>
      <c r="M1034" s="68"/>
      <c r="N1034" s="68"/>
      <c r="O1034" s="68"/>
      <c r="P1034" s="68"/>
      <c r="Q1034" s="68"/>
      <c r="R1034" s="68"/>
      <c r="S1034" s="68"/>
      <c r="T1034" s="68"/>
      <c r="U1034" s="68"/>
      <c r="V1034" s="68"/>
      <c r="W1034" s="68"/>
      <c r="X1034" s="68"/>
      <c r="Y1034" s="68"/>
      <c r="Z1034" s="68"/>
      <c r="AA1034" s="68"/>
    </row>
    <row r="1035" ht="26.25" customHeight="1">
      <c r="A1035" s="68"/>
      <c r="B1035" s="68"/>
      <c r="C1035" s="68"/>
      <c r="D1035" s="71"/>
      <c r="E1035" s="71"/>
      <c r="F1035" s="71"/>
      <c r="G1035" s="65"/>
      <c r="H1035" s="74"/>
      <c r="I1035" s="67" t="str">
        <f>IFERROR(__xludf.DUMMYFUNCTION("if($H1035="""", """", AVERAGE(split($H1035, "";"")))"),"")</f>
        <v/>
      </c>
      <c r="J1035" s="67" t="str">
        <f>IFERROR(__xludf.DUMMYFUNCTION("if(H1035="""", """", SUM(split(H1035, "";"")))"),"")</f>
        <v/>
      </c>
      <c r="K1035" s="68"/>
      <c r="L1035" s="68"/>
      <c r="M1035" s="68"/>
      <c r="N1035" s="68"/>
      <c r="O1035" s="68"/>
      <c r="P1035" s="68"/>
      <c r="Q1035" s="68"/>
      <c r="R1035" s="68"/>
      <c r="S1035" s="68"/>
      <c r="T1035" s="68"/>
      <c r="U1035" s="68"/>
      <c r="V1035" s="68"/>
      <c r="W1035" s="68"/>
      <c r="X1035" s="68"/>
      <c r="Y1035" s="68"/>
      <c r="Z1035" s="68"/>
      <c r="AA1035" s="68"/>
    </row>
    <row r="1036" ht="26.25" customHeight="1">
      <c r="A1036" s="68"/>
      <c r="B1036" s="68"/>
      <c r="C1036" s="68"/>
      <c r="D1036" s="71"/>
      <c r="E1036" s="71"/>
      <c r="F1036" s="71"/>
      <c r="G1036" s="65"/>
      <c r="H1036" s="74"/>
      <c r="I1036" s="67" t="str">
        <f>IFERROR(__xludf.DUMMYFUNCTION("if($H1036="""", """", AVERAGE(split($H1036, "";"")))"),"")</f>
        <v/>
      </c>
      <c r="J1036" s="67" t="str">
        <f>IFERROR(__xludf.DUMMYFUNCTION("if(H1036="""", """", SUM(split(H1036, "";"")))"),"")</f>
        <v/>
      </c>
      <c r="K1036" s="68"/>
      <c r="L1036" s="68"/>
      <c r="M1036" s="68"/>
      <c r="N1036" s="68"/>
      <c r="O1036" s="68"/>
      <c r="P1036" s="68"/>
      <c r="Q1036" s="68"/>
      <c r="R1036" s="68"/>
      <c r="S1036" s="68"/>
      <c r="T1036" s="68"/>
      <c r="U1036" s="68"/>
      <c r="V1036" s="68"/>
      <c r="W1036" s="68"/>
      <c r="X1036" s="68"/>
      <c r="Y1036" s="68"/>
      <c r="Z1036" s="68"/>
      <c r="AA1036" s="68"/>
    </row>
    <row r="1037" ht="26.25" customHeight="1">
      <c r="A1037" s="68"/>
      <c r="B1037" s="68"/>
      <c r="C1037" s="68"/>
      <c r="D1037" s="71"/>
      <c r="E1037" s="71"/>
      <c r="F1037" s="71"/>
      <c r="G1037" s="65"/>
      <c r="H1037" s="74"/>
      <c r="I1037" s="67" t="str">
        <f>IFERROR(__xludf.DUMMYFUNCTION("if($H1037="""", """", AVERAGE(split($H1037, "";"")))"),"")</f>
        <v/>
      </c>
      <c r="J1037" s="67" t="str">
        <f>IFERROR(__xludf.DUMMYFUNCTION("if(H1037="""", """", SUM(split(H1037, "";"")))"),"")</f>
        <v/>
      </c>
      <c r="K1037" s="68"/>
      <c r="L1037" s="68"/>
      <c r="M1037" s="68"/>
      <c r="N1037" s="68"/>
      <c r="O1037" s="68"/>
      <c r="P1037" s="68"/>
      <c r="Q1037" s="68"/>
      <c r="R1037" s="68"/>
      <c r="S1037" s="68"/>
      <c r="T1037" s="68"/>
      <c r="U1037" s="68"/>
      <c r="V1037" s="68"/>
      <c r="W1037" s="68"/>
      <c r="X1037" s="68"/>
      <c r="Y1037" s="68"/>
      <c r="Z1037" s="68"/>
      <c r="AA1037" s="68"/>
    </row>
    <row r="1038" ht="26.25" customHeight="1">
      <c r="A1038" s="68"/>
      <c r="B1038" s="68"/>
      <c r="C1038" s="68"/>
      <c r="D1038" s="71"/>
      <c r="E1038" s="71"/>
      <c r="F1038" s="71"/>
      <c r="G1038" s="65"/>
      <c r="H1038" s="74"/>
      <c r="I1038" s="67" t="str">
        <f>IFERROR(__xludf.DUMMYFUNCTION("if($H1038="""", """", AVERAGE(split($H1038, "";"")))"),"")</f>
        <v/>
      </c>
      <c r="J1038" s="67" t="str">
        <f>IFERROR(__xludf.DUMMYFUNCTION("if(H1038="""", """", SUM(split(H1038, "";"")))"),"")</f>
        <v/>
      </c>
      <c r="K1038" s="68"/>
      <c r="L1038" s="68"/>
      <c r="M1038" s="68"/>
      <c r="N1038" s="68"/>
      <c r="O1038" s="68"/>
      <c r="P1038" s="68"/>
      <c r="Q1038" s="68"/>
      <c r="R1038" s="68"/>
      <c r="S1038" s="68"/>
      <c r="T1038" s="68"/>
      <c r="U1038" s="68"/>
      <c r="V1038" s="68"/>
      <c r="W1038" s="68"/>
      <c r="X1038" s="68"/>
      <c r="Y1038" s="68"/>
      <c r="Z1038" s="68"/>
      <c r="AA1038" s="68"/>
    </row>
    <row r="1039" ht="26.25" customHeight="1">
      <c r="A1039" s="68"/>
      <c r="B1039" s="68"/>
      <c r="C1039" s="68"/>
      <c r="D1039" s="71"/>
      <c r="E1039" s="71"/>
      <c r="F1039" s="71"/>
      <c r="G1039" s="65"/>
      <c r="H1039" s="74"/>
      <c r="I1039" s="67" t="str">
        <f>IFERROR(__xludf.DUMMYFUNCTION("if($H1039="""", """", AVERAGE(split($H1039, "";"")))"),"")</f>
        <v/>
      </c>
      <c r="J1039" s="67" t="str">
        <f>IFERROR(__xludf.DUMMYFUNCTION("if(H1039="""", """", SUM(split(H1039, "";"")))"),"")</f>
        <v/>
      </c>
      <c r="K1039" s="68"/>
      <c r="L1039" s="68"/>
      <c r="M1039" s="68"/>
      <c r="N1039" s="68"/>
      <c r="O1039" s="68"/>
      <c r="P1039" s="68"/>
      <c r="Q1039" s="68"/>
      <c r="R1039" s="68"/>
      <c r="S1039" s="68"/>
      <c r="T1039" s="68"/>
      <c r="U1039" s="68"/>
      <c r="V1039" s="68"/>
      <c r="W1039" s="68"/>
      <c r="X1039" s="68"/>
      <c r="Y1039" s="68"/>
      <c r="Z1039" s="68"/>
      <c r="AA1039" s="68"/>
    </row>
    <row r="1040" ht="26.25" customHeight="1">
      <c r="A1040" s="68"/>
      <c r="B1040" s="68"/>
      <c r="C1040" s="68"/>
      <c r="D1040" s="71"/>
      <c r="E1040" s="71"/>
      <c r="F1040" s="71"/>
      <c r="G1040" s="65"/>
      <c r="H1040" s="74"/>
      <c r="I1040" s="67" t="str">
        <f>IFERROR(__xludf.DUMMYFUNCTION("if($H1040="""", """", AVERAGE(split($H1040, "";"")))"),"")</f>
        <v/>
      </c>
      <c r="J1040" s="67" t="str">
        <f>IFERROR(__xludf.DUMMYFUNCTION("if(H1040="""", """", SUM(split(H1040, "";"")))"),"")</f>
        <v/>
      </c>
      <c r="K1040" s="68"/>
      <c r="L1040" s="68"/>
      <c r="M1040" s="68"/>
      <c r="N1040" s="68"/>
      <c r="O1040" s="68"/>
      <c r="P1040" s="68"/>
      <c r="Q1040" s="68"/>
      <c r="R1040" s="68"/>
      <c r="S1040" s="68"/>
      <c r="T1040" s="68"/>
      <c r="U1040" s="68"/>
      <c r="V1040" s="68"/>
      <c r="W1040" s="68"/>
      <c r="X1040" s="68"/>
      <c r="Y1040" s="68"/>
      <c r="Z1040" s="68"/>
      <c r="AA1040" s="68"/>
    </row>
    <row r="1041" ht="26.25" customHeight="1">
      <c r="A1041" s="68"/>
      <c r="B1041" s="68"/>
      <c r="C1041" s="68"/>
      <c r="D1041" s="71"/>
      <c r="E1041" s="71"/>
      <c r="F1041" s="71"/>
      <c r="G1041" s="65"/>
      <c r="H1041" s="74"/>
      <c r="I1041" s="67" t="str">
        <f>IFERROR(__xludf.DUMMYFUNCTION("if($H1041="""", """", AVERAGE(split($H1041, "";"")))"),"")</f>
        <v/>
      </c>
      <c r="J1041" s="67" t="str">
        <f>IFERROR(__xludf.DUMMYFUNCTION("if(H1041="""", """", SUM(split(H1041, "";"")))"),"")</f>
        <v/>
      </c>
      <c r="K1041" s="68"/>
      <c r="L1041" s="68"/>
      <c r="M1041" s="68"/>
      <c r="N1041" s="68"/>
      <c r="O1041" s="68"/>
      <c r="P1041" s="68"/>
      <c r="Q1041" s="68"/>
      <c r="R1041" s="68"/>
      <c r="S1041" s="68"/>
      <c r="T1041" s="68"/>
      <c r="U1041" s="68"/>
      <c r="V1041" s="68"/>
      <c r="W1041" s="68"/>
      <c r="X1041" s="68"/>
      <c r="Y1041" s="68"/>
      <c r="Z1041" s="68"/>
      <c r="AA1041" s="68"/>
    </row>
    <row r="1042" ht="26.25" customHeight="1">
      <c r="A1042" s="68"/>
      <c r="B1042" s="68"/>
      <c r="C1042" s="68"/>
      <c r="D1042" s="71"/>
      <c r="E1042" s="71"/>
      <c r="F1042" s="71"/>
      <c r="G1042" s="65"/>
      <c r="H1042" s="74"/>
      <c r="I1042" s="67" t="str">
        <f>IFERROR(__xludf.DUMMYFUNCTION("if($H1042="""", """", AVERAGE(split($H1042, "";"")))"),"")</f>
        <v/>
      </c>
      <c r="J1042" s="67" t="str">
        <f>IFERROR(__xludf.DUMMYFUNCTION("if(H1042="""", """", SUM(split(H1042, "";"")))"),"")</f>
        <v/>
      </c>
      <c r="K1042" s="68"/>
      <c r="L1042" s="68"/>
      <c r="M1042" s="68"/>
      <c r="N1042" s="68"/>
      <c r="O1042" s="68"/>
      <c r="P1042" s="68"/>
      <c r="Q1042" s="68"/>
      <c r="R1042" s="68"/>
      <c r="S1042" s="68"/>
      <c r="T1042" s="68"/>
      <c r="U1042" s="68"/>
      <c r="V1042" s="68"/>
      <c r="W1042" s="68"/>
      <c r="X1042" s="68"/>
      <c r="Y1042" s="68"/>
      <c r="Z1042" s="68"/>
      <c r="AA1042" s="68"/>
    </row>
    <row r="1043" ht="26.25" customHeight="1">
      <c r="A1043" s="68"/>
      <c r="B1043" s="68"/>
      <c r="C1043" s="68"/>
      <c r="D1043" s="71"/>
      <c r="E1043" s="71"/>
      <c r="F1043" s="71"/>
      <c r="G1043" s="65"/>
      <c r="H1043" s="74"/>
      <c r="I1043" s="67" t="str">
        <f>IFERROR(__xludf.DUMMYFUNCTION("if($H1043="""", """", AVERAGE(split($H1043, "";"")))"),"")</f>
        <v/>
      </c>
      <c r="J1043" s="67" t="str">
        <f>IFERROR(__xludf.DUMMYFUNCTION("if(H1043="""", """", SUM(split(H1043, "";"")))"),"")</f>
        <v/>
      </c>
      <c r="K1043" s="68"/>
      <c r="L1043" s="68"/>
      <c r="M1043" s="68"/>
      <c r="N1043" s="68"/>
      <c r="O1043" s="68"/>
      <c r="P1043" s="68"/>
      <c r="Q1043" s="68"/>
      <c r="R1043" s="68"/>
      <c r="S1043" s="68"/>
      <c r="T1043" s="68"/>
      <c r="U1043" s="68"/>
      <c r="V1043" s="68"/>
      <c r="W1043" s="68"/>
      <c r="X1043" s="68"/>
      <c r="Y1043" s="68"/>
      <c r="Z1043" s="68"/>
      <c r="AA1043" s="68"/>
    </row>
    <row r="1044" ht="26.25" customHeight="1">
      <c r="A1044" s="68"/>
      <c r="B1044" s="68"/>
      <c r="C1044" s="68"/>
      <c r="D1044" s="71"/>
      <c r="E1044" s="71"/>
      <c r="F1044" s="71"/>
      <c r="G1044" s="65"/>
      <c r="H1044" s="74"/>
      <c r="I1044" s="67" t="str">
        <f>IFERROR(__xludf.DUMMYFUNCTION("if($H1044="""", """", AVERAGE(split($H1044, "";"")))"),"")</f>
        <v/>
      </c>
      <c r="J1044" s="67" t="str">
        <f>IFERROR(__xludf.DUMMYFUNCTION("if(H1044="""", """", SUM(split(H1044, "";"")))"),"")</f>
        <v/>
      </c>
      <c r="K1044" s="68"/>
      <c r="L1044" s="68"/>
      <c r="M1044" s="68"/>
      <c r="N1044" s="68"/>
      <c r="O1044" s="68"/>
      <c r="P1044" s="68"/>
      <c r="Q1044" s="68"/>
      <c r="R1044" s="68"/>
      <c r="S1044" s="68"/>
      <c r="T1044" s="68"/>
      <c r="U1044" s="68"/>
      <c r="V1044" s="68"/>
      <c r="W1044" s="68"/>
      <c r="X1044" s="68"/>
      <c r="Y1044" s="68"/>
      <c r="Z1044" s="68"/>
      <c r="AA1044" s="68"/>
    </row>
    <row r="1045" ht="26.25" customHeight="1">
      <c r="A1045" s="68"/>
      <c r="B1045" s="68"/>
      <c r="C1045" s="68"/>
      <c r="D1045" s="71"/>
      <c r="E1045" s="71"/>
      <c r="F1045" s="71"/>
      <c r="G1045" s="65"/>
      <c r="H1045" s="74"/>
      <c r="I1045" s="67" t="str">
        <f>IFERROR(__xludf.DUMMYFUNCTION("if($H1045="""", """", AVERAGE(split($H1045, "";"")))"),"")</f>
        <v/>
      </c>
      <c r="J1045" s="67" t="str">
        <f>IFERROR(__xludf.DUMMYFUNCTION("if(H1045="""", """", SUM(split(H1045, "";"")))"),"")</f>
        <v/>
      </c>
      <c r="K1045" s="68"/>
      <c r="L1045" s="68"/>
      <c r="M1045" s="68"/>
      <c r="N1045" s="68"/>
      <c r="O1045" s="68"/>
      <c r="P1045" s="68"/>
      <c r="Q1045" s="68"/>
      <c r="R1045" s="68"/>
      <c r="S1045" s="68"/>
      <c r="T1045" s="68"/>
      <c r="U1045" s="68"/>
      <c r="V1045" s="68"/>
      <c r="W1045" s="68"/>
      <c r="X1045" s="68"/>
      <c r="Y1045" s="68"/>
      <c r="Z1045" s="68"/>
      <c r="AA1045" s="68"/>
    </row>
    <row r="1046" ht="26.25" customHeight="1">
      <c r="A1046" s="68"/>
      <c r="B1046" s="68"/>
      <c r="C1046" s="68"/>
      <c r="D1046" s="71"/>
      <c r="E1046" s="71"/>
      <c r="F1046" s="71"/>
      <c r="G1046" s="65"/>
      <c r="H1046" s="74"/>
      <c r="I1046" s="67" t="str">
        <f>IFERROR(__xludf.DUMMYFUNCTION("if($H1046="""", """", AVERAGE(split($H1046, "";"")))"),"")</f>
        <v/>
      </c>
      <c r="J1046" s="67" t="str">
        <f>IFERROR(__xludf.DUMMYFUNCTION("if(H1046="""", """", SUM(split(H1046, "";"")))"),"")</f>
        <v/>
      </c>
      <c r="K1046" s="68"/>
      <c r="L1046" s="68"/>
      <c r="M1046" s="68"/>
      <c r="N1046" s="68"/>
      <c r="O1046" s="68"/>
      <c r="P1046" s="68"/>
      <c r="Q1046" s="68"/>
      <c r="R1046" s="68"/>
      <c r="S1046" s="68"/>
      <c r="T1046" s="68"/>
      <c r="U1046" s="68"/>
      <c r="V1046" s="68"/>
      <c r="W1046" s="68"/>
      <c r="X1046" s="68"/>
      <c r="Y1046" s="68"/>
      <c r="Z1046" s="68"/>
      <c r="AA1046" s="68"/>
    </row>
    <row r="1047" ht="26.25" customHeight="1">
      <c r="A1047" s="68"/>
      <c r="B1047" s="68"/>
      <c r="C1047" s="68"/>
      <c r="D1047" s="71"/>
      <c r="E1047" s="71"/>
      <c r="F1047" s="71"/>
      <c r="G1047" s="65"/>
      <c r="H1047" s="74"/>
      <c r="I1047" s="67" t="str">
        <f>IFERROR(__xludf.DUMMYFUNCTION("if($H1047="""", """", AVERAGE(split($H1047, "";"")))"),"")</f>
        <v/>
      </c>
      <c r="J1047" s="67" t="str">
        <f>IFERROR(__xludf.DUMMYFUNCTION("if(H1047="""", """", SUM(split(H1047, "";"")))"),"")</f>
        <v/>
      </c>
      <c r="K1047" s="68"/>
      <c r="L1047" s="68"/>
      <c r="M1047" s="68"/>
      <c r="N1047" s="68"/>
      <c r="O1047" s="68"/>
      <c r="P1047" s="68"/>
      <c r="Q1047" s="68"/>
      <c r="R1047" s="68"/>
      <c r="S1047" s="68"/>
      <c r="T1047" s="68"/>
      <c r="U1047" s="68"/>
      <c r="V1047" s="68"/>
      <c r="W1047" s="68"/>
      <c r="X1047" s="68"/>
      <c r="Y1047" s="68"/>
      <c r="Z1047" s="68"/>
      <c r="AA1047" s="68"/>
    </row>
    <row r="1048" ht="26.25" customHeight="1">
      <c r="A1048" s="68"/>
      <c r="B1048" s="68"/>
      <c r="C1048" s="68"/>
      <c r="D1048" s="71"/>
      <c r="E1048" s="71"/>
      <c r="F1048" s="71"/>
      <c r="G1048" s="65"/>
      <c r="H1048" s="74"/>
      <c r="I1048" s="67" t="str">
        <f>IFERROR(__xludf.DUMMYFUNCTION("if($H1048="""", """", AVERAGE(split($H1048, "";"")))"),"")</f>
        <v/>
      </c>
      <c r="J1048" s="67" t="str">
        <f>IFERROR(__xludf.DUMMYFUNCTION("if(H1048="""", """", SUM(split(H1048, "";"")))"),"")</f>
        <v/>
      </c>
      <c r="K1048" s="68"/>
      <c r="L1048" s="68"/>
      <c r="M1048" s="68"/>
      <c r="N1048" s="68"/>
      <c r="O1048" s="68"/>
      <c r="P1048" s="68"/>
      <c r="Q1048" s="68"/>
      <c r="R1048" s="68"/>
      <c r="S1048" s="68"/>
      <c r="T1048" s="68"/>
      <c r="U1048" s="68"/>
      <c r="V1048" s="68"/>
      <c r="W1048" s="68"/>
      <c r="X1048" s="68"/>
      <c r="Y1048" s="68"/>
      <c r="Z1048" s="68"/>
      <c r="AA1048" s="68"/>
    </row>
    <row r="1049" ht="26.25" customHeight="1">
      <c r="A1049" s="68"/>
      <c r="B1049" s="68"/>
      <c r="C1049" s="68"/>
      <c r="D1049" s="71"/>
      <c r="E1049" s="71"/>
      <c r="F1049" s="71"/>
      <c r="G1049" s="65"/>
      <c r="H1049" s="74"/>
      <c r="I1049" s="67" t="str">
        <f>IFERROR(__xludf.DUMMYFUNCTION("if($H1049="""", """", AVERAGE(split($H1049, "";"")))"),"")</f>
        <v/>
      </c>
      <c r="J1049" s="67" t="str">
        <f>IFERROR(__xludf.DUMMYFUNCTION("if(H1049="""", """", SUM(split(H1049, "";"")))"),"")</f>
        <v/>
      </c>
      <c r="K1049" s="68"/>
      <c r="L1049" s="68"/>
      <c r="M1049" s="68"/>
      <c r="N1049" s="68"/>
      <c r="O1049" s="68"/>
      <c r="P1049" s="68"/>
      <c r="Q1049" s="68"/>
      <c r="R1049" s="68"/>
      <c r="S1049" s="68"/>
      <c r="T1049" s="68"/>
      <c r="U1049" s="68"/>
      <c r="V1049" s="68"/>
      <c r="W1049" s="68"/>
      <c r="X1049" s="68"/>
      <c r="Y1049" s="68"/>
      <c r="Z1049" s="68"/>
      <c r="AA1049" s="68"/>
    </row>
    <row r="1050" ht="26.25" customHeight="1">
      <c r="A1050" s="68"/>
      <c r="B1050" s="68"/>
      <c r="C1050" s="68"/>
      <c r="D1050" s="71"/>
      <c r="E1050" s="71"/>
      <c r="F1050" s="71"/>
      <c r="G1050" s="65"/>
      <c r="H1050" s="74"/>
      <c r="I1050" s="67" t="str">
        <f>IFERROR(__xludf.DUMMYFUNCTION("if($H1050="""", """", AVERAGE(split($H1050, "";"")))"),"")</f>
        <v/>
      </c>
      <c r="J1050" s="67" t="str">
        <f>IFERROR(__xludf.DUMMYFUNCTION("if(H1050="""", """", SUM(split(H1050, "";"")))"),"")</f>
        <v/>
      </c>
      <c r="K1050" s="68"/>
      <c r="L1050" s="68"/>
      <c r="M1050" s="68"/>
      <c r="N1050" s="68"/>
      <c r="O1050" s="68"/>
      <c r="P1050" s="68"/>
      <c r="Q1050" s="68"/>
      <c r="R1050" s="68"/>
      <c r="S1050" s="68"/>
      <c r="T1050" s="68"/>
      <c r="U1050" s="68"/>
      <c r="V1050" s="68"/>
      <c r="W1050" s="68"/>
      <c r="X1050" s="68"/>
      <c r="Y1050" s="68"/>
      <c r="Z1050" s="68"/>
      <c r="AA1050" s="68"/>
    </row>
    <row r="1051" ht="26.25" customHeight="1">
      <c r="A1051" s="68"/>
      <c r="B1051" s="68"/>
      <c r="C1051" s="68"/>
      <c r="D1051" s="71"/>
      <c r="E1051" s="71"/>
      <c r="F1051" s="71"/>
      <c r="G1051" s="65"/>
      <c r="H1051" s="74"/>
      <c r="I1051" s="67" t="str">
        <f>IFERROR(__xludf.DUMMYFUNCTION("if($H1051="""", """", AVERAGE(split($H1051, "";"")))"),"")</f>
        <v/>
      </c>
      <c r="J1051" s="67" t="str">
        <f>IFERROR(__xludf.DUMMYFUNCTION("if(H1051="""", """", SUM(split(H1051, "";"")))"),"")</f>
        <v/>
      </c>
      <c r="K1051" s="68"/>
      <c r="L1051" s="68"/>
      <c r="M1051" s="68"/>
      <c r="N1051" s="68"/>
      <c r="O1051" s="68"/>
      <c r="P1051" s="68"/>
      <c r="Q1051" s="68"/>
      <c r="R1051" s="68"/>
      <c r="S1051" s="68"/>
      <c r="T1051" s="68"/>
      <c r="U1051" s="68"/>
      <c r="V1051" s="68"/>
      <c r="W1051" s="68"/>
      <c r="X1051" s="68"/>
      <c r="Y1051" s="68"/>
      <c r="Z1051" s="68"/>
      <c r="AA1051" s="68"/>
    </row>
    <row r="1052" ht="26.25" customHeight="1">
      <c r="A1052" s="68"/>
      <c r="B1052" s="68"/>
      <c r="C1052" s="68"/>
      <c r="D1052" s="71"/>
      <c r="E1052" s="71"/>
      <c r="F1052" s="71"/>
      <c r="G1052" s="65"/>
      <c r="H1052" s="74"/>
      <c r="I1052" s="67" t="str">
        <f>IFERROR(__xludf.DUMMYFUNCTION("if($H1052="""", """", AVERAGE(split($H1052, "";"")))"),"")</f>
        <v/>
      </c>
      <c r="J1052" s="67" t="str">
        <f>IFERROR(__xludf.DUMMYFUNCTION("if(H1052="""", """", SUM(split(H1052, "";"")))"),"")</f>
        <v/>
      </c>
      <c r="K1052" s="68"/>
      <c r="L1052" s="68"/>
      <c r="M1052" s="68"/>
      <c r="N1052" s="68"/>
      <c r="O1052" s="68"/>
      <c r="P1052" s="68"/>
      <c r="Q1052" s="68"/>
      <c r="R1052" s="68"/>
      <c r="S1052" s="68"/>
      <c r="T1052" s="68"/>
      <c r="U1052" s="68"/>
      <c r="V1052" s="68"/>
      <c r="W1052" s="68"/>
      <c r="X1052" s="68"/>
      <c r="Y1052" s="68"/>
      <c r="Z1052" s="68"/>
      <c r="AA1052" s="68"/>
    </row>
    <row r="1053" ht="26.25" customHeight="1">
      <c r="A1053" s="68"/>
      <c r="B1053" s="68"/>
      <c r="C1053" s="68"/>
      <c r="D1053" s="71"/>
      <c r="E1053" s="71"/>
      <c r="F1053" s="71"/>
      <c r="G1053" s="65"/>
      <c r="H1053" s="74"/>
      <c r="I1053" s="67" t="str">
        <f>IFERROR(__xludf.DUMMYFUNCTION("if($H1053="""", """", AVERAGE(split($H1053, "";"")))"),"")</f>
        <v/>
      </c>
      <c r="J1053" s="67" t="str">
        <f>IFERROR(__xludf.DUMMYFUNCTION("if(H1053="""", """", SUM(split(H1053, "";"")))"),"")</f>
        <v/>
      </c>
      <c r="K1053" s="68"/>
      <c r="L1053" s="68"/>
      <c r="M1053" s="68"/>
      <c r="N1053" s="68"/>
      <c r="O1053" s="68"/>
      <c r="P1053" s="68"/>
      <c r="Q1053" s="68"/>
      <c r="R1053" s="68"/>
      <c r="S1053" s="68"/>
      <c r="T1053" s="68"/>
      <c r="U1053" s="68"/>
      <c r="V1053" s="68"/>
      <c r="W1053" s="68"/>
      <c r="X1053" s="68"/>
      <c r="Y1053" s="68"/>
      <c r="Z1053" s="68"/>
      <c r="AA1053" s="68"/>
    </row>
    <row r="1054" ht="26.25" customHeight="1">
      <c r="A1054" s="68"/>
      <c r="B1054" s="68"/>
      <c r="C1054" s="68"/>
      <c r="D1054" s="71"/>
      <c r="E1054" s="71"/>
      <c r="F1054" s="71"/>
      <c r="G1054" s="65"/>
      <c r="H1054" s="74"/>
      <c r="I1054" s="67" t="str">
        <f>IFERROR(__xludf.DUMMYFUNCTION("if($H1054="""", """", AVERAGE(split($H1054, "";"")))"),"")</f>
        <v/>
      </c>
      <c r="J1054" s="67" t="str">
        <f>IFERROR(__xludf.DUMMYFUNCTION("if(H1054="""", """", SUM(split(H1054, "";"")))"),"")</f>
        <v/>
      </c>
      <c r="K1054" s="68"/>
      <c r="L1054" s="68"/>
      <c r="M1054" s="68"/>
      <c r="N1054" s="68"/>
      <c r="O1054" s="68"/>
      <c r="P1054" s="68"/>
      <c r="Q1054" s="68"/>
      <c r="R1054" s="68"/>
      <c r="S1054" s="68"/>
      <c r="T1054" s="68"/>
      <c r="U1054" s="68"/>
      <c r="V1054" s="68"/>
      <c r="W1054" s="68"/>
      <c r="X1054" s="68"/>
      <c r="Y1054" s="68"/>
      <c r="Z1054" s="68"/>
      <c r="AA1054" s="68"/>
    </row>
    <row r="1055" ht="26.25" customHeight="1">
      <c r="A1055" s="68"/>
      <c r="B1055" s="68"/>
      <c r="C1055" s="68"/>
      <c r="D1055" s="71"/>
      <c r="E1055" s="71"/>
      <c r="F1055" s="71"/>
      <c r="G1055" s="65"/>
      <c r="H1055" s="74"/>
      <c r="I1055" s="67" t="str">
        <f>IFERROR(__xludf.DUMMYFUNCTION("if($H1055="""", """", AVERAGE(split($H1055, "";"")))"),"")</f>
        <v/>
      </c>
      <c r="J1055" s="67" t="str">
        <f>IFERROR(__xludf.DUMMYFUNCTION("if(H1055="""", """", SUM(split(H1055, "";"")))"),"")</f>
        <v/>
      </c>
      <c r="K1055" s="68"/>
      <c r="L1055" s="68"/>
      <c r="M1055" s="68"/>
      <c r="N1055" s="68"/>
      <c r="O1055" s="68"/>
      <c r="P1055" s="68"/>
      <c r="Q1055" s="68"/>
      <c r="R1055" s="68"/>
      <c r="S1055" s="68"/>
      <c r="T1055" s="68"/>
      <c r="U1055" s="68"/>
      <c r="V1055" s="68"/>
      <c r="W1055" s="68"/>
      <c r="X1055" s="68"/>
      <c r="Y1055" s="68"/>
      <c r="Z1055" s="68"/>
      <c r="AA1055" s="68"/>
    </row>
    <row r="1056" ht="26.25" customHeight="1">
      <c r="A1056" s="68"/>
      <c r="B1056" s="68"/>
      <c r="C1056" s="68"/>
      <c r="D1056" s="71"/>
      <c r="E1056" s="71"/>
      <c r="F1056" s="71"/>
      <c r="G1056" s="65"/>
      <c r="H1056" s="74"/>
      <c r="I1056" s="67" t="str">
        <f>IFERROR(__xludf.DUMMYFUNCTION("if($H1056="""", """", AVERAGE(split($H1056, "";"")))"),"")</f>
        <v/>
      </c>
      <c r="J1056" s="67" t="str">
        <f>IFERROR(__xludf.DUMMYFUNCTION("if(H1056="""", """", SUM(split(H1056, "";"")))"),"")</f>
        <v/>
      </c>
      <c r="K1056" s="68"/>
      <c r="L1056" s="68"/>
      <c r="M1056" s="68"/>
      <c r="N1056" s="68"/>
      <c r="O1056" s="68"/>
      <c r="P1056" s="68"/>
      <c r="Q1056" s="68"/>
      <c r="R1056" s="68"/>
      <c r="S1056" s="68"/>
      <c r="T1056" s="68"/>
      <c r="U1056" s="68"/>
      <c r="V1056" s="68"/>
      <c r="W1056" s="68"/>
      <c r="X1056" s="68"/>
      <c r="Y1056" s="68"/>
      <c r="Z1056" s="68"/>
      <c r="AA1056" s="68"/>
    </row>
    <row r="1057" ht="26.25" customHeight="1">
      <c r="A1057" s="68"/>
      <c r="B1057" s="68"/>
      <c r="C1057" s="68"/>
      <c r="D1057" s="71"/>
      <c r="E1057" s="71"/>
      <c r="F1057" s="71"/>
      <c r="G1057" s="65"/>
      <c r="H1057" s="74"/>
      <c r="I1057" s="67" t="str">
        <f>IFERROR(__xludf.DUMMYFUNCTION("if($H1057="""", """", AVERAGE(split($H1057, "";"")))"),"")</f>
        <v/>
      </c>
      <c r="J1057" s="67" t="str">
        <f>IFERROR(__xludf.DUMMYFUNCTION("if(H1057="""", """", SUM(split(H1057, "";"")))"),"")</f>
        <v/>
      </c>
      <c r="K1057" s="68"/>
      <c r="L1057" s="68"/>
      <c r="M1057" s="68"/>
      <c r="N1057" s="68"/>
      <c r="O1057" s="68"/>
      <c r="P1057" s="68"/>
      <c r="Q1057" s="68"/>
      <c r="R1057" s="68"/>
      <c r="S1057" s="68"/>
      <c r="T1057" s="68"/>
      <c r="U1057" s="68"/>
      <c r="V1057" s="68"/>
      <c r="W1057" s="68"/>
      <c r="X1057" s="68"/>
      <c r="Y1057" s="68"/>
      <c r="Z1057" s="68"/>
      <c r="AA1057" s="68"/>
    </row>
    <row r="1058" ht="26.25" customHeight="1">
      <c r="A1058" s="68"/>
      <c r="B1058" s="68"/>
      <c r="C1058" s="68"/>
      <c r="D1058" s="71"/>
      <c r="E1058" s="71"/>
      <c r="F1058" s="71"/>
      <c r="G1058" s="65"/>
      <c r="H1058" s="74"/>
      <c r="I1058" s="67" t="str">
        <f>IFERROR(__xludf.DUMMYFUNCTION("if($H1058="""", """", AVERAGE(split($H1058, "";"")))"),"")</f>
        <v/>
      </c>
      <c r="J1058" s="67" t="str">
        <f>IFERROR(__xludf.DUMMYFUNCTION("if(H1058="""", """", SUM(split(H1058, "";"")))"),"")</f>
        <v/>
      </c>
      <c r="K1058" s="68"/>
      <c r="L1058" s="68"/>
      <c r="M1058" s="68"/>
      <c r="N1058" s="68"/>
      <c r="O1058" s="68"/>
      <c r="P1058" s="68"/>
      <c r="Q1058" s="68"/>
      <c r="R1058" s="68"/>
      <c r="S1058" s="68"/>
      <c r="T1058" s="68"/>
      <c r="U1058" s="68"/>
      <c r="V1058" s="68"/>
      <c r="W1058" s="68"/>
      <c r="X1058" s="68"/>
      <c r="Y1058" s="68"/>
      <c r="Z1058" s="68"/>
      <c r="AA1058" s="68"/>
    </row>
    <row r="1059" ht="26.25" customHeight="1">
      <c r="A1059" s="68"/>
      <c r="B1059" s="68"/>
      <c r="C1059" s="68"/>
      <c r="D1059" s="71"/>
      <c r="E1059" s="71"/>
      <c r="F1059" s="71"/>
      <c r="G1059" s="65"/>
      <c r="H1059" s="74"/>
      <c r="I1059" s="67" t="str">
        <f>IFERROR(__xludf.DUMMYFUNCTION("if($H1059="""", """", AVERAGE(split($H1059, "";"")))"),"")</f>
        <v/>
      </c>
      <c r="J1059" s="67" t="str">
        <f>IFERROR(__xludf.DUMMYFUNCTION("if(H1059="""", """", SUM(split(H1059, "";"")))"),"")</f>
        <v/>
      </c>
      <c r="K1059" s="68"/>
      <c r="L1059" s="68"/>
      <c r="M1059" s="68"/>
      <c r="N1059" s="68"/>
      <c r="O1059" s="68"/>
      <c r="P1059" s="68"/>
      <c r="Q1059" s="68"/>
      <c r="R1059" s="68"/>
      <c r="S1059" s="68"/>
      <c r="T1059" s="68"/>
      <c r="U1059" s="68"/>
      <c r="V1059" s="68"/>
      <c r="W1059" s="68"/>
      <c r="X1059" s="68"/>
      <c r="Y1059" s="68"/>
      <c r="Z1059" s="68"/>
      <c r="AA1059" s="68"/>
    </row>
    <row r="1060" ht="26.25" customHeight="1">
      <c r="A1060" s="68"/>
      <c r="B1060" s="68"/>
      <c r="C1060" s="68"/>
      <c r="D1060" s="71"/>
      <c r="E1060" s="71"/>
      <c r="F1060" s="71"/>
      <c r="G1060" s="65"/>
      <c r="H1060" s="74"/>
      <c r="I1060" s="67" t="str">
        <f>IFERROR(__xludf.DUMMYFUNCTION("if($H1060="""", """", AVERAGE(split($H1060, "";"")))"),"")</f>
        <v/>
      </c>
      <c r="J1060" s="67" t="str">
        <f>IFERROR(__xludf.DUMMYFUNCTION("if(H1060="""", """", SUM(split(H1060, "";"")))"),"")</f>
        <v/>
      </c>
      <c r="K1060" s="68"/>
      <c r="L1060" s="68"/>
      <c r="M1060" s="68"/>
      <c r="N1060" s="68"/>
      <c r="O1060" s="68"/>
      <c r="P1060" s="68"/>
      <c r="Q1060" s="68"/>
      <c r="R1060" s="68"/>
      <c r="S1060" s="68"/>
      <c r="T1060" s="68"/>
      <c r="U1060" s="68"/>
      <c r="V1060" s="68"/>
      <c r="W1060" s="68"/>
      <c r="X1060" s="68"/>
      <c r="Y1060" s="68"/>
      <c r="Z1060" s="68"/>
      <c r="AA1060" s="68"/>
    </row>
    <row r="1061" ht="26.25" customHeight="1">
      <c r="A1061" s="68"/>
      <c r="B1061" s="68"/>
      <c r="C1061" s="68"/>
      <c r="D1061" s="71"/>
      <c r="E1061" s="71"/>
      <c r="F1061" s="71"/>
      <c r="G1061" s="65"/>
      <c r="H1061" s="74"/>
      <c r="I1061" s="67" t="str">
        <f>IFERROR(__xludf.DUMMYFUNCTION("if($H1061="""", """", AVERAGE(split($H1061, "";"")))"),"")</f>
        <v/>
      </c>
      <c r="J1061" s="67" t="str">
        <f>IFERROR(__xludf.DUMMYFUNCTION("if(H1061="""", """", SUM(split(H1061, "";"")))"),"")</f>
        <v/>
      </c>
      <c r="K1061" s="68"/>
      <c r="L1061" s="68"/>
      <c r="M1061" s="68"/>
      <c r="N1061" s="68"/>
      <c r="O1061" s="68"/>
      <c r="P1061" s="68"/>
      <c r="Q1061" s="68"/>
      <c r="R1061" s="68"/>
      <c r="S1061" s="68"/>
      <c r="T1061" s="68"/>
      <c r="U1061" s="68"/>
      <c r="V1061" s="68"/>
      <c r="W1061" s="68"/>
      <c r="X1061" s="68"/>
      <c r="Y1061" s="68"/>
      <c r="Z1061" s="68"/>
      <c r="AA1061" s="68"/>
    </row>
    <row r="1062" ht="26.25" customHeight="1">
      <c r="A1062" s="68"/>
      <c r="B1062" s="68"/>
      <c r="C1062" s="68"/>
      <c r="D1062" s="71"/>
      <c r="E1062" s="71"/>
      <c r="F1062" s="71"/>
      <c r="G1062" s="65"/>
      <c r="H1062" s="74"/>
      <c r="I1062" s="67" t="str">
        <f>IFERROR(__xludf.DUMMYFUNCTION("if($H1062="""", """", AVERAGE(split($H1062, "";"")))"),"")</f>
        <v/>
      </c>
      <c r="J1062" s="67" t="str">
        <f>IFERROR(__xludf.DUMMYFUNCTION("if(H1062="""", """", SUM(split(H1062, "";"")))"),"")</f>
        <v/>
      </c>
      <c r="K1062" s="68"/>
      <c r="L1062" s="68"/>
      <c r="M1062" s="68"/>
      <c r="N1062" s="68"/>
      <c r="O1062" s="68"/>
      <c r="P1062" s="68"/>
      <c r="Q1062" s="68"/>
      <c r="R1062" s="68"/>
      <c r="S1062" s="68"/>
      <c r="T1062" s="68"/>
      <c r="U1062" s="68"/>
      <c r="V1062" s="68"/>
      <c r="W1062" s="68"/>
      <c r="X1062" s="68"/>
      <c r="Y1062" s="68"/>
      <c r="Z1062" s="68"/>
      <c r="AA1062" s="68"/>
    </row>
    <row r="1063" ht="26.25" customHeight="1">
      <c r="A1063" s="68"/>
      <c r="B1063" s="68"/>
      <c r="C1063" s="68"/>
      <c r="D1063" s="71"/>
      <c r="E1063" s="71"/>
      <c r="F1063" s="71"/>
      <c r="G1063" s="65"/>
      <c r="H1063" s="74"/>
      <c r="I1063" s="67" t="str">
        <f>IFERROR(__xludf.DUMMYFUNCTION("if($H1063="""", """", AVERAGE(split($H1063, "";"")))"),"")</f>
        <v/>
      </c>
      <c r="J1063" s="67" t="str">
        <f>IFERROR(__xludf.DUMMYFUNCTION("if(H1063="""", """", SUM(split(H1063, "";"")))"),"")</f>
        <v/>
      </c>
      <c r="K1063" s="68"/>
      <c r="L1063" s="68"/>
      <c r="M1063" s="68"/>
      <c r="N1063" s="68"/>
      <c r="O1063" s="68"/>
      <c r="P1063" s="68"/>
      <c r="Q1063" s="68"/>
      <c r="R1063" s="68"/>
      <c r="S1063" s="68"/>
      <c r="T1063" s="68"/>
      <c r="U1063" s="68"/>
      <c r="V1063" s="68"/>
      <c r="W1063" s="68"/>
      <c r="X1063" s="68"/>
      <c r="Y1063" s="68"/>
      <c r="Z1063" s="68"/>
      <c r="AA1063" s="68"/>
    </row>
    <row r="1064" ht="26.25" customHeight="1">
      <c r="A1064" s="68"/>
      <c r="B1064" s="68"/>
      <c r="C1064" s="68"/>
      <c r="D1064" s="71"/>
      <c r="E1064" s="71"/>
      <c r="F1064" s="71"/>
      <c r="G1064" s="65"/>
      <c r="H1064" s="74"/>
      <c r="I1064" s="67" t="str">
        <f>IFERROR(__xludf.DUMMYFUNCTION("if($H1064="""", """", AVERAGE(split($H1064, "";"")))"),"")</f>
        <v/>
      </c>
      <c r="J1064" s="67" t="str">
        <f>IFERROR(__xludf.DUMMYFUNCTION("if(H1064="""", """", SUM(split(H1064, "";"")))"),"")</f>
        <v/>
      </c>
      <c r="K1064" s="68"/>
      <c r="L1064" s="68"/>
      <c r="M1064" s="68"/>
      <c r="N1064" s="68"/>
      <c r="O1064" s="68"/>
      <c r="P1064" s="68"/>
      <c r="Q1064" s="68"/>
      <c r="R1064" s="68"/>
      <c r="S1064" s="68"/>
      <c r="T1064" s="68"/>
      <c r="U1064" s="68"/>
      <c r="V1064" s="68"/>
      <c r="W1064" s="68"/>
      <c r="X1064" s="68"/>
      <c r="Y1064" s="68"/>
      <c r="Z1064" s="68"/>
      <c r="AA1064" s="68"/>
    </row>
    <row r="1065" ht="26.25" customHeight="1">
      <c r="A1065" s="68"/>
      <c r="B1065" s="68"/>
      <c r="C1065" s="68"/>
      <c r="D1065" s="71"/>
      <c r="E1065" s="71"/>
      <c r="F1065" s="71"/>
      <c r="G1065" s="65"/>
      <c r="H1065" s="74"/>
      <c r="I1065" s="67" t="str">
        <f>IFERROR(__xludf.DUMMYFUNCTION("if($H1065="""", """", AVERAGE(split($H1065, "";"")))"),"")</f>
        <v/>
      </c>
      <c r="J1065" s="67" t="str">
        <f>IFERROR(__xludf.DUMMYFUNCTION("if(H1065="""", """", SUM(split(H1065, "";"")))"),"")</f>
        <v/>
      </c>
      <c r="K1065" s="68"/>
      <c r="L1065" s="68"/>
      <c r="M1065" s="68"/>
      <c r="N1065" s="68"/>
      <c r="O1065" s="68"/>
      <c r="P1065" s="68"/>
      <c r="Q1065" s="68"/>
      <c r="R1065" s="68"/>
      <c r="S1065" s="68"/>
      <c r="T1065" s="68"/>
      <c r="U1065" s="68"/>
      <c r="V1065" s="68"/>
      <c r="W1065" s="68"/>
      <c r="X1065" s="68"/>
      <c r="Y1065" s="68"/>
      <c r="Z1065" s="68"/>
      <c r="AA1065" s="68"/>
    </row>
    <row r="1066" ht="26.25" customHeight="1">
      <c r="A1066" s="68"/>
      <c r="B1066" s="68"/>
      <c r="C1066" s="68"/>
      <c r="D1066" s="71"/>
      <c r="E1066" s="71"/>
      <c r="F1066" s="71"/>
      <c r="G1066" s="65"/>
      <c r="H1066" s="74"/>
      <c r="I1066" s="67" t="str">
        <f>IFERROR(__xludf.DUMMYFUNCTION("if($H1066="""", """", AVERAGE(split($H1066, "";"")))"),"")</f>
        <v/>
      </c>
      <c r="J1066" s="67" t="str">
        <f>IFERROR(__xludf.DUMMYFUNCTION("if(H1066="""", """", SUM(split(H1066, "";"")))"),"")</f>
        <v/>
      </c>
      <c r="K1066" s="68"/>
      <c r="L1066" s="68"/>
      <c r="M1066" s="68"/>
      <c r="N1066" s="68"/>
      <c r="O1066" s="68"/>
      <c r="P1066" s="68"/>
      <c r="Q1066" s="68"/>
      <c r="R1066" s="68"/>
      <c r="S1066" s="68"/>
      <c r="T1066" s="68"/>
      <c r="U1066" s="68"/>
      <c r="V1066" s="68"/>
      <c r="W1066" s="68"/>
      <c r="X1066" s="68"/>
      <c r="Y1066" s="68"/>
      <c r="Z1066" s="68"/>
      <c r="AA1066" s="68"/>
    </row>
    <row r="1067" ht="26.25" customHeight="1">
      <c r="A1067" s="68"/>
      <c r="B1067" s="68"/>
      <c r="C1067" s="68"/>
      <c r="D1067" s="71"/>
      <c r="E1067" s="71"/>
      <c r="F1067" s="71"/>
      <c r="G1067" s="65"/>
      <c r="H1067" s="74"/>
      <c r="I1067" s="67" t="str">
        <f>IFERROR(__xludf.DUMMYFUNCTION("if($H1067="""", """", AVERAGE(split($H1067, "";"")))"),"")</f>
        <v/>
      </c>
      <c r="J1067" s="67" t="str">
        <f>IFERROR(__xludf.DUMMYFUNCTION("if(H1067="""", """", SUM(split(H1067, "";"")))"),"")</f>
        <v/>
      </c>
      <c r="K1067" s="68"/>
      <c r="L1067" s="68"/>
      <c r="M1067" s="68"/>
      <c r="N1067" s="68"/>
      <c r="O1067" s="68"/>
      <c r="P1067" s="68"/>
      <c r="Q1067" s="68"/>
      <c r="R1067" s="68"/>
      <c r="S1067" s="68"/>
      <c r="T1067" s="68"/>
      <c r="U1067" s="68"/>
      <c r="V1067" s="68"/>
      <c r="W1067" s="68"/>
      <c r="X1067" s="68"/>
      <c r="Y1067" s="68"/>
      <c r="Z1067" s="68"/>
      <c r="AA1067" s="68"/>
    </row>
    <row r="1068" ht="26.25" customHeight="1">
      <c r="A1068" s="68"/>
      <c r="B1068" s="68"/>
      <c r="C1068" s="68"/>
      <c r="D1068" s="71"/>
      <c r="E1068" s="71"/>
      <c r="F1068" s="71"/>
      <c r="G1068" s="65"/>
      <c r="H1068" s="74"/>
      <c r="I1068" s="67" t="str">
        <f>IFERROR(__xludf.DUMMYFUNCTION("if($H1068="""", """", AVERAGE(split($H1068, "";"")))"),"")</f>
        <v/>
      </c>
      <c r="J1068" s="67" t="str">
        <f>IFERROR(__xludf.DUMMYFUNCTION("if(H1068="""", """", SUM(split(H1068, "";"")))"),"")</f>
        <v/>
      </c>
      <c r="K1068" s="68"/>
      <c r="L1068" s="68"/>
      <c r="M1068" s="68"/>
      <c r="N1068" s="68"/>
      <c r="O1068" s="68"/>
      <c r="P1068" s="68"/>
      <c r="Q1068" s="68"/>
      <c r="R1068" s="68"/>
      <c r="S1068" s="68"/>
      <c r="T1068" s="68"/>
      <c r="U1068" s="68"/>
      <c r="V1068" s="68"/>
      <c r="W1068" s="68"/>
      <c r="X1068" s="68"/>
      <c r="Y1068" s="68"/>
      <c r="Z1068" s="68"/>
      <c r="AA1068" s="68"/>
    </row>
    <row r="1069" ht="26.25" customHeight="1">
      <c r="A1069" s="68"/>
      <c r="B1069" s="68"/>
      <c r="C1069" s="68"/>
      <c r="D1069" s="71"/>
      <c r="E1069" s="71"/>
      <c r="F1069" s="71"/>
      <c r="G1069" s="65"/>
      <c r="H1069" s="74"/>
      <c r="I1069" s="67" t="str">
        <f>IFERROR(__xludf.DUMMYFUNCTION("if($H1069="""", """", AVERAGE(split($H1069, "";"")))"),"")</f>
        <v/>
      </c>
      <c r="J1069" s="67" t="str">
        <f>IFERROR(__xludf.DUMMYFUNCTION("if(H1069="""", """", SUM(split(H1069, "";"")))"),"")</f>
        <v/>
      </c>
      <c r="K1069" s="68"/>
      <c r="L1069" s="68"/>
      <c r="M1069" s="68"/>
      <c r="N1069" s="68"/>
      <c r="O1069" s="68"/>
      <c r="P1069" s="68"/>
      <c r="Q1069" s="68"/>
      <c r="R1069" s="68"/>
      <c r="S1069" s="68"/>
      <c r="T1069" s="68"/>
      <c r="U1069" s="68"/>
      <c r="V1069" s="68"/>
      <c r="W1069" s="68"/>
      <c r="X1069" s="68"/>
      <c r="Y1069" s="68"/>
      <c r="Z1069" s="68"/>
      <c r="AA1069" s="68"/>
    </row>
    <row r="1070" ht="26.25" customHeight="1">
      <c r="A1070" s="68"/>
      <c r="B1070" s="68"/>
      <c r="C1070" s="68"/>
      <c r="D1070" s="71"/>
      <c r="E1070" s="71"/>
      <c r="F1070" s="71"/>
      <c r="G1070" s="65"/>
      <c r="H1070" s="74"/>
      <c r="I1070" s="67" t="str">
        <f>IFERROR(__xludf.DUMMYFUNCTION("if($H1070="""", """", AVERAGE(split($H1070, "";"")))"),"")</f>
        <v/>
      </c>
      <c r="J1070" s="67" t="str">
        <f>IFERROR(__xludf.DUMMYFUNCTION("if(H1070="""", """", SUM(split(H1070, "";"")))"),"")</f>
        <v/>
      </c>
      <c r="K1070" s="68"/>
      <c r="L1070" s="68"/>
      <c r="M1070" s="68"/>
      <c r="N1070" s="68"/>
      <c r="O1070" s="68"/>
      <c r="P1070" s="68"/>
      <c r="Q1070" s="68"/>
      <c r="R1070" s="68"/>
      <c r="S1070" s="68"/>
      <c r="T1070" s="68"/>
      <c r="U1070" s="68"/>
      <c r="V1070" s="68"/>
      <c r="W1070" s="68"/>
      <c r="X1070" s="68"/>
      <c r="Y1070" s="68"/>
      <c r="Z1070" s="68"/>
      <c r="AA1070" s="68"/>
    </row>
    <row r="1071" ht="26.25" customHeight="1">
      <c r="A1071" s="68"/>
      <c r="B1071" s="68"/>
      <c r="C1071" s="68"/>
      <c r="D1071" s="71"/>
      <c r="E1071" s="71"/>
      <c r="F1071" s="71"/>
      <c r="G1071" s="65"/>
      <c r="H1071" s="74"/>
      <c r="I1071" s="67" t="str">
        <f>IFERROR(__xludf.DUMMYFUNCTION("if($H1071="""", """", AVERAGE(split($H1071, "";"")))"),"")</f>
        <v/>
      </c>
      <c r="J1071" s="67" t="str">
        <f>IFERROR(__xludf.DUMMYFUNCTION("if(H1071="""", """", SUM(split(H1071, "";"")))"),"")</f>
        <v/>
      </c>
      <c r="K1071" s="68"/>
      <c r="L1071" s="68"/>
      <c r="M1071" s="68"/>
      <c r="N1071" s="68"/>
      <c r="O1071" s="68"/>
      <c r="P1071" s="68"/>
      <c r="Q1071" s="68"/>
      <c r="R1071" s="68"/>
      <c r="S1071" s="68"/>
      <c r="T1071" s="68"/>
      <c r="U1071" s="68"/>
      <c r="V1071" s="68"/>
      <c r="W1071" s="68"/>
      <c r="X1071" s="68"/>
      <c r="Y1071" s="68"/>
      <c r="Z1071" s="68"/>
      <c r="AA1071" s="68"/>
    </row>
    <row r="1072" ht="26.25" customHeight="1">
      <c r="A1072" s="68"/>
      <c r="B1072" s="68"/>
      <c r="C1072" s="68"/>
      <c r="D1072" s="71"/>
      <c r="E1072" s="71"/>
      <c r="F1072" s="71"/>
      <c r="G1072" s="65"/>
      <c r="H1072" s="74"/>
      <c r="I1072" s="67" t="str">
        <f>IFERROR(__xludf.DUMMYFUNCTION("if($H1072="""", """", AVERAGE(split($H1072, "";"")))"),"")</f>
        <v/>
      </c>
      <c r="J1072" s="67" t="str">
        <f>IFERROR(__xludf.DUMMYFUNCTION("if(H1072="""", """", SUM(split(H1072, "";"")))"),"")</f>
        <v/>
      </c>
      <c r="K1072" s="68"/>
      <c r="L1072" s="68"/>
      <c r="M1072" s="68"/>
      <c r="N1072" s="68"/>
      <c r="O1072" s="68"/>
      <c r="P1072" s="68"/>
      <c r="Q1072" s="68"/>
      <c r="R1072" s="68"/>
      <c r="S1072" s="68"/>
      <c r="T1072" s="68"/>
      <c r="U1072" s="68"/>
      <c r="V1072" s="68"/>
      <c r="W1072" s="68"/>
      <c r="X1072" s="68"/>
      <c r="Y1072" s="68"/>
      <c r="Z1072" s="68"/>
      <c r="AA1072" s="68"/>
    </row>
    <row r="1073" ht="26.25" customHeight="1">
      <c r="A1073" s="68"/>
      <c r="B1073" s="68"/>
      <c r="C1073" s="68"/>
      <c r="D1073" s="71"/>
      <c r="E1073" s="71"/>
      <c r="F1073" s="71"/>
      <c r="G1073" s="65"/>
      <c r="H1073" s="74"/>
      <c r="I1073" s="67" t="str">
        <f>IFERROR(__xludf.DUMMYFUNCTION("if($H1073="""", """", AVERAGE(split($H1073, "";"")))"),"")</f>
        <v/>
      </c>
      <c r="J1073" s="67" t="str">
        <f>IFERROR(__xludf.DUMMYFUNCTION("if(H1073="""", """", SUM(split(H1073, "";"")))"),"")</f>
        <v/>
      </c>
      <c r="K1073" s="68"/>
      <c r="L1073" s="68"/>
      <c r="M1073" s="68"/>
      <c r="N1073" s="68"/>
      <c r="O1073" s="68"/>
      <c r="P1073" s="68"/>
      <c r="Q1073" s="68"/>
      <c r="R1073" s="68"/>
      <c r="S1073" s="68"/>
      <c r="T1073" s="68"/>
      <c r="U1073" s="68"/>
      <c r="V1073" s="68"/>
      <c r="W1073" s="68"/>
      <c r="X1073" s="68"/>
      <c r="Y1073" s="68"/>
      <c r="Z1073" s="68"/>
      <c r="AA1073" s="68"/>
    </row>
    <row r="1074" ht="26.25" customHeight="1">
      <c r="A1074" s="68"/>
      <c r="B1074" s="68"/>
      <c r="C1074" s="68"/>
      <c r="D1074" s="71"/>
      <c r="E1074" s="71"/>
      <c r="F1074" s="71"/>
      <c r="G1074" s="65"/>
      <c r="H1074" s="74"/>
      <c r="I1074" s="67" t="str">
        <f>IFERROR(__xludf.DUMMYFUNCTION("if($H1074="""", """", AVERAGE(split($H1074, "";"")))"),"")</f>
        <v/>
      </c>
      <c r="J1074" s="67" t="str">
        <f>IFERROR(__xludf.DUMMYFUNCTION("if(H1074="""", """", SUM(split(H1074, "";"")))"),"")</f>
        <v/>
      </c>
      <c r="K1074" s="68"/>
      <c r="L1074" s="68"/>
      <c r="M1074" s="68"/>
      <c r="N1074" s="68"/>
      <c r="O1074" s="68"/>
      <c r="P1074" s="68"/>
      <c r="Q1074" s="68"/>
      <c r="R1074" s="68"/>
      <c r="S1074" s="68"/>
      <c r="T1074" s="68"/>
      <c r="U1074" s="68"/>
      <c r="V1074" s="68"/>
      <c r="W1074" s="68"/>
      <c r="X1074" s="68"/>
      <c r="Y1074" s="68"/>
      <c r="Z1074" s="68"/>
      <c r="AA1074" s="68"/>
    </row>
    <row r="1075" ht="26.25" customHeight="1">
      <c r="A1075" s="68"/>
      <c r="B1075" s="68"/>
      <c r="C1075" s="68"/>
      <c r="D1075" s="71"/>
      <c r="E1075" s="71"/>
      <c r="F1075" s="71"/>
      <c r="G1075" s="65"/>
      <c r="H1075" s="74"/>
      <c r="I1075" s="67" t="str">
        <f>IFERROR(__xludf.DUMMYFUNCTION("if($H1075="""", """", AVERAGE(split($H1075, "";"")))"),"")</f>
        <v/>
      </c>
      <c r="J1075" s="67" t="str">
        <f>IFERROR(__xludf.DUMMYFUNCTION("if(H1075="""", """", SUM(split(H1075, "";"")))"),"")</f>
        <v/>
      </c>
      <c r="K1075" s="68"/>
      <c r="L1075" s="68"/>
      <c r="M1075" s="68"/>
      <c r="N1075" s="68"/>
      <c r="O1075" s="68"/>
      <c r="P1075" s="68"/>
      <c r="Q1075" s="68"/>
      <c r="R1075" s="68"/>
      <c r="S1075" s="68"/>
      <c r="T1075" s="68"/>
      <c r="U1075" s="68"/>
      <c r="V1075" s="68"/>
      <c r="W1075" s="68"/>
      <c r="X1075" s="68"/>
      <c r="Y1075" s="68"/>
      <c r="Z1075" s="68"/>
      <c r="AA1075" s="68"/>
    </row>
    <row r="1076" ht="26.25" customHeight="1">
      <c r="A1076" s="68"/>
      <c r="B1076" s="68"/>
      <c r="C1076" s="68"/>
      <c r="D1076" s="71"/>
      <c r="E1076" s="71"/>
      <c r="F1076" s="71"/>
      <c r="G1076" s="65"/>
      <c r="H1076" s="74"/>
      <c r="I1076" s="67" t="str">
        <f>IFERROR(__xludf.DUMMYFUNCTION("if($H1076="""", """", AVERAGE(split($H1076, "";"")))"),"")</f>
        <v/>
      </c>
      <c r="J1076" s="67" t="str">
        <f>IFERROR(__xludf.DUMMYFUNCTION("if(H1076="""", """", SUM(split(H1076, "";"")))"),"")</f>
        <v/>
      </c>
      <c r="K1076" s="68"/>
      <c r="L1076" s="68"/>
      <c r="M1076" s="68"/>
      <c r="N1076" s="68"/>
      <c r="O1076" s="68"/>
      <c r="P1076" s="68"/>
      <c r="Q1076" s="68"/>
      <c r="R1076" s="68"/>
      <c r="S1076" s="68"/>
      <c r="T1076" s="68"/>
      <c r="U1076" s="68"/>
      <c r="V1076" s="68"/>
      <c r="W1076" s="68"/>
      <c r="X1076" s="68"/>
      <c r="Y1076" s="68"/>
      <c r="Z1076" s="68"/>
      <c r="AA1076" s="68"/>
    </row>
    <row r="1077" ht="26.25" customHeight="1">
      <c r="A1077" s="68"/>
      <c r="B1077" s="68"/>
      <c r="C1077" s="68"/>
      <c r="D1077" s="71"/>
      <c r="E1077" s="71"/>
      <c r="F1077" s="71"/>
      <c r="G1077" s="65"/>
      <c r="H1077" s="74"/>
      <c r="I1077" s="67" t="str">
        <f>IFERROR(__xludf.DUMMYFUNCTION("if($H1077="""", """", AVERAGE(split($H1077, "";"")))"),"")</f>
        <v/>
      </c>
      <c r="J1077" s="67" t="str">
        <f>IFERROR(__xludf.DUMMYFUNCTION("if(H1077="""", """", SUM(split(H1077, "";"")))"),"")</f>
        <v/>
      </c>
      <c r="K1077" s="68"/>
      <c r="L1077" s="68"/>
      <c r="M1077" s="68"/>
      <c r="N1077" s="68"/>
      <c r="O1077" s="68"/>
      <c r="P1077" s="68"/>
      <c r="Q1077" s="68"/>
      <c r="R1077" s="68"/>
      <c r="S1077" s="68"/>
      <c r="T1077" s="68"/>
      <c r="U1077" s="68"/>
      <c r="V1077" s="68"/>
      <c r="W1077" s="68"/>
      <c r="X1077" s="68"/>
      <c r="Y1077" s="68"/>
      <c r="Z1077" s="68"/>
      <c r="AA1077" s="68"/>
    </row>
    <row r="1078" ht="26.25" customHeight="1">
      <c r="A1078" s="68"/>
      <c r="B1078" s="68"/>
      <c r="C1078" s="68"/>
      <c r="D1078" s="71"/>
      <c r="E1078" s="71"/>
      <c r="F1078" s="71"/>
      <c r="G1078" s="65"/>
      <c r="H1078" s="74"/>
      <c r="I1078" s="67" t="str">
        <f>IFERROR(__xludf.DUMMYFUNCTION("if($H1078="""", """", AVERAGE(split($H1078, "";"")))"),"")</f>
        <v/>
      </c>
      <c r="J1078" s="67" t="str">
        <f>IFERROR(__xludf.DUMMYFUNCTION("if(H1078="""", """", SUM(split(H1078, "";"")))"),"")</f>
        <v/>
      </c>
      <c r="K1078" s="68"/>
      <c r="L1078" s="68"/>
      <c r="M1078" s="68"/>
      <c r="N1078" s="68"/>
      <c r="O1078" s="68"/>
      <c r="P1078" s="68"/>
      <c r="Q1078" s="68"/>
      <c r="R1078" s="68"/>
      <c r="S1078" s="68"/>
      <c r="T1078" s="68"/>
      <c r="U1078" s="68"/>
      <c r="V1078" s="68"/>
      <c r="W1078" s="68"/>
      <c r="X1078" s="68"/>
      <c r="Y1078" s="68"/>
      <c r="Z1078" s="68"/>
      <c r="AA1078" s="68"/>
    </row>
    <row r="1079" ht="26.25" customHeight="1">
      <c r="A1079" s="68"/>
      <c r="B1079" s="68"/>
      <c r="C1079" s="68"/>
      <c r="D1079" s="71"/>
      <c r="E1079" s="71"/>
      <c r="F1079" s="71"/>
      <c r="G1079" s="65"/>
      <c r="H1079" s="74"/>
      <c r="I1079" s="67" t="str">
        <f>IFERROR(__xludf.DUMMYFUNCTION("if($H1079="""", """", AVERAGE(split($H1079, "";"")))"),"")</f>
        <v/>
      </c>
      <c r="J1079" s="67" t="str">
        <f>IFERROR(__xludf.DUMMYFUNCTION("if(H1079="""", """", SUM(split(H1079, "";"")))"),"")</f>
        <v/>
      </c>
      <c r="K1079" s="68"/>
      <c r="L1079" s="68"/>
      <c r="M1079" s="68"/>
      <c r="N1079" s="68"/>
      <c r="O1079" s="68"/>
      <c r="P1079" s="68"/>
      <c r="Q1079" s="68"/>
      <c r="R1079" s="68"/>
      <c r="S1079" s="68"/>
      <c r="T1079" s="68"/>
      <c r="U1079" s="68"/>
      <c r="V1079" s="68"/>
      <c r="W1079" s="68"/>
      <c r="X1079" s="68"/>
      <c r="Y1079" s="68"/>
      <c r="Z1079" s="68"/>
      <c r="AA1079" s="68"/>
    </row>
    <row r="1080" ht="26.25" customHeight="1">
      <c r="A1080" s="68"/>
      <c r="B1080" s="68"/>
      <c r="C1080" s="68"/>
      <c r="D1080" s="71"/>
      <c r="E1080" s="71"/>
      <c r="F1080" s="71"/>
      <c r="G1080" s="65"/>
      <c r="H1080" s="74"/>
      <c r="I1080" s="67" t="str">
        <f>IFERROR(__xludf.DUMMYFUNCTION("if($H1080="""", """", AVERAGE(split($H1080, "";"")))"),"")</f>
        <v/>
      </c>
      <c r="J1080" s="67" t="str">
        <f>IFERROR(__xludf.DUMMYFUNCTION("if(H1080="""", """", SUM(split(H1080, "";"")))"),"")</f>
        <v/>
      </c>
      <c r="K1080" s="68"/>
      <c r="L1080" s="68"/>
      <c r="M1080" s="68"/>
      <c r="N1080" s="68"/>
      <c r="O1080" s="68"/>
      <c r="P1080" s="68"/>
      <c r="Q1080" s="68"/>
      <c r="R1080" s="68"/>
      <c r="S1080" s="68"/>
      <c r="T1080" s="68"/>
      <c r="U1080" s="68"/>
      <c r="V1080" s="68"/>
      <c r="W1080" s="68"/>
      <c r="X1080" s="68"/>
      <c r="Y1080" s="68"/>
      <c r="Z1080" s="68"/>
      <c r="AA1080" s="68"/>
    </row>
    <row r="1081" ht="26.25" customHeight="1">
      <c r="A1081" s="68"/>
      <c r="B1081" s="68"/>
      <c r="C1081" s="68"/>
      <c r="D1081" s="71"/>
      <c r="E1081" s="71"/>
      <c r="F1081" s="71"/>
      <c r="G1081" s="65"/>
      <c r="H1081" s="74"/>
      <c r="I1081" s="67" t="str">
        <f>IFERROR(__xludf.DUMMYFUNCTION("if($H1081="""", """", AVERAGE(split($H1081, "";"")))"),"")</f>
        <v/>
      </c>
      <c r="J1081" s="67" t="str">
        <f>IFERROR(__xludf.DUMMYFUNCTION("if(H1081="""", """", SUM(split(H1081, "";"")))"),"")</f>
        <v/>
      </c>
      <c r="K1081" s="68"/>
      <c r="L1081" s="68"/>
      <c r="M1081" s="68"/>
      <c r="N1081" s="68"/>
      <c r="O1081" s="68"/>
      <c r="P1081" s="68"/>
      <c r="Q1081" s="68"/>
      <c r="R1081" s="68"/>
      <c r="S1081" s="68"/>
      <c r="T1081" s="68"/>
      <c r="U1081" s="68"/>
      <c r="V1081" s="68"/>
      <c r="W1081" s="68"/>
      <c r="X1081" s="68"/>
      <c r="Y1081" s="68"/>
      <c r="Z1081" s="68"/>
      <c r="AA1081" s="68"/>
    </row>
    <row r="1082" ht="26.25" customHeight="1">
      <c r="A1082" s="68"/>
      <c r="B1082" s="68"/>
      <c r="C1082" s="68"/>
      <c r="D1082" s="71"/>
      <c r="E1082" s="71"/>
      <c r="F1082" s="71"/>
      <c r="G1082" s="65"/>
      <c r="H1082" s="74"/>
      <c r="I1082" s="67" t="str">
        <f>IFERROR(__xludf.DUMMYFUNCTION("if($H1082="""", """", AVERAGE(split($H1082, "";"")))"),"")</f>
        <v/>
      </c>
      <c r="J1082" s="67" t="str">
        <f>IFERROR(__xludf.DUMMYFUNCTION("if(H1082="""", """", SUM(split(H1082, "";"")))"),"")</f>
        <v/>
      </c>
      <c r="K1082" s="68"/>
      <c r="L1082" s="68"/>
      <c r="M1082" s="68"/>
      <c r="N1082" s="68"/>
      <c r="O1082" s="68"/>
      <c r="P1082" s="68"/>
      <c r="Q1082" s="68"/>
      <c r="R1082" s="68"/>
      <c r="S1082" s="68"/>
      <c r="T1082" s="68"/>
      <c r="U1082" s="68"/>
      <c r="V1082" s="68"/>
      <c r="W1082" s="68"/>
      <c r="X1082" s="68"/>
      <c r="Y1082" s="68"/>
      <c r="Z1082" s="68"/>
      <c r="AA1082" s="68"/>
    </row>
    <row r="1083" ht="26.25" customHeight="1">
      <c r="A1083" s="68"/>
      <c r="B1083" s="68"/>
      <c r="C1083" s="68"/>
      <c r="D1083" s="71"/>
      <c r="E1083" s="71"/>
      <c r="F1083" s="71"/>
      <c r="G1083" s="65"/>
      <c r="H1083" s="74"/>
      <c r="I1083" s="67" t="str">
        <f>IFERROR(__xludf.DUMMYFUNCTION("if($H1083="""", """", AVERAGE(split($H1083, "";"")))"),"")</f>
        <v/>
      </c>
      <c r="J1083" s="67" t="str">
        <f>IFERROR(__xludf.DUMMYFUNCTION("if(H1083="""", """", SUM(split(H1083, "";"")))"),"")</f>
        <v/>
      </c>
      <c r="K1083" s="68"/>
      <c r="L1083" s="68"/>
      <c r="M1083" s="68"/>
      <c r="N1083" s="68"/>
      <c r="O1083" s="68"/>
      <c r="P1083" s="68"/>
      <c r="Q1083" s="68"/>
      <c r="R1083" s="68"/>
      <c r="S1083" s="68"/>
      <c r="T1083" s="68"/>
      <c r="U1083" s="68"/>
      <c r="V1083" s="68"/>
      <c r="W1083" s="68"/>
      <c r="X1083" s="68"/>
      <c r="Y1083" s="68"/>
      <c r="Z1083" s="68"/>
      <c r="AA1083" s="68"/>
    </row>
    <row r="1084" ht="26.25" customHeight="1">
      <c r="A1084" s="68"/>
      <c r="B1084" s="68"/>
      <c r="C1084" s="68"/>
      <c r="D1084" s="71"/>
      <c r="E1084" s="71"/>
      <c r="F1084" s="71"/>
      <c r="G1084" s="65"/>
      <c r="H1084" s="74"/>
      <c r="I1084" s="67" t="str">
        <f>IFERROR(__xludf.DUMMYFUNCTION("if($H1084="""", """", AVERAGE(split($H1084, "";"")))"),"")</f>
        <v/>
      </c>
      <c r="J1084" s="67" t="str">
        <f>IFERROR(__xludf.DUMMYFUNCTION("if(H1084="""", """", SUM(split(H1084, "";"")))"),"")</f>
        <v/>
      </c>
      <c r="K1084" s="68"/>
      <c r="L1084" s="68"/>
      <c r="M1084" s="68"/>
      <c r="N1084" s="68"/>
      <c r="O1084" s="68"/>
      <c r="P1084" s="68"/>
      <c r="Q1084" s="68"/>
      <c r="R1084" s="68"/>
      <c r="S1084" s="68"/>
      <c r="T1084" s="68"/>
      <c r="U1084" s="68"/>
      <c r="V1084" s="68"/>
      <c r="W1084" s="68"/>
      <c r="X1084" s="68"/>
      <c r="Y1084" s="68"/>
      <c r="Z1084" s="68"/>
      <c r="AA1084" s="68"/>
    </row>
    <row r="1085" ht="26.25" customHeight="1">
      <c r="A1085" s="68"/>
      <c r="B1085" s="68"/>
      <c r="C1085" s="68"/>
      <c r="D1085" s="71"/>
      <c r="E1085" s="71"/>
      <c r="F1085" s="71"/>
      <c r="G1085" s="65"/>
      <c r="H1085" s="74"/>
      <c r="I1085" s="67" t="str">
        <f>IFERROR(__xludf.DUMMYFUNCTION("if($H1085="""", """", AVERAGE(split($H1085, "";"")))"),"")</f>
        <v/>
      </c>
      <c r="J1085" s="67" t="str">
        <f>IFERROR(__xludf.DUMMYFUNCTION("if(H1085="""", """", SUM(split(H1085, "";"")))"),"")</f>
        <v/>
      </c>
      <c r="K1085" s="68"/>
      <c r="L1085" s="68"/>
      <c r="M1085" s="68"/>
      <c r="N1085" s="68"/>
      <c r="O1085" s="68"/>
      <c r="P1085" s="68"/>
      <c r="Q1085" s="68"/>
      <c r="R1085" s="68"/>
      <c r="S1085" s="68"/>
      <c r="T1085" s="68"/>
      <c r="U1085" s="68"/>
      <c r="V1085" s="68"/>
      <c r="W1085" s="68"/>
      <c r="X1085" s="68"/>
      <c r="Y1085" s="68"/>
      <c r="Z1085" s="68"/>
      <c r="AA1085" s="68"/>
    </row>
    <row r="1086" ht="26.25" customHeight="1">
      <c r="A1086" s="68"/>
      <c r="B1086" s="68"/>
      <c r="C1086" s="68"/>
      <c r="D1086" s="71"/>
      <c r="E1086" s="71"/>
      <c r="F1086" s="71"/>
      <c r="G1086" s="65"/>
      <c r="H1086" s="74"/>
      <c r="I1086" s="67" t="str">
        <f>IFERROR(__xludf.DUMMYFUNCTION("if($H1086="""", """", AVERAGE(split($H1086, "";"")))"),"")</f>
        <v/>
      </c>
      <c r="J1086" s="67" t="str">
        <f>IFERROR(__xludf.DUMMYFUNCTION("if(H1086="""", """", SUM(split(H1086, "";"")))"),"")</f>
        <v/>
      </c>
      <c r="K1086" s="68"/>
      <c r="L1086" s="68"/>
      <c r="M1086" s="68"/>
      <c r="N1086" s="68"/>
      <c r="O1086" s="68"/>
      <c r="P1086" s="68"/>
      <c r="Q1086" s="68"/>
      <c r="R1086" s="68"/>
      <c r="S1086" s="68"/>
      <c r="T1086" s="68"/>
      <c r="U1086" s="68"/>
      <c r="V1086" s="68"/>
      <c r="W1086" s="68"/>
      <c r="X1086" s="68"/>
      <c r="Y1086" s="68"/>
      <c r="Z1086" s="68"/>
      <c r="AA1086" s="68"/>
    </row>
    <row r="1087" ht="26.25" customHeight="1">
      <c r="A1087" s="68"/>
      <c r="B1087" s="68"/>
      <c r="C1087" s="68"/>
      <c r="D1087" s="71"/>
      <c r="E1087" s="71"/>
      <c r="F1087" s="71"/>
      <c r="G1087" s="65"/>
      <c r="H1087" s="74"/>
      <c r="I1087" s="67" t="str">
        <f>IFERROR(__xludf.DUMMYFUNCTION("if($H1087="""", """", AVERAGE(split($H1087, "";"")))"),"")</f>
        <v/>
      </c>
      <c r="J1087" s="67" t="str">
        <f>IFERROR(__xludf.DUMMYFUNCTION("if(H1087="""", """", SUM(split(H1087, "";"")))"),"")</f>
        <v/>
      </c>
      <c r="K1087" s="68"/>
      <c r="L1087" s="68"/>
      <c r="M1087" s="68"/>
      <c r="N1087" s="68"/>
      <c r="O1087" s="68"/>
      <c r="P1087" s="68"/>
      <c r="Q1087" s="68"/>
      <c r="R1087" s="68"/>
      <c r="S1087" s="68"/>
      <c r="T1087" s="68"/>
      <c r="U1087" s="68"/>
      <c r="V1087" s="68"/>
      <c r="W1087" s="68"/>
      <c r="X1087" s="68"/>
      <c r="Y1087" s="68"/>
      <c r="Z1087" s="68"/>
      <c r="AA1087" s="68"/>
    </row>
    <row r="1088" ht="26.25" customHeight="1">
      <c r="A1088" s="68"/>
      <c r="B1088" s="68"/>
      <c r="C1088" s="68"/>
      <c r="D1088" s="71"/>
      <c r="E1088" s="71"/>
      <c r="F1088" s="71"/>
      <c r="G1088" s="65"/>
      <c r="H1088" s="74"/>
      <c r="I1088" s="67" t="str">
        <f>IFERROR(__xludf.DUMMYFUNCTION("if($H1088="""", """", AVERAGE(split($H1088, "";"")))"),"")</f>
        <v/>
      </c>
      <c r="J1088" s="67" t="str">
        <f>IFERROR(__xludf.DUMMYFUNCTION("if(H1088="""", """", SUM(split(H1088, "";"")))"),"")</f>
        <v/>
      </c>
      <c r="K1088" s="68"/>
      <c r="L1088" s="68"/>
      <c r="M1088" s="68"/>
      <c r="N1088" s="68"/>
      <c r="O1088" s="68"/>
      <c r="P1088" s="68"/>
      <c r="Q1088" s="68"/>
      <c r="R1088" s="68"/>
      <c r="S1088" s="68"/>
      <c r="T1088" s="68"/>
      <c r="U1088" s="68"/>
      <c r="V1088" s="68"/>
      <c r="W1088" s="68"/>
      <c r="X1088" s="68"/>
      <c r="Y1088" s="68"/>
      <c r="Z1088" s="68"/>
      <c r="AA1088" s="68"/>
    </row>
    <row r="1089" ht="26.25" customHeight="1">
      <c r="A1089" s="68"/>
      <c r="B1089" s="68"/>
      <c r="C1089" s="68"/>
      <c r="D1089" s="71"/>
      <c r="E1089" s="71"/>
      <c r="F1089" s="71"/>
      <c r="G1089" s="65"/>
      <c r="H1089" s="74"/>
      <c r="I1089" s="67" t="str">
        <f>IFERROR(__xludf.DUMMYFUNCTION("if($H1089="""", """", AVERAGE(split($H1089, "";"")))"),"")</f>
        <v/>
      </c>
      <c r="J1089" s="67" t="str">
        <f>IFERROR(__xludf.DUMMYFUNCTION("if(H1089="""", """", SUM(split(H1089, "";"")))"),"")</f>
        <v/>
      </c>
      <c r="K1089" s="68"/>
      <c r="L1089" s="68"/>
      <c r="M1089" s="68"/>
      <c r="N1089" s="68"/>
      <c r="O1089" s="68"/>
      <c r="P1089" s="68"/>
      <c r="Q1089" s="68"/>
      <c r="R1089" s="68"/>
      <c r="S1089" s="68"/>
      <c r="T1089" s="68"/>
      <c r="U1089" s="68"/>
      <c r="V1089" s="68"/>
      <c r="W1089" s="68"/>
      <c r="X1089" s="68"/>
      <c r="Y1089" s="68"/>
      <c r="Z1089" s="68"/>
      <c r="AA1089" s="68"/>
    </row>
    <row r="1090" ht="26.25" customHeight="1">
      <c r="A1090" s="68"/>
      <c r="B1090" s="68"/>
      <c r="C1090" s="68"/>
      <c r="D1090" s="71"/>
      <c r="E1090" s="71"/>
      <c r="F1090" s="71"/>
      <c r="G1090" s="65"/>
      <c r="H1090" s="74"/>
      <c r="I1090" s="67" t="str">
        <f>IFERROR(__xludf.DUMMYFUNCTION("if($H1090="""", """", AVERAGE(split($H1090, "";"")))"),"")</f>
        <v/>
      </c>
      <c r="J1090" s="67" t="str">
        <f>IFERROR(__xludf.DUMMYFUNCTION("if(H1090="""", """", SUM(split(H1090, "";"")))"),"")</f>
        <v/>
      </c>
      <c r="K1090" s="68"/>
      <c r="L1090" s="68"/>
      <c r="M1090" s="68"/>
      <c r="N1090" s="68"/>
      <c r="O1090" s="68"/>
      <c r="P1090" s="68"/>
      <c r="Q1090" s="68"/>
      <c r="R1090" s="68"/>
      <c r="S1090" s="68"/>
      <c r="T1090" s="68"/>
      <c r="U1090" s="68"/>
      <c r="V1090" s="68"/>
      <c r="W1090" s="68"/>
      <c r="X1090" s="68"/>
      <c r="Y1090" s="68"/>
      <c r="Z1090" s="68"/>
      <c r="AA1090" s="68"/>
    </row>
    <row r="1091" ht="26.25" customHeight="1">
      <c r="A1091" s="68"/>
      <c r="B1091" s="68"/>
      <c r="C1091" s="68"/>
      <c r="D1091" s="71"/>
      <c r="E1091" s="71"/>
      <c r="F1091" s="71"/>
      <c r="G1091" s="65"/>
      <c r="H1091" s="74"/>
      <c r="I1091" s="67" t="str">
        <f>IFERROR(__xludf.DUMMYFUNCTION("if($H1091="""", """", AVERAGE(split($H1091, "";"")))"),"")</f>
        <v/>
      </c>
      <c r="J1091" s="67" t="str">
        <f>IFERROR(__xludf.DUMMYFUNCTION("if(H1091="""", """", SUM(split(H1091, "";"")))"),"")</f>
        <v/>
      </c>
      <c r="K1091" s="68"/>
      <c r="L1091" s="68"/>
      <c r="M1091" s="68"/>
      <c r="N1091" s="68"/>
      <c r="O1091" s="68"/>
      <c r="P1091" s="68"/>
      <c r="Q1091" s="68"/>
      <c r="R1091" s="68"/>
      <c r="S1091" s="68"/>
      <c r="T1091" s="68"/>
      <c r="U1091" s="68"/>
      <c r="V1091" s="68"/>
      <c r="W1091" s="68"/>
      <c r="X1091" s="68"/>
      <c r="Y1091" s="68"/>
      <c r="Z1091" s="68"/>
      <c r="AA1091" s="68"/>
    </row>
    <row r="1092" ht="26.25" customHeight="1">
      <c r="A1092" s="68"/>
      <c r="B1092" s="68"/>
      <c r="C1092" s="68"/>
      <c r="D1092" s="71"/>
      <c r="E1092" s="71"/>
      <c r="F1092" s="71"/>
      <c r="G1092" s="65"/>
      <c r="H1092" s="74"/>
      <c r="I1092" s="67" t="str">
        <f>IFERROR(__xludf.DUMMYFUNCTION("if($H1092="""", """", AVERAGE(split($H1092, "";"")))"),"")</f>
        <v/>
      </c>
      <c r="J1092" s="67" t="str">
        <f>IFERROR(__xludf.DUMMYFUNCTION("if(H1092="""", """", SUM(split(H1092, "";"")))"),"")</f>
        <v/>
      </c>
      <c r="K1092" s="68"/>
      <c r="L1092" s="68"/>
      <c r="M1092" s="68"/>
      <c r="N1092" s="68"/>
      <c r="O1092" s="68"/>
      <c r="P1092" s="68"/>
      <c r="Q1092" s="68"/>
      <c r="R1092" s="68"/>
      <c r="S1092" s="68"/>
      <c r="T1092" s="68"/>
      <c r="U1092" s="68"/>
      <c r="V1092" s="68"/>
      <c r="W1092" s="68"/>
      <c r="X1092" s="68"/>
      <c r="Y1092" s="68"/>
      <c r="Z1092" s="68"/>
      <c r="AA1092" s="68"/>
    </row>
    <row r="1093" ht="26.25" customHeight="1">
      <c r="A1093" s="68"/>
      <c r="B1093" s="68"/>
      <c r="C1093" s="68"/>
      <c r="D1093" s="71"/>
      <c r="E1093" s="71"/>
      <c r="F1093" s="71"/>
      <c r="G1093" s="65"/>
      <c r="H1093" s="74"/>
      <c r="I1093" s="67" t="str">
        <f>IFERROR(__xludf.DUMMYFUNCTION("if($H1093="""", """", AVERAGE(split($H1093, "";"")))"),"")</f>
        <v/>
      </c>
      <c r="J1093" s="67" t="str">
        <f>IFERROR(__xludf.DUMMYFUNCTION("if(H1093="""", """", SUM(split(H1093, "";"")))"),"")</f>
        <v/>
      </c>
      <c r="K1093" s="68"/>
      <c r="L1093" s="68"/>
      <c r="M1093" s="68"/>
      <c r="N1093" s="68"/>
      <c r="O1093" s="68"/>
      <c r="P1093" s="68"/>
      <c r="Q1093" s="68"/>
      <c r="R1093" s="68"/>
      <c r="S1093" s="68"/>
      <c r="T1093" s="68"/>
      <c r="U1093" s="68"/>
      <c r="V1093" s="68"/>
      <c r="W1093" s="68"/>
      <c r="X1093" s="68"/>
      <c r="Y1093" s="68"/>
      <c r="Z1093" s="68"/>
      <c r="AA1093" s="68"/>
    </row>
    <row r="1094" ht="26.25" customHeight="1">
      <c r="A1094" s="68"/>
      <c r="B1094" s="68"/>
      <c r="C1094" s="68"/>
      <c r="D1094" s="71"/>
      <c r="E1094" s="71"/>
      <c r="F1094" s="71"/>
      <c r="G1094" s="65"/>
      <c r="H1094" s="74"/>
      <c r="I1094" s="67" t="str">
        <f>IFERROR(__xludf.DUMMYFUNCTION("if($H1094="""", """", AVERAGE(split($H1094, "";"")))"),"")</f>
        <v/>
      </c>
      <c r="J1094" s="67" t="str">
        <f>IFERROR(__xludf.DUMMYFUNCTION("if(H1094="""", """", SUM(split(H1094, "";"")))"),"")</f>
        <v/>
      </c>
      <c r="K1094" s="68"/>
      <c r="L1094" s="68"/>
      <c r="M1094" s="68"/>
      <c r="N1094" s="68"/>
      <c r="O1094" s="68"/>
      <c r="P1094" s="68"/>
      <c r="Q1094" s="68"/>
      <c r="R1094" s="68"/>
      <c r="S1094" s="68"/>
      <c r="T1094" s="68"/>
      <c r="U1094" s="68"/>
      <c r="V1094" s="68"/>
      <c r="W1094" s="68"/>
      <c r="X1094" s="68"/>
      <c r="Y1094" s="68"/>
      <c r="Z1094" s="68"/>
      <c r="AA1094" s="68"/>
    </row>
    <row r="1095" ht="26.25" customHeight="1">
      <c r="A1095" s="68"/>
      <c r="B1095" s="68"/>
      <c r="C1095" s="68"/>
      <c r="D1095" s="71"/>
      <c r="E1095" s="71"/>
      <c r="F1095" s="71"/>
      <c r="G1095" s="65"/>
      <c r="H1095" s="74"/>
      <c r="I1095" s="67" t="str">
        <f>IFERROR(__xludf.DUMMYFUNCTION("if($H1095="""", """", AVERAGE(split($H1095, "";"")))"),"")</f>
        <v/>
      </c>
      <c r="J1095" s="67" t="str">
        <f>IFERROR(__xludf.DUMMYFUNCTION("if(H1095="""", """", SUM(split(H1095, "";"")))"),"")</f>
        <v/>
      </c>
      <c r="K1095" s="68"/>
      <c r="L1095" s="68"/>
      <c r="M1095" s="68"/>
      <c r="N1095" s="68"/>
      <c r="O1095" s="68"/>
      <c r="P1095" s="68"/>
      <c r="Q1095" s="68"/>
      <c r="R1095" s="68"/>
      <c r="S1095" s="68"/>
      <c r="T1095" s="68"/>
      <c r="U1095" s="68"/>
      <c r="V1095" s="68"/>
      <c r="W1095" s="68"/>
      <c r="X1095" s="68"/>
      <c r="Y1095" s="68"/>
      <c r="Z1095" s="68"/>
      <c r="AA1095" s="68"/>
    </row>
    <row r="1096" ht="26.25" customHeight="1">
      <c r="A1096" s="68"/>
      <c r="B1096" s="68"/>
      <c r="C1096" s="68"/>
      <c r="D1096" s="71"/>
      <c r="E1096" s="71"/>
      <c r="F1096" s="71"/>
      <c r="G1096" s="65"/>
      <c r="H1096" s="74"/>
      <c r="I1096" s="67" t="str">
        <f>IFERROR(__xludf.DUMMYFUNCTION("if($H1096="""", """", AVERAGE(split($H1096, "";"")))"),"")</f>
        <v/>
      </c>
      <c r="J1096" s="67" t="str">
        <f>IFERROR(__xludf.DUMMYFUNCTION("if(H1096="""", """", SUM(split(H1096, "";"")))"),"")</f>
        <v/>
      </c>
      <c r="K1096" s="68"/>
      <c r="L1096" s="68"/>
      <c r="M1096" s="68"/>
      <c r="N1096" s="68"/>
      <c r="O1096" s="68"/>
      <c r="P1096" s="68"/>
      <c r="Q1096" s="68"/>
      <c r="R1096" s="68"/>
      <c r="S1096" s="68"/>
      <c r="T1096" s="68"/>
      <c r="U1096" s="68"/>
      <c r="V1096" s="68"/>
      <c r="W1096" s="68"/>
      <c r="X1096" s="68"/>
      <c r="Y1096" s="68"/>
      <c r="Z1096" s="68"/>
      <c r="AA1096" s="68"/>
    </row>
    <row r="1097" ht="26.25" customHeight="1">
      <c r="A1097" s="68"/>
      <c r="B1097" s="68"/>
      <c r="C1097" s="68"/>
      <c r="D1097" s="71"/>
      <c r="E1097" s="71"/>
      <c r="F1097" s="71"/>
      <c r="G1097" s="65"/>
      <c r="H1097" s="74"/>
      <c r="I1097" s="67" t="str">
        <f>IFERROR(__xludf.DUMMYFUNCTION("if($H1097="""", """", AVERAGE(split($H1097, "";"")))"),"")</f>
        <v/>
      </c>
      <c r="J1097" s="67" t="str">
        <f>IFERROR(__xludf.DUMMYFUNCTION("if(H1097="""", """", SUM(split(H1097, "";"")))"),"")</f>
        <v/>
      </c>
      <c r="K1097" s="68"/>
      <c r="L1097" s="68"/>
      <c r="M1097" s="68"/>
      <c r="N1097" s="68"/>
      <c r="O1097" s="68"/>
      <c r="P1097" s="68"/>
      <c r="Q1097" s="68"/>
      <c r="R1097" s="68"/>
      <c r="S1097" s="68"/>
      <c r="T1097" s="68"/>
      <c r="U1097" s="68"/>
      <c r="V1097" s="68"/>
      <c r="W1097" s="68"/>
      <c r="X1097" s="68"/>
      <c r="Y1097" s="68"/>
      <c r="Z1097" s="68"/>
      <c r="AA1097" s="68"/>
    </row>
    <row r="1098" ht="26.25" customHeight="1">
      <c r="A1098" s="68"/>
      <c r="B1098" s="68"/>
      <c r="C1098" s="68"/>
      <c r="D1098" s="71"/>
      <c r="E1098" s="71"/>
      <c r="F1098" s="71"/>
      <c r="G1098" s="65"/>
      <c r="H1098" s="74"/>
      <c r="I1098" s="67" t="str">
        <f>IFERROR(__xludf.DUMMYFUNCTION("if($H1098="""", """", AVERAGE(split($H1098, "";"")))"),"")</f>
        <v/>
      </c>
      <c r="J1098" s="67" t="str">
        <f>IFERROR(__xludf.DUMMYFUNCTION("if(H1098="""", """", SUM(split(H1098, "";"")))"),"")</f>
        <v/>
      </c>
      <c r="K1098" s="68"/>
      <c r="L1098" s="68"/>
      <c r="M1098" s="68"/>
      <c r="N1098" s="68"/>
      <c r="O1098" s="68"/>
      <c r="P1098" s="68"/>
      <c r="Q1098" s="68"/>
      <c r="R1098" s="68"/>
      <c r="S1098" s="68"/>
      <c r="T1098" s="68"/>
      <c r="U1098" s="68"/>
      <c r="V1098" s="68"/>
      <c r="W1098" s="68"/>
      <c r="X1098" s="68"/>
      <c r="Y1098" s="68"/>
      <c r="Z1098" s="68"/>
      <c r="AA1098" s="68"/>
    </row>
    <row r="1099" ht="26.25" customHeight="1">
      <c r="A1099" s="68"/>
      <c r="B1099" s="68"/>
      <c r="C1099" s="68"/>
      <c r="D1099" s="71"/>
      <c r="E1099" s="71"/>
      <c r="F1099" s="71"/>
      <c r="G1099" s="65"/>
      <c r="H1099" s="74"/>
      <c r="I1099" s="67" t="str">
        <f>IFERROR(__xludf.DUMMYFUNCTION("if($H1099="""", """", AVERAGE(split($H1099, "";"")))"),"")</f>
        <v/>
      </c>
      <c r="J1099" s="67" t="str">
        <f>IFERROR(__xludf.DUMMYFUNCTION("if(H1099="""", """", SUM(split(H1099, "";"")))"),"")</f>
        <v/>
      </c>
      <c r="K1099" s="68"/>
      <c r="L1099" s="68"/>
      <c r="M1099" s="68"/>
      <c r="N1099" s="68"/>
      <c r="O1099" s="68"/>
      <c r="P1099" s="68"/>
      <c r="Q1099" s="68"/>
      <c r="R1099" s="68"/>
      <c r="S1099" s="68"/>
      <c r="T1099" s="68"/>
      <c r="U1099" s="68"/>
      <c r="V1099" s="68"/>
      <c r="W1099" s="68"/>
      <c r="X1099" s="68"/>
      <c r="Y1099" s="68"/>
      <c r="Z1099" s="68"/>
      <c r="AA1099" s="68"/>
    </row>
    <row r="1100" ht="26.25" customHeight="1">
      <c r="A1100" s="68"/>
      <c r="B1100" s="68"/>
      <c r="C1100" s="68"/>
      <c r="D1100" s="71"/>
      <c r="E1100" s="71"/>
      <c r="F1100" s="71"/>
      <c r="G1100" s="65"/>
      <c r="H1100" s="74"/>
      <c r="I1100" s="67" t="str">
        <f>IFERROR(__xludf.DUMMYFUNCTION("if($H1100="""", """", AVERAGE(split($H1100, "";"")))"),"")</f>
        <v/>
      </c>
      <c r="J1100" s="67" t="str">
        <f>IFERROR(__xludf.DUMMYFUNCTION("if(H1100="""", """", SUM(split(H1100, "";"")))"),"")</f>
        <v/>
      </c>
      <c r="K1100" s="68"/>
      <c r="L1100" s="68"/>
      <c r="M1100" s="68"/>
      <c r="N1100" s="68"/>
      <c r="O1100" s="68"/>
      <c r="P1100" s="68"/>
      <c r="Q1100" s="68"/>
      <c r="R1100" s="68"/>
      <c r="S1100" s="68"/>
      <c r="T1100" s="68"/>
      <c r="U1100" s="68"/>
      <c r="V1100" s="68"/>
      <c r="W1100" s="68"/>
      <c r="X1100" s="68"/>
      <c r="Y1100" s="68"/>
      <c r="Z1100" s="68"/>
      <c r="AA1100" s="68"/>
    </row>
    <row r="1101" ht="26.25" customHeight="1">
      <c r="A1101" s="68"/>
      <c r="B1101" s="68"/>
      <c r="C1101" s="68"/>
      <c r="D1101" s="71"/>
      <c r="E1101" s="71"/>
      <c r="F1101" s="71"/>
      <c r="G1101" s="65"/>
      <c r="H1101" s="74"/>
      <c r="I1101" s="67" t="str">
        <f>IFERROR(__xludf.DUMMYFUNCTION("if($H1101="""", """", AVERAGE(split($H1101, "";"")))"),"")</f>
        <v/>
      </c>
      <c r="J1101" s="67" t="str">
        <f>IFERROR(__xludf.DUMMYFUNCTION("if(H1101="""", """", SUM(split(H1101, "";"")))"),"")</f>
        <v/>
      </c>
      <c r="K1101" s="68"/>
      <c r="L1101" s="68"/>
      <c r="M1101" s="68"/>
      <c r="N1101" s="68"/>
      <c r="O1101" s="68"/>
      <c r="P1101" s="68"/>
      <c r="Q1101" s="68"/>
      <c r="R1101" s="68"/>
      <c r="S1101" s="68"/>
      <c r="T1101" s="68"/>
      <c r="U1101" s="68"/>
      <c r="V1101" s="68"/>
      <c r="W1101" s="68"/>
      <c r="X1101" s="68"/>
      <c r="Y1101" s="68"/>
      <c r="Z1101" s="68"/>
      <c r="AA1101" s="68"/>
    </row>
    <row r="1102" ht="26.25" customHeight="1">
      <c r="A1102" s="68"/>
      <c r="B1102" s="68"/>
      <c r="C1102" s="68"/>
      <c r="D1102" s="71"/>
      <c r="E1102" s="71"/>
      <c r="F1102" s="71"/>
      <c r="G1102" s="65"/>
      <c r="H1102" s="74"/>
      <c r="I1102" s="67" t="str">
        <f>IFERROR(__xludf.DUMMYFUNCTION("if($H1102="""", """", AVERAGE(split($H1102, "";"")))"),"")</f>
        <v/>
      </c>
      <c r="J1102" s="67" t="str">
        <f>IFERROR(__xludf.DUMMYFUNCTION("if(H1102="""", """", SUM(split(H1102, "";"")))"),"")</f>
        <v/>
      </c>
      <c r="K1102" s="68"/>
      <c r="L1102" s="68"/>
      <c r="M1102" s="68"/>
      <c r="N1102" s="68"/>
      <c r="O1102" s="68"/>
      <c r="P1102" s="68"/>
      <c r="Q1102" s="68"/>
      <c r="R1102" s="68"/>
      <c r="S1102" s="68"/>
      <c r="T1102" s="68"/>
      <c r="U1102" s="68"/>
      <c r="V1102" s="68"/>
      <c r="W1102" s="68"/>
      <c r="X1102" s="68"/>
      <c r="Y1102" s="68"/>
      <c r="Z1102" s="68"/>
      <c r="AA1102" s="68"/>
    </row>
    <row r="1103" ht="26.25" customHeight="1">
      <c r="A1103" s="68"/>
      <c r="B1103" s="68"/>
      <c r="C1103" s="68"/>
      <c r="D1103" s="71"/>
      <c r="E1103" s="71"/>
      <c r="F1103" s="71"/>
      <c r="G1103" s="65"/>
      <c r="H1103" s="74"/>
      <c r="I1103" s="67" t="str">
        <f>IFERROR(__xludf.DUMMYFUNCTION("if($H1103="""", """", AVERAGE(split($H1103, "";"")))"),"")</f>
        <v/>
      </c>
      <c r="J1103" s="67" t="str">
        <f>IFERROR(__xludf.DUMMYFUNCTION("if(H1103="""", """", SUM(split(H1103, "";"")))"),"")</f>
        <v/>
      </c>
      <c r="K1103" s="68"/>
      <c r="L1103" s="68"/>
      <c r="M1103" s="68"/>
      <c r="N1103" s="68"/>
      <c r="O1103" s="68"/>
      <c r="P1103" s="68"/>
      <c r="Q1103" s="68"/>
      <c r="R1103" s="68"/>
      <c r="S1103" s="68"/>
      <c r="T1103" s="68"/>
      <c r="U1103" s="68"/>
      <c r="V1103" s="68"/>
      <c r="W1103" s="68"/>
      <c r="X1103" s="68"/>
      <c r="Y1103" s="68"/>
      <c r="Z1103" s="68"/>
      <c r="AA1103" s="68"/>
    </row>
    <row r="1104" ht="26.25" customHeight="1">
      <c r="A1104" s="68"/>
      <c r="B1104" s="68"/>
      <c r="C1104" s="68"/>
      <c r="D1104" s="71"/>
      <c r="E1104" s="71"/>
      <c r="F1104" s="71"/>
      <c r="G1104" s="65"/>
      <c r="H1104" s="74"/>
      <c r="I1104" s="67" t="str">
        <f>IFERROR(__xludf.DUMMYFUNCTION("if($H1104="""", """", AVERAGE(split($H1104, "";"")))"),"")</f>
        <v/>
      </c>
      <c r="J1104" s="67" t="str">
        <f>IFERROR(__xludf.DUMMYFUNCTION("if(H1104="""", """", SUM(split(H1104, "";"")))"),"")</f>
        <v/>
      </c>
      <c r="K1104" s="68"/>
      <c r="L1104" s="68"/>
      <c r="M1104" s="68"/>
      <c r="N1104" s="68"/>
      <c r="O1104" s="68"/>
      <c r="P1104" s="68"/>
      <c r="Q1104" s="68"/>
      <c r="R1104" s="68"/>
      <c r="S1104" s="68"/>
      <c r="T1104" s="68"/>
      <c r="U1104" s="68"/>
      <c r="V1104" s="68"/>
      <c r="W1104" s="68"/>
      <c r="X1104" s="68"/>
      <c r="Y1104" s="68"/>
      <c r="Z1104" s="68"/>
      <c r="AA1104" s="68"/>
    </row>
    <row r="1105" ht="26.25" customHeight="1">
      <c r="A1105" s="68"/>
      <c r="B1105" s="68"/>
      <c r="C1105" s="68"/>
      <c r="D1105" s="71"/>
      <c r="E1105" s="71"/>
      <c r="F1105" s="71"/>
      <c r="G1105" s="65"/>
      <c r="H1105" s="74"/>
      <c r="I1105" s="67" t="str">
        <f>IFERROR(__xludf.DUMMYFUNCTION("if($H1105="""", """", AVERAGE(split($H1105, "";"")))"),"")</f>
        <v/>
      </c>
      <c r="J1105" s="67" t="str">
        <f>IFERROR(__xludf.DUMMYFUNCTION("if(H1105="""", """", SUM(split(H1105, "";"")))"),"")</f>
        <v/>
      </c>
      <c r="K1105" s="68"/>
      <c r="L1105" s="68"/>
      <c r="M1105" s="68"/>
      <c r="N1105" s="68"/>
      <c r="O1105" s="68"/>
      <c r="P1105" s="68"/>
      <c r="Q1105" s="68"/>
      <c r="R1105" s="68"/>
      <c r="S1105" s="68"/>
      <c r="T1105" s="68"/>
      <c r="U1105" s="68"/>
      <c r="V1105" s="68"/>
      <c r="W1105" s="68"/>
      <c r="X1105" s="68"/>
      <c r="Y1105" s="68"/>
      <c r="Z1105" s="68"/>
      <c r="AA1105" s="68"/>
    </row>
    <row r="1106" ht="26.25" customHeight="1">
      <c r="A1106" s="68"/>
      <c r="B1106" s="68"/>
      <c r="C1106" s="68"/>
      <c r="D1106" s="71"/>
      <c r="E1106" s="71"/>
      <c r="F1106" s="71"/>
      <c r="G1106" s="65"/>
      <c r="H1106" s="74"/>
      <c r="I1106" s="67" t="str">
        <f>IFERROR(__xludf.DUMMYFUNCTION("if($H1106="""", """", AVERAGE(split($H1106, "";"")))"),"")</f>
        <v/>
      </c>
      <c r="J1106" s="67" t="str">
        <f>IFERROR(__xludf.DUMMYFUNCTION("if(H1106="""", """", SUM(split(H1106, "";"")))"),"")</f>
        <v/>
      </c>
      <c r="K1106" s="68"/>
      <c r="L1106" s="68"/>
      <c r="M1106" s="68"/>
      <c r="N1106" s="68"/>
      <c r="O1106" s="68"/>
      <c r="P1106" s="68"/>
      <c r="Q1106" s="68"/>
      <c r="R1106" s="68"/>
      <c r="S1106" s="68"/>
      <c r="T1106" s="68"/>
      <c r="U1106" s="68"/>
      <c r="V1106" s="68"/>
      <c r="W1106" s="68"/>
      <c r="X1106" s="68"/>
      <c r="Y1106" s="68"/>
      <c r="Z1106" s="68"/>
      <c r="AA1106" s="68"/>
    </row>
    <row r="1107" ht="26.25" customHeight="1">
      <c r="A1107" s="68"/>
      <c r="B1107" s="68"/>
      <c r="C1107" s="68"/>
      <c r="D1107" s="71"/>
      <c r="E1107" s="71"/>
      <c r="F1107" s="71"/>
      <c r="G1107" s="65"/>
      <c r="H1107" s="74"/>
      <c r="I1107" s="67" t="str">
        <f>IFERROR(__xludf.DUMMYFUNCTION("if($H1107="""", """", AVERAGE(split($H1107, "";"")))"),"")</f>
        <v/>
      </c>
      <c r="J1107" s="67" t="str">
        <f>IFERROR(__xludf.DUMMYFUNCTION("if(H1107="""", """", SUM(split(H1107, "";"")))"),"")</f>
        <v/>
      </c>
      <c r="K1107" s="68"/>
      <c r="L1107" s="68"/>
      <c r="M1107" s="68"/>
      <c r="N1107" s="68"/>
      <c r="O1107" s="68"/>
      <c r="P1107" s="68"/>
      <c r="Q1107" s="68"/>
      <c r="R1107" s="68"/>
      <c r="S1107" s="68"/>
      <c r="T1107" s="68"/>
      <c r="U1107" s="68"/>
      <c r="V1107" s="68"/>
      <c r="W1107" s="68"/>
      <c r="X1107" s="68"/>
      <c r="Y1107" s="68"/>
      <c r="Z1107" s="68"/>
      <c r="AA1107" s="68"/>
    </row>
    <row r="1108" ht="26.25" customHeight="1">
      <c r="A1108" s="68"/>
      <c r="B1108" s="68"/>
      <c r="C1108" s="68"/>
      <c r="D1108" s="71"/>
      <c r="E1108" s="71"/>
      <c r="F1108" s="71"/>
      <c r="G1108" s="65"/>
      <c r="H1108" s="74"/>
      <c r="I1108" s="67" t="str">
        <f>IFERROR(__xludf.DUMMYFUNCTION("if($H1108="""", """", AVERAGE(split($H1108, "";"")))"),"")</f>
        <v/>
      </c>
      <c r="J1108" s="67" t="str">
        <f>IFERROR(__xludf.DUMMYFUNCTION("if(H1108="""", """", SUM(split(H1108, "";"")))"),"")</f>
        <v/>
      </c>
      <c r="K1108" s="68"/>
      <c r="L1108" s="68"/>
      <c r="M1108" s="68"/>
      <c r="N1108" s="68"/>
      <c r="O1108" s="68"/>
      <c r="P1108" s="68"/>
      <c r="Q1108" s="68"/>
      <c r="R1108" s="68"/>
      <c r="S1108" s="68"/>
      <c r="T1108" s="68"/>
      <c r="U1108" s="68"/>
      <c r="V1108" s="68"/>
      <c r="W1108" s="68"/>
      <c r="X1108" s="68"/>
      <c r="Y1108" s="68"/>
      <c r="Z1108" s="68"/>
      <c r="AA1108" s="68"/>
    </row>
    <row r="1109" ht="26.25" customHeight="1">
      <c r="A1109" s="68"/>
      <c r="B1109" s="68"/>
      <c r="C1109" s="68"/>
      <c r="D1109" s="71"/>
      <c r="E1109" s="71"/>
      <c r="F1109" s="71"/>
      <c r="G1109" s="65"/>
      <c r="H1109" s="74"/>
      <c r="I1109" s="67" t="str">
        <f>IFERROR(__xludf.DUMMYFUNCTION("if($H1109="""", """", AVERAGE(split($H1109, "";"")))"),"")</f>
        <v/>
      </c>
      <c r="J1109" s="67" t="str">
        <f>IFERROR(__xludf.DUMMYFUNCTION("if(H1109="""", """", SUM(split(H1109, "";"")))"),"")</f>
        <v/>
      </c>
      <c r="K1109" s="68"/>
      <c r="L1109" s="68"/>
      <c r="M1109" s="68"/>
      <c r="N1109" s="68"/>
      <c r="O1109" s="68"/>
      <c r="P1109" s="68"/>
      <c r="Q1109" s="68"/>
      <c r="R1109" s="68"/>
      <c r="S1109" s="68"/>
      <c r="T1109" s="68"/>
      <c r="U1109" s="68"/>
      <c r="V1109" s="68"/>
      <c r="W1109" s="68"/>
      <c r="X1109" s="68"/>
      <c r="Y1109" s="68"/>
      <c r="Z1109" s="68"/>
      <c r="AA1109" s="68"/>
    </row>
    <row r="1110" ht="26.25" customHeight="1">
      <c r="A1110" s="68"/>
      <c r="B1110" s="68"/>
      <c r="C1110" s="68"/>
      <c r="D1110" s="71"/>
      <c r="E1110" s="71"/>
      <c r="F1110" s="71"/>
      <c r="G1110" s="65"/>
      <c r="H1110" s="74"/>
      <c r="I1110" s="67" t="str">
        <f>IFERROR(__xludf.DUMMYFUNCTION("if($H1110="""", """", AVERAGE(split($H1110, "";"")))"),"")</f>
        <v/>
      </c>
      <c r="J1110" s="67" t="str">
        <f>IFERROR(__xludf.DUMMYFUNCTION("if(H1110="""", """", SUM(split(H1110, "";"")))"),"")</f>
        <v/>
      </c>
      <c r="K1110" s="68"/>
      <c r="L1110" s="68"/>
      <c r="M1110" s="68"/>
      <c r="N1110" s="68"/>
      <c r="O1110" s="68"/>
      <c r="P1110" s="68"/>
      <c r="Q1110" s="68"/>
      <c r="R1110" s="68"/>
      <c r="S1110" s="68"/>
      <c r="T1110" s="68"/>
      <c r="U1110" s="68"/>
      <c r="V1110" s="68"/>
      <c r="W1110" s="68"/>
      <c r="X1110" s="68"/>
      <c r="Y1110" s="68"/>
      <c r="Z1110" s="68"/>
      <c r="AA1110" s="68"/>
    </row>
    <row r="1111" ht="26.25" customHeight="1">
      <c r="A1111" s="68"/>
      <c r="B1111" s="68"/>
      <c r="C1111" s="68"/>
      <c r="D1111" s="71"/>
      <c r="E1111" s="71"/>
      <c r="F1111" s="71"/>
      <c r="G1111" s="65"/>
      <c r="H1111" s="74"/>
      <c r="I1111" s="67" t="str">
        <f>IFERROR(__xludf.DUMMYFUNCTION("if($H1111="""", """", AVERAGE(split($H1111, "";"")))"),"")</f>
        <v/>
      </c>
      <c r="J1111" s="67" t="str">
        <f>IFERROR(__xludf.DUMMYFUNCTION("if(H1111="""", """", SUM(split(H1111, "";"")))"),"")</f>
        <v/>
      </c>
      <c r="K1111" s="68"/>
      <c r="L1111" s="68"/>
      <c r="M1111" s="68"/>
      <c r="N1111" s="68"/>
      <c r="O1111" s="68"/>
      <c r="P1111" s="68"/>
      <c r="Q1111" s="68"/>
      <c r="R1111" s="68"/>
      <c r="S1111" s="68"/>
      <c r="T1111" s="68"/>
      <c r="U1111" s="68"/>
      <c r="V1111" s="68"/>
      <c r="W1111" s="68"/>
      <c r="X1111" s="68"/>
      <c r="Y1111" s="68"/>
      <c r="Z1111" s="68"/>
      <c r="AA1111" s="68"/>
    </row>
    <row r="1112" ht="26.25" customHeight="1">
      <c r="A1112" s="68"/>
      <c r="B1112" s="68"/>
      <c r="C1112" s="68"/>
      <c r="D1112" s="71"/>
      <c r="E1112" s="71"/>
      <c r="F1112" s="71"/>
      <c r="G1112" s="65"/>
      <c r="H1112" s="74"/>
      <c r="I1112" s="67" t="str">
        <f>IFERROR(__xludf.DUMMYFUNCTION("if($H1112="""", """", AVERAGE(split($H1112, "";"")))"),"")</f>
        <v/>
      </c>
      <c r="J1112" s="67" t="str">
        <f>IFERROR(__xludf.DUMMYFUNCTION("if(H1112="""", """", SUM(split(H1112, "";"")))"),"")</f>
        <v/>
      </c>
      <c r="K1112" s="68"/>
      <c r="L1112" s="68"/>
      <c r="M1112" s="68"/>
      <c r="N1112" s="68"/>
      <c r="O1112" s="68"/>
      <c r="P1112" s="68"/>
      <c r="Q1112" s="68"/>
      <c r="R1112" s="68"/>
      <c r="S1112" s="68"/>
      <c r="T1112" s="68"/>
      <c r="U1112" s="68"/>
      <c r="V1112" s="68"/>
      <c r="W1112" s="68"/>
      <c r="X1112" s="68"/>
      <c r="Y1112" s="68"/>
      <c r="Z1112" s="68"/>
      <c r="AA1112" s="68"/>
    </row>
    <row r="1113" ht="26.25" customHeight="1">
      <c r="A1113" s="68"/>
      <c r="B1113" s="68"/>
      <c r="C1113" s="68"/>
      <c r="D1113" s="71"/>
      <c r="E1113" s="71"/>
      <c r="F1113" s="71"/>
      <c r="G1113" s="65"/>
      <c r="H1113" s="74"/>
      <c r="I1113" s="67" t="str">
        <f>IFERROR(__xludf.DUMMYFUNCTION("if($H1113="""", """", AVERAGE(split($H1113, "";"")))"),"")</f>
        <v/>
      </c>
      <c r="J1113" s="67" t="str">
        <f>IFERROR(__xludf.DUMMYFUNCTION("if(H1113="""", """", SUM(split(H1113, "";"")))"),"")</f>
        <v/>
      </c>
      <c r="K1113" s="68"/>
      <c r="L1113" s="68"/>
      <c r="M1113" s="68"/>
      <c r="N1113" s="68"/>
      <c r="O1113" s="68"/>
      <c r="P1113" s="68"/>
      <c r="Q1113" s="68"/>
      <c r="R1113" s="68"/>
      <c r="S1113" s="68"/>
      <c r="T1113" s="68"/>
      <c r="U1113" s="68"/>
      <c r="V1113" s="68"/>
      <c r="W1113" s="68"/>
      <c r="X1113" s="68"/>
      <c r="Y1113" s="68"/>
      <c r="Z1113" s="68"/>
      <c r="AA1113" s="68"/>
    </row>
    <row r="1114" ht="26.25" customHeight="1">
      <c r="A1114" s="68"/>
      <c r="B1114" s="68"/>
      <c r="C1114" s="68"/>
      <c r="D1114" s="71"/>
      <c r="E1114" s="71"/>
      <c r="F1114" s="71"/>
      <c r="G1114" s="65"/>
      <c r="H1114" s="74"/>
      <c r="I1114" s="67" t="str">
        <f>IFERROR(__xludf.DUMMYFUNCTION("if($H1114="""", """", AVERAGE(split($H1114, "";"")))"),"")</f>
        <v/>
      </c>
      <c r="J1114" s="67" t="str">
        <f>IFERROR(__xludf.DUMMYFUNCTION("if(H1114="""", """", SUM(split(H1114, "";"")))"),"")</f>
        <v/>
      </c>
      <c r="K1114" s="68"/>
      <c r="L1114" s="68"/>
      <c r="M1114" s="68"/>
      <c r="N1114" s="68"/>
      <c r="O1114" s="68"/>
      <c r="P1114" s="68"/>
      <c r="Q1114" s="68"/>
      <c r="R1114" s="68"/>
      <c r="S1114" s="68"/>
      <c r="T1114" s="68"/>
      <c r="U1114" s="68"/>
      <c r="V1114" s="68"/>
      <c r="W1114" s="68"/>
      <c r="X1114" s="68"/>
      <c r="Y1114" s="68"/>
      <c r="Z1114" s="68"/>
      <c r="AA1114" s="68"/>
    </row>
    <row r="1115" ht="26.25" customHeight="1">
      <c r="A1115" s="68"/>
      <c r="B1115" s="68"/>
      <c r="C1115" s="68"/>
      <c r="D1115" s="71"/>
      <c r="E1115" s="71"/>
      <c r="F1115" s="71"/>
      <c r="G1115" s="65"/>
      <c r="H1115" s="74"/>
      <c r="I1115" s="67" t="str">
        <f>IFERROR(__xludf.DUMMYFUNCTION("if($H1115="""", """", AVERAGE(split($H1115, "";"")))"),"")</f>
        <v/>
      </c>
      <c r="J1115" s="67" t="str">
        <f>IFERROR(__xludf.DUMMYFUNCTION("if(H1115="""", """", SUM(split(H1115, "";"")))"),"")</f>
        <v/>
      </c>
      <c r="K1115" s="68"/>
      <c r="L1115" s="68"/>
      <c r="M1115" s="68"/>
      <c r="N1115" s="68"/>
      <c r="O1115" s="68"/>
      <c r="P1115" s="68"/>
      <c r="Q1115" s="68"/>
      <c r="R1115" s="68"/>
      <c r="S1115" s="68"/>
      <c r="T1115" s="68"/>
      <c r="U1115" s="68"/>
      <c r="V1115" s="68"/>
      <c r="W1115" s="68"/>
      <c r="X1115" s="68"/>
      <c r="Y1115" s="68"/>
      <c r="Z1115" s="68"/>
      <c r="AA1115" s="68"/>
    </row>
    <row r="1116" ht="26.25" customHeight="1">
      <c r="A1116" s="68"/>
      <c r="B1116" s="68"/>
      <c r="C1116" s="68"/>
      <c r="D1116" s="71"/>
      <c r="E1116" s="71"/>
      <c r="F1116" s="71"/>
      <c r="G1116" s="65"/>
      <c r="H1116" s="74"/>
      <c r="I1116" s="67" t="str">
        <f>IFERROR(__xludf.DUMMYFUNCTION("if($H1116="""", """", AVERAGE(split($H1116, "";"")))"),"")</f>
        <v/>
      </c>
      <c r="J1116" s="67" t="str">
        <f>IFERROR(__xludf.DUMMYFUNCTION("if(H1116="""", """", SUM(split(H1116, "";"")))"),"")</f>
        <v/>
      </c>
      <c r="K1116" s="68"/>
      <c r="L1116" s="68"/>
      <c r="M1116" s="68"/>
      <c r="N1116" s="68"/>
      <c r="O1116" s="68"/>
      <c r="P1116" s="68"/>
      <c r="Q1116" s="68"/>
      <c r="R1116" s="68"/>
      <c r="S1116" s="68"/>
      <c r="T1116" s="68"/>
      <c r="U1116" s="68"/>
      <c r="V1116" s="68"/>
      <c r="W1116" s="68"/>
      <c r="X1116" s="68"/>
      <c r="Y1116" s="68"/>
      <c r="Z1116" s="68"/>
      <c r="AA1116" s="68"/>
    </row>
    <row r="1117" ht="26.25" customHeight="1">
      <c r="A1117" s="68"/>
      <c r="B1117" s="68"/>
      <c r="C1117" s="68"/>
      <c r="D1117" s="71"/>
      <c r="E1117" s="71"/>
      <c r="F1117" s="71"/>
      <c r="G1117" s="65"/>
      <c r="H1117" s="74"/>
      <c r="I1117" s="67" t="str">
        <f>IFERROR(__xludf.DUMMYFUNCTION("if($H1117="""", """", AVERAGE(split($H1117, "";"")))"),"")</f>
        <v/>
      </c>
      <c r="J1117" s="67" t="str">
        <f>IFERROR(__xludf.DUMMYFUNCTION("if(H1117="""", """", SUM(split(H1117, "";"")))"),"")</f>
        <v/>
      </c>
      <c r="K1117" s="68"/>
      <c r="L1117" s="68"/>
      <c r="M1117" s="68"/>
      <c r="N1117" s="68"/>
      <c r="O1117" s="68"/>
      <c r="P1117" s="68"/>
      <c r="Q1117" s="68"/>
      <c r="R1117" s="68"/>
      <c r="S1117" s="68"/>
      <c r="T1117" s="68"/>
      <c r="U1117" s="68"/>
      <c r="V1117" s="68"/>
      <c r="W1117" s="68"/>
      <c r="X1117" s="68"/>
      <c r="Y1117" s="68"/>
      <c r="Z1117" s="68"/>
      <c r="AA1117" s="68"/>
    </row>
    <row r="1118" ht="26.25" customHeight="1">
      <c r="A1118" s="68"/>
      <c r="B1118" s="68"/>
      <c r="C1118" s="68"/>
      <c r="D1118" s="71"/>
      <c r="E1118" s="71"/>
      <c r="F1118" s="71"/>
      <c r="G1118" s="65"/>
      <c r="H1118" s="74"/>
      <c r="I1118" s="67" t="str">
        <f>IFERROR(__xludf.DUMMYFUNCTION("if($H1118="""", """", AVERAGE(split($H1118, "";"")))"),"")</f>
        <v/>
      </c>
      <c r="J1118" s="67" t="str">
        <f>IFERROR(__xludf.DUMMYFUNCTION("if(H1118="""", """", SUM(split(H1118, "";"")))"),"")</f>
        <v/>
      </c>
      <c r="K1118" s="68"/>
      <c r="L1118" s="68"/>
      <c r="M1118" s="68"/>
      <c r="N1118" s="68"/>
      <c r="O1118" s="68"/>
      <c r="P1118" s="68"/>
      <c r="Q1118" s="68"/>
      <c r="R1118" s="68"/>
      <c r="S1118" s="68"/>
      <c r="T1118" s="68"/>
      <c r="U1118" s="68"/>
      <c r="V1118" s="68"/>
      <c r="W1118" s="68"/>
      <c r="X1118" s="68"/>
      <c r="Y1118" s="68"/>
      <c r="Z1118" s="68"/>
      <c r="AA1118" s="68"/>
    </row>
    <row r="1119" ht="26.25" customHeight="1">
      <c r="A1119" s="68"/>
      <c r="B1119" s="68"/>
      <c r="C1119" s="68"/>
      <c r="D1119" s="71"/>
      <c r="E1119" s="71"/>
      <c r="F1119" s="71"/>
      <c r="G1119" s="65"/>
      <c r="H1119" s="74"/>
      <c r="I1119" s="67" t="str">
        <f>IFERROR(__xludf.DUMMYFUNCTION("if($H1119="""", """", AVERAGE(split($H1119, "";"")))"),"")</f>
        <v/>
      </c>
      <c r="J1119" s="67" t="str">
        <f>IFERROR(__xludf.DUMMYFUNCTION("if(H1119="""", """", SUM(split(H1119, "";"")))"),"")</f>
        <v/>
      </c>
      <c r="K1119" s="68"/>
      <c r="L1119" s="68"/>
      <c r="M1119" s="68"/>
      <c r="N1119" s="68"/>
      <c r="O1119" s="68"/>
      <c r="P1119" s="68"/>
      <c r="Q1119" s="68"/>
      <c r="R1119" s="68"/>
      <c r="S1119" s="68"/>
      <c r="T1119" s="68"/>
      <c r="U1119" s="68"/>
      <c r="V1119" s="68"/>
      <c r="W1119" s="68"/>
      <c r="X1119" s="68"/>
      <c r="Y1119" s="68"/>
      <c r="Z1119" s="68"/>
      <c r="AA1119" s="68"/>
    </row>
    <row r="1120" ht="26.25" customHeight="1">
      <c r="A1120" s="68"/>
      <c r="B1120" s="68"/>
      <c r="C1120" s="68"/>
      <c r="D1120" s="71"/>
      <c r="E1120" s="71"/>
      <c r="F1120" s="71"/>
      <c r="G1120" s="65"/>
      <c r="H1120" s="74"/>
      <c r="I1120" s="67" t="str">
        <f>IFERROR(__xludf.DUMMYFUNCTION("if($H1120="""", """", AVERAGE(split($H1120, "";"")))"),"")</f>
        <v/>
      </c>
      <c r="J1120" s="67" t="str">
        <f>IFERROR(__xludf.DUMMYFUNCTION("if(H1120="""", """", SUM(split(H1120, "";"")))"),"")</f>
        <v/>
      </c>
      <c r="K1120" s="68"/>
      <c r="L1120" s="68"/>
      <c r="M1120" s="68"/>
      <c r="N1120" s="68"/>
      <c r="O1120" s="68"/>
      <c r="P1120" s="68"/>
      <c r="Q1120" s="68"/>
      <c r="R1120" s="68"/>
      <c r="S1120" s="68"/>
      <c r="T1120" s="68"/>
      <c r="U1120" s="68"/>
      <c r="V1120" s="68"/>
      <c r="W1120" s="68"/>
      <c r="X1120" s="68"/>
      <c r="Y1120" s="68"/>
      <c r="Z1120" s="68"/>
      <c r="AA1120" s="68"/>
    </row>
    <row r="1121" ht="26.25" customHeight="1">
      <c r="A1121" s="68"/>
      <c r="B1121" s="68"/>
      <c r="C1121" s="68"/>
      <c r="D1121" s="71"/>
      <c r="E1121" s="71"/>
      <c r="F1121" s="71"/>
      <c r="G1121" s="65"/>
      <c r="H1121" s="74"/>
      <c r="I1121" s="67" t="str">
        <f>IFERROR(__xludf.DUMMYFUNCTION("if($H1121="""", """", AVERAGE(split($H1121, "";"")))"),"")</f>
        <v/>
      </c>
      <c r="J1121" s="67" t="str">
        <f>IFERROR(__xludf.DUMMYFUNCTION("if(H1121="""", """", SUM(split(H1121, "";"")))"),"")</f>
        <v/>
      </c>
      <c r="K1121" s="68"/>
      <c r="L1121" s="68"/>
      <c r="M1121" s="68"/>
      <c r="N1121" s="68"/>
      <c r="O1121" s="68"/>
      <c r="P1121" s="68"/>
      <c r="Q1121" s="68"/>
      <c r="R1121" s="68"/>
      <c r="S1121" s="68"/>
      <c r="T1121" s="68"/>
      <c r="U1121" s="68"/>
      <c r="V1121" s="68"/>
      <c r="W1121" s="68"/>
      <c r="X1121" s="68"/>
      <c r="Y1121" s="68"/>
      <c r="Z1121" s="68"/>
      <c r="AA1121" s="68"/>
    </row>
    <row r="1122" ht="26.25" customHeight="1">
      <c r="A1122" s="68"/>
      <c r="B1122" s="68"/>
      <c r="C1122" s="68"/>
      <c r="D1122" s="71"/>
      <c r="E1122" s="71"/>
      <c r="F1122" s="71"/>
      <c r="G1122" s="65"/>
      <c r="H1122" s="74"/>
      <c r="I1122" s="67" t="str">
        <f>IFERROR(__xludf.DUMMYFUNCTION("if($H1122="""", """", AVERAGE(split($H1122, "";"")))"),"")</f>
        <v/>
      </c>
      <c r="J1122" s="67" t="str">
        <f>IFERROR(__xludf.DUMMYFUNCTION("if(H1122="""", """", SUM(split(H1122, "";"")))"),"")</f>
        <v/>
      </c>
      <c r="K1122" s="68"/>
      <c r="L1122" s="68"/>
      <c r="M1122" s="68"/>
      <c r="N1122" s="68"/>
      <c r="O1122" s="68"/>
      <c r="P1122" s="68"/>
      <c r="Q1122" s="68"/>
      <c r="R1122" s="68"/>
      <c r="S1122" s="68"/>
      <c r="T1122" s="68"/>
      <c r="U1122" s="68"/>
      <c r="V1122" s="68"/>
      <c r="W1122" s="68"/>
      <c r="X1122" s="68"/>
      <c r="Y1122" s="68"/>
      <c r="Z1122" s="68"/>
      <c r="AA1122" s="68"/>
    </row>
    <row r="1123" ht="26.25" customHeight="1">
      <c r="A1123" s="68"/>
      <c r="B1123" s="68"/>
      <c r="C1123" s="68"/>
      <c r="D1123" s="71"/>
      <c r="E1123" s="71"/>
      <c r="F1123" s="71"/>
      <c r="G1123" s="65"/>
      <c r="H1123" s="74"/>
      <c r="I1123" s="67" t="str">
        <f>IFERROR(__xludf.DUMMYFUNCTION("if($H1123="""", """", AVERAGE(split($H1123, "";"")))"),"")</f>
        <v/>
      </c>
      <c r="J1123" s="67" t="str">
        <f>IFERROR(__xludf.DUMMYFUNCTION("if(H1123="""", """", SUM(split(H1123, "";"")))"),"")</f>
        <v/>
      </c>
      <c r="K1123" s="68"/>
      <c r="L1123" s="68"/>
      <c r="M1123" s="68"/>
      <c r="N1123" s="68"/>
      <c r="O1123" s="68"/>
      <c r="P1123" s="68"/>
      <c r="Q1123" s="68"/>
      <c r="R1123" s="68"/>
      <c r="S1123" s="68"/>
      <c r="T1123" s="68"/>
      <c r="U1123" s="68"/>
      <c r="V1123" s="68"/>
      <c r="W1123" s="68"/>
      <c r="X1123" s="68"/>
      <c r="Y1123" s="68"/>
      <c r="Z1123" s="68"/>
      <c r="AA1123" s="68"/>
    </row>
    <row r="1124" ht="26.25" customHeight="1">
      <c r="A1124" s="68"/>
      <c r="B1124" s="68"/>
      <c r="C1124" s="68"/>
      <c r="D1124" s="71"/>
      <c r="E1124" s="71"/>
      <c r="F1124" s="71"/>
      <c r="G1124" s="65"/>
      <c r="H1124" s="74"/>
      <c r="I1124" s="67" t="str">
        <f>IFERROR(__xludf.DUMMYFUNCTION("if($H1124="""", """", AVERAGE(split($H1124, "";"")))"),"")</f>
        <v/>
      </c>
      <c r="J1124" s="67" t="str">
        <f>IFERROR(__xludf.DUMMYFUNCTION("if(H1124="""", """", SUM(split(H1124, "";"")))"),"")</f>
        <v/>
      </c>
      <c r="K1124" s="68"/>
      <c r="L1124" s="68"/>
      <c r="M1124" s="68"/>
      <c r="N1124" s="68"/>
      <c r="O1124" s="68"/>
      <c r="P1124" s="68"/>
      <c r="Q1124" s="68"/>
      <c r="R1124" s="68"/>
      <c r="S1124" s="68"/>
      <c r="T1124" s="68"/>
      <c r="U1124" s="68"/>
      <c r="V1124" s="68"/>
      <c r="W1124" s="68"/>
      <c r="X1124" s="68"/>
      <c r="Y1124" s="68"/>
      <c r="Z1124" s="68"/>
      <c r="AA1124" s="68"/>
    </row>
    <row r="1125" ht="26.25" customHeight="1">
      <c r="A1125" s="68"/>
      <c r="B1125" s="68"/>
      <c r="C1125" s="68"/>
      <c r="D1125" s="71"/>
      <c r="E1125" s="71"/>
      <c r="F1125" s="71"/>
      <c r="G1125" s="65"/>
      <c r="H1125" s="74"/>
      <c r="I1125" s="67" t="str">
        <f>IFERROR(__xludf.DUMMYFUNCTION("if($H1125="""", """", AVERAGE(split($H1125, "";"")))"),"")</f>
        <v/>
      </c>
      <c r="J1125" s="67" t="str">
        <f>IFERROR(__xludf.DUMMYFUNCTION("if(H1125="""", """", SUM(split(H1125, "";"")))"),"")</f>
        <v/>
      </c>
      <c r="K1125" s="68"/>
      <c r="L1125" s="68"/>
      <c r="M1125" s="68"/>
      <c r="N1125" s="68"/>
      <c r="O1125" s="68"/>
      <c r="P1125" s="68"/>
      <c r="Q1125" s="68"/>
      <c r="R1125" s="68"/>
      <c r="S1125" s="68"/>
      <c r="T1125" s="68"/>
      <c r="U1125" s="68"/>
      <c r="V1125" s="68"/>
      <c r="W1125" s="68"/>
      <c r="X1125" s="68"/>
      <c r="Y1125" s="68"/>
      <c r="Z1125" s="68"/>
      <c r="AA1125" s="68"/>
    </row>
    <row r="1126" ht="26.25" customHeight="1">
      <c r="A1126" s="68"/>
      <c r="B1126" s="68"/>
      <c r="C1126" s="68"/>
      <c r="D1126" s="71"/>
      <c r="E1126" s="71"/>
      <c r="F1126" s="71"/>
      <c r="G1126" s="65"/>
      <c r="H1126" s="74"/>
      <c r="I1126" s="67" t="str">
        <f>IFERROR(__xludf.DUMMYFUNCTION("if($H1126="""", """", AVERAGE(split($H1126, "";"")))"),"")</f>
        <v/>
      </c>
      <c r="J1126" s="67" t="str">
        <f>IFERROR(__xludf.DUMMYFUNCTION("if(H1126="""", """", SUM(split(H1126, "";"")))"),"")</f>
        <v/>
      </c>
      <c r="K1126" s="68"/>
      <c r="L1126" s="68"/>
      <c r="M1126" s="68"/>
      <c r="N1126" s="68"/>
      <c r="O1126" s="68"/>
      <c r="P1126" s="68"/>
      <c r="Q1126" s="68"/>
      <c r="R1126" s="68"/>
      <c r="S1126" s="68"/>
      <c r="T1126" s="68"/>
      <c r="U1126" s="68"/>
      <c r="V1126" s="68"/>
      <c r="W1126" s="68"/>
      <c r="X1126" s="68"/>
      <c r="Y1126" s="68"/>
      <c r="Z1126" s="68"/>
      <c r="AA1126" s="68"/>
    </row>
    <row r="1127" ht="26.25" customHeight="1">
      <c r="A1127" s="68"/>
      <c r="B1127" s="68"/>
      <c r="C1127" s="68"/>
      <c r="D1127" s="71"/>
      <c r="E1127" s="71"/>
      <c r="F1127" s="71"/>
      <c r="G1127" s="65"/>
      <c r="H1127" s="74"/>
      <c r="I1127" s="67" t="str">
        <f>IFERROR(__xludf.DUMMYFUNCTION("if($H1127="""", """", AVERAGE(split($H1127, "";"")))"),"")</f>
        <v/>
      </c>
      <c r="J1127" s="67" t="str">
        <f>IFERROR(__xludf.DUMMYFUNCTION("if(H1127="""", """", SUM(split(H1127, "";"")))"),"")</f>
        <v/>
      </c>
      <c r="K1127" s="68"/>
      <c r="L1127" s="68"/>
      <c r="M1127" s="68"/>
      <c r="N1127" s="68"/>
      <c r="O1127" s="68"/>
      <c r="P1127" s="68"/>
      <c r="Q1127" s="68"/>
      <c r="R1127" s="68"/>
      <c r="S1127" s="68"/>
      <c r="T1127" s="68"/>
      <c r="U1127" s="68"/>
      <c r="V1127" s="68"/>
      <c r="W1127" s="68"/>
      <c r="X1127" s="68"/>
      <c r="Y1127" s="68"/>
      <c r="Z1127" s="68"/>
      <c r="AA1127" s="68"/>
    </row>
    <row r="1128" ht="26.25" customHeight="1">
      <c r="A1128" s="68"/>
      <c r="B1128" s="68"/>
      <c r="C1128" s="68"/>
      <c r="D1128" s="71"/>
      <c r="E1128" s="71"/>
      <c r="F1128" s="71"/>
      <c r="G1128" s="65"/>
      <c r="H1128" s="74"/>
      <c r="I1128" s="67" t="str">
        <f>IFERROR(__xludf.DUMMYFUNCTION("if($H1128="""", """", AVERAGE(split($H1128, "";"")))"),"")</f>
        <v/>
      </c>
      <c r="J1128" s="67" t="str">
        <f>IFERROR(__xludf.DUMMYFUNCTION("if(H1128="""", """", SUM(split(H1128, "";"")))"),"")</f>
        <v/>
      </c>
      <c r="K1128" s="68"/>
      <c r="L1128" s="68"/>
      <c r="M1128" s="68"/>
      <c r="N1128" s="68"/>
      <c r="O1128" s="68"/>
      <c r="P1128" s="68"/>
      <c r="Q1128" s="68"/>
      <c r="R1128" s="68"/>
      <c r="S1128" s="68"/>
      <c r="T1128" s="68"/>
      <c r="U1128" s="68"/>
      <c r="V1128" s="68"/>
      <c r="W1128" s="68"/>
      <c r="X1128" s="68"/>
      <c r="Y1128" s="68"/>
      <c r="Z1128" s="68"/>
      <c r="AA1128" s="68"/>
    </row>
    <row r="1129" ht="26.25" customHeight="1">
      <c r="A1129" s="68"/>
      <c r="B1129" s="68"/>
      <c r="C1129" s="68"/>
      <c r="D1129" s="71"/>
      <c r="E1129" s="71"/>
      <c r="F1129" s="71"/>
      <c r="G1129" s="65"/>
      <c r="H1129" s="74"/>
      <c r="I1129" s="67" t="str">
        <f>IFERROR(__xludf.DUMMYFUNCTION("if($H1129="""", """", AVERAGE(split($H1129, "";"")))"),"")</f>
        <v/>
      </c>
      <c r="J1129" s="67" t="str">
        <f>IFERROR(__xludf.DUMMYFUNCTION("if(H1129="""", """", SUM(split(H1129, "";"")))"),"")</f>
        <v/>
      </c>
      <c r="K1129" s="68"/>
      <c r="L1129" s="68"/>
      <c r="M1129" s="68"/>
      <c r="N1129" s="68"/>
      <c r="O1129" s="68"/>
      <c r="P1129" s="68"/>
      <c r="Q1129" s="68"/>
      <c r="R1129" s="68"/>
      <c r="S1129" s="68"/>
      <c r="T1129" s="68"/>
      <c r="U1129" s="68"/>
      <c r="V1129" s="68"/>
      <c r="W1129" s="68"/>
      <c r="X1129" s="68"/>
      <c r="Y1129" s="68"/>
      <c r="Z1129" s="68"/>
      <c r="AA1129" s="68"/>
    </row>
    <row r="1130" ht="26.25" customHeight="1">
      <c r="A1130" s="68"/>
      <c r="B1130" s="68"/>
      <c r="C1130" s="68"/>
      <c r="D1130" s="71"/>
      <c r="E1130" s="71"/>
      <c r="F1130" s="71"/>
      <c r="G1130" s="65"/>
      <c r="H1130" s="74"/>
      <c r="I1130" s="67" t="str">
        <f>IFERROR(__xludf.DUMMYFUNCTION("if($H1130="""", """", AVERAGE(split($H1130, "";"")))"),"")</f>
        <v/>
      </c>
      <c r="J1130" s="67" t="str">
        <f>IFERROR(__xludf.DUMMYFUNCTION("if(H1130="""", """", SUM(split(H1130, "";"")))"),"")</f>
        <v/>
      </c>
      <c r="K1130" s="68"/>
      <c r="L1130" s="68"/>
      <c r="M1130" s="68"/>
      <c r="N1130" s="68"/>
      <c r="O1130" s="68"/>
      <c r="P1130" s="68"/>
      <c r="Q1130" s="68"/>
      <c r="R1130" s="68"/>
      <c r="S1130" s="68"/>
      <c r="T1130" s="68"/>
      <c r="U1130" s="68"/>
      <c r="V1130" s="68"/>
      <c r="W1130" s="68"/>
      <c r="X1130" s="68"/>
      <c r="Y1130" s="68"/>
      <c r="Z1130" s="68"/>
      <c r="AA1130" s="68"/>
    </row>
    <row r="1131" ht="26.25" customHeight="1">
      <c r="A1131" s="68"/>
      <c r="B1131" s="68"/>
      <c r="C1131" s="68"/>
      <c r="D1131" s="71"/>
      <c r="E1131" s="71"/>
      <c r="F1131" s="71"/>
      <c r="G1131" s="65"/>
      <c r="H1131" s="74"/>
      <c r="I1131" s="67" t="str">
        <f>IFERROR(__xludf.DUMMYFUNCTION("if($H1131="""", """", AVERAGE(split($H1131, "";"")))"),"")</f>
        <v/>
      </c>
      <c r="J1131" s="67" t="str">
        <f>IFERROR(__xludf.DUMMYFUNCTION("if(H1131="""", """", SUM(split(H1131, "";"")))"),"")</f>
        <v/>
      </c>
      <c r="K1131" s="68"/>
      <c r="L1131" s="68"/>
      <c r="M1131" s="68"/>
      <c r="N1131" s="68"/>
      <c r="O1131" s="68"/>
      <c r="P1131" s="68"/>
      <c r="Q1131" s="68"/>
      <c r="R1131" s="68"/>
      <c r="S1131" s="68"/>
      <c r="T1131" s="68"/>
      <c r="U1131" s="68"/>
      <c r="V1131" s="68"/>
      <c r="W1131" s="68"/>
      <c r="X1131" s="68"/>
      <c r="Y1131" s="68"/>
      <c r="Z1131" s="68"/>
      <c r="AA1131" s="68"/>
    </row>
    <row r="1132" ht="26.25" customHeight="1">
      <c r="A1132" s="68"/>
      <c r="B1132" s="68"/>
      <c r="C1132" s="68"/>
      <c r="D1132" s="71"/>
      <c r="E1132" s="71"/>
      <c r="F1132" s="71"/>
      <c r="G1132" s="65"/>
      <c r="H1132" s="74"/>
      <c r="I1132" s="67" t="str">
        <f>IFERROR(__xludf.DUMMYFUNCTION("if($H1132="""", """", AVERAGE(split($H1132, "";"")))"),"")</f>
        <v/>
      </c>
      <c r="J1132" s="67" t="str">
        <f>IFERROR(__xludf.DUMMYFUNCTION("if(H1132="""", """", SUM(split(H1132, "";"")))"),"")</f>
        <v/>
      </c>
      <c r="K1132" s="68"/>
      <c r="L1132" s="68"/>
      <c r="M1132" s="68"/>
      <c r="N1132" s="68"/>
      <c r="O1132" s="68"/>
      <c r="P1132" s="68"/>
      <c r="Q1132" s="68"/>
      <c r="R1132" s="68"/>
      <c r="S1132" s="68"/>
      <c r="T1132" s="68"/>
      <c r="U1132" s="68"/>
      <c r="V1132" s="68"/>
      <c r="W1132" s="68"/>
      <c r="X1132" s="68"/>
      <c r="Y1132" s="68"/>
      <c r="Z1132" s="68"/>
      <c r="AA1132" s="68"/>
    </row>
    <row r="1133" ht="26.25" customHeight="1">
      <c r="A1133" s="68"/>
      <c r="B1133" s="68"/>
      <c r="C1133" s="68"/>
      <c r="D1133" s="71"/>
      <c r="E1133" s="71"/>
      <c r="F1133" s="71"/>
      <c r="G1133" s="65"/>
      <c r="H1133" s="74"/>
      <c r="I1133" s="67" t="str">
        <f>IFERROR(__xludf.DUMMYFUNCTION("if($H1133="""", """", AVERAGE(split($H1133, "";"")))"),"")</f>
        <v/>
      </c>
      <c r="J1133" s="67" t="str">
        <f>IFERROR(__xludf.DUMMYFUNCTION("if(H1133="""", """", SUM(split(H1133, "";"")))"),"")</f>
        <v/>
      </c>
      <c r="K1133" s="68"/>
      <c r="L1133" s="68"/>
      <c r="M1133" s="68"/>
      <c r="N1133" s="68"/>
      <c r="O1133" s="68"/>
      <c r="P1133" s="68"/>
      <c r="Q1133" s="68"/>
      <c r="R1133" s="68"/>
      <c r="S1133" s="68"/>
      <c r="T1133" s="68"/>
      <c r="U1133" s="68"/>
      <c r="V1133" s="68"/>
      <c r="W1133" s="68"/>
      <c r="X1133" s="68"/>
      <c r="Y1133" s="68"/>
      <c r="Z1133" s="68"/>
      <c r="AA1133" s="68"/>
    </row>
    <row r="1134" ht="26.25" customHeight="1">
      <c r="A1134" s="68"/>
      <c r="B1134" s="68"/>
      <c r="C1134" s="68"/>
      <c r="D1134" s="71"/>
      <c r="E1134" s="71"/>
      <c r="F1134" s="71"/>
      <c r="G1134" s="65"/>
      <c r="H1134" s="74"/>
      <c r="I1134" s="67" t="str">
        <f>IFERROR(__xludf.DUMMYFUNCTION("if($H1134="""", """", AVERAGE(split($H1134, "";"")))"),"")</f>
        <v/>
      </c>
      <c r="J1134" s="67" t="str">
        <f>IFERROR(__xludf.DUMMYFUNCTION("if(H1134="""", """", SUM(split(H1134, "";"")))"),"")</f>
        <v/>
      </c>
      <c r="K1134" s="68"/>
      <c r="L1134" s="68"/>
      <c r="M1134" s="68"/>
      <c r="N1134" s="68"/>
      <c r="O1134" s="68"/>
      <c r="P1134" s="68"/>
      <c r="Q1134" s="68"/>
      <c r="R1134" s="68"/>
      <c r="S1134" s="68"/>
      <c r="T1134" s="68"/>
      <c r="U1134" s="68"/>
      <c r="V1134" s="68"/>
      <c r="W1134" s="68"/>
      <c r="X1134" s="68"/>
      <c r="Y1134" s="68"/>
      <c r="Z1134" s="68"/>
      <c r="AA1134" s="68"/>
    </row>
    <row r="1135" ht="26.25" customHeight="1">
      <c r="A1135" s="68"/>
      <c r="B1135" s="68"/>
      <c r="C1135" s="68"/>
      <c r="D1135" s="71"/>
      <c r="E1135" s="71"/>
      <c r="F1135" s="71"/>
      <c r="G1135" s="65"/>
      <c r="H1135" s="74"/>
      <c r="I1135" s="67" t="str">
        <f>IFERROR(__xludf.DUMMYFUNCTION("if($H1135="""", """", AVERAGE(split($H1135, "";"")))"),"")</f>
        <v/>
      </c>
      <c r="J1135" s="67" t="str">
        <f>IFERROR(__xludf.DUMMYFUNCTION("if(H1135="""", """", SUM(split(H1135, "";"")))"),"")</f>
        <v/>
      </c>
      <c r="K1135" s="68"/>
      <c r="L1135" s="68"/>
      <c r="M1135" s="68"/>
      <c r="N1135" s="68"/>
      <c r="O1135" s="68"/>
      <c r="P1135" s="68"/>
      <c r="Q1135" s="68"/>
      <c r="R1135" s="68"/>
      <c r="S1135" s="68"/>
      <c r="T1135" s="68"/>
      <c r="U1135" s="68"/>
      <c r="V1135" s="68"/>
      <c r="W1135" s="68"/>
      <c r="X1135" s="68"/>
      <c r="Y1135" s="68"/>
      <c r="Z1135" s="68"/>
      <c r="AA1135" s="68"/>
    </row>
    <row r="1136" ht="26.25" customHeight="1">
      <c r="A1136" s="68"/>
      <c r="B1136" s="68"/>
      <c r="C1136" s="68"/>
      <c r="D1136" s="71"/>
      <c r="E1136" s="71"/>
      <c r="F1136" s="71"/>
      <c r="G1136" s="65"/>
      <c r="H1136" s="74"/>
      <c r="I1136" s="67" t="str">
        <f>IFERROR(__xludf.DUMMYFUNCTION("if($H1136="""", """", AVERAGE(split($H1136, "";"")))"),"")</f>
        <v/>
      </c>
      <c r="J1136" s="67" t="str">
        <f>IFERROR(__xludf.DUMMYFUNCTION("if(H1136="""", """", SUM(split(H1136, "";"")))"),"")</f>
        <v/>
      </c>
      <c r="K1136" s="68"/>
      <c r="L1136" s="68"/>
      <c r="M1136" s="68"/>
      <c r="N1136" s="68"/>
      <c r="O1136" s="68"/>
      <c r="P1136" s="68"/>
      <c r="Q1136" s="68"/>
      <c r="R1136" s="68"/>
      <c r="S1136" s="68"/>
      <c r="T1136" s="68"/>
      <c r="U1136" s="68"/>
      <c r="V1136" s="68"/>
      <c r="W1136" s="68"/>
      <c r="X1136" s="68"/>
      <c r="Y1136" s="68"/>
      <c r="Z1136" s="68"/>
      <c r="AA1136" s="68"/>
    </row>
    <row r="1137" ht="26.25" customHeight="1">
      <c r="A1137" s="68"/>
      <c r="B1137" s="68"/>
      <c r="C1137" s="68"/>
      <c r="D1137" s="71"/>
      <c r="E1137" s="71"/>
      <c r="F1137" s="71"/>
      <c r="G1137" s="65"/>
      <c r="H1137" s="74"/>
      <c r="I1137" s="67" t="str">
        <f>IFERROR(__xludf.DUMMYFUNCTION("if($H1137="""", """", AVERAGE(split($H1137, "";"")))"),"")</f>
        <v/>
      </c>
      <c r="J1137" s="67" t="str">
        <f>IFERROR(__xludf.DUMMYFUNCTION("if(H1137="""", """", SUM(split(H1137, "";"")))"),"")</f>
        <v/>
      </c>
      <c r="K1137" s="68"/>
      <c r="L1137" s="68"/>
      <c r="M1137" s="68"/>
      <c r="N1137" s="68"/>
      <c r="O1137" s="68"/>
      <c r="P1137" s="68"/>
      <c r="Q1137" s="68"/>
      <c r="R1137" s="68"/>
      <c r="S1137" s="68"/>
      <c r="T1137" s="68"/>
      <c r="U1137" s="68"/>
      <c r="V1137" s="68"/>
      <c r="W1137" s="68"/>
      <c r="X1137" s="68"/>
      <c r="Y1137" s="68"/>
      <c r="Z1137" s="68"/>
      <c r="AA1137" s="68"/>
    </row>
    <row r="1138" ht="26.25" customHeight="1">
      <c r="A1138" s="68"/>
      <c r="B1138" s="68"/>
      <c r="C1138" s="68"/>
      <c r="D1138" s="71"/>
      <c r="E1138" s="71"/>
      <c r="F1138" s="71"/>
      <c r="G1138" s="65"/>
      <c r="H1138" s="74"/>
      <c r="I1138" s="67" t="str">
        <f>IFERROR(__xludf.DUMMYFUNCTION("if($H1138="""", """", AVERAGE(split($H1138, "";"")))"),"")</f>
        <v/>
      </c>
      <c r="J1138" s="67" t="str">
        <f>IFERROR(__xludf.DUMMYFUNCTION("if(H1138="""", """", SUM(split(H1138, "";"")))"),"")</f>
        <v/>
      </c>
      <c r="K1138" s="68"/>
      <c r="L1138" s="68"/>
      <c r="M1138" s="68"/>
      <c r="N1138" s="68"/>
      <c r="O1138" s="68"/>
      <c r="P1138" s="68"/>
      <c r="Q1138" s="68"/>
      <c r="R1138" s="68"/>
      <c r="S1138" s="68"/>
      <c r="T1138" s="68"/>
      <c r="U1138" s="68"/>
      <c r="V1138" s="68"/>
      <c r="W1138" s="68"/>
      <c r="X1138" s="68"/>
      <c r="Y1138" s="68"/>
      <c r="Z1138" s="68"/>
      <c r="AA1138" s="68"/>
    </row>
    <row r="1139" ht="26.25" customHeight="1">
      <c r="A1139" s="68"/>
      <c r="B1139" s="68"/>
      <c r="C1139" s="68"/>
      <c r="D1139" s="71"/>
      <c r="E1139" s="71"/>
      <c r="F1139" s="71"/>
      <c r="G1139" s="65"/>
      <c r="H1139" s="74"/>
      <c r="I1139" s="67" t="str">
        <f>IFERROR(__xludf.DUMMYFUNCTION("if($H1139="""", """", AVERAGE(split($H1139, "";"")))"),"")</f>
        <v/>
      </c>
      <c r="J1139" s="67" t="str">
        <f>IFERROR(__xludf.DUMMYFUNCTION("if(H1139="""", """", SUM(split(H1139, "";"")))"),"")</f>
        <v/>
      </c>
      <c r="K1139" s="68"/>
      <c r="L1139" s="68"/>
      <c r="M1139" s="68"/>
      <c r="N1139" s="68"/>
      <c r="O1139" s="68"/>
      <c r="P1139" s="68"/>
      <c r="Q1139" s="68"/>
      <c r="R1139" s="68"/>
      <c r="S1139" s="68"/>
      <c r="T1139" s="68"/>
      <c r="U1139" s="68"/>
      <c r="V1139" s="68"/>
      <c r="W1139" s="68"/>
      <c r="X1139" s="68"/>
      <c r="Y1139" s="68"/>
      <c r="Z1139" s="68"/>
      <c r="AA1139" s="68"/>
    </row>
    <row r="1140" ht="26.25" customHeight="1">
      <c r="A1140" s="68"/>
      <c r="B1140" s="68"/>
      <c r="C1140" s="68"/>
      <c r="D1140" s="71"/>
      <c r="E1140" s="71"/>
      <c r="F1140" s="71"/>
      <c r="G1140" s="65"/>
      <c r="H1140" s="74"/>
      <c r="I1140" s="67" t="str">
        <f>IFERROR(__xludf.DUMMYFUNCTION("if($H1140="""", """", AVERAGE(split($H1140, "";"")))"),"")</f>
        <v/>
      </c>
      <c r="J1140" s="67" t="str">
        <f>IFERROR(__xludf.DUMMYFUNCTION("if(H1140="""", """", SUM(split(H1140, "";"")))"),"")</f>
        <v/>
      </c>
      <c r="K1140" s="68"/>
      <c r="L1140" s="68"/>
      <c r="M1140" s="68"/>
      <c r="N1140" s="68"/>
      <c r="O1140" s="68"/>
      <c r="P1140" s="68"/>
      <c r="Q1140" s="68"/>
      <c r="R1140" s="68"/>
      <c r="S1140" s="68"/>
      <c r="T1140" s="68"/>
      <c r="U1140" s="68"/>
      <c r="V1140" s="68"/>
      <c r="W1140" s="68"/>
      <c r="X1140" s="68"/>
      <c r="Y1140" s="68"/>
      <c r="Z1140" s="68"/>
      <c r="AA1140" s="68"/>
    </row>
    <row r="1141" ht="26.25" customHeight="1">
      <c r="A1141" s="68"/>
      <c r="B1141" s="68"/>
      <c r="C1141" s="68"/>
      <c r="D1141" s="71"/>
      <c r="E1141" s="71"/>
      <c r="F1141" s="71"/>
      <c r="G1141" s="65"/>
      <c r="H1141" s="74"/>
      <c r="I1141" s="67" t="str">
        <f>IFERROR(__xludf.DUMMYFUNCTION("if($H1141="""", """", AVERAGE(split($H1141, "";"")))"),"")</f>
        <v/>
      </c>
      <c r="J1141" s="67" t="str">
        <f>IFERROR(__xludf.DUMMYFUNCTION("if(H1141="""", """", SUM(split(H1141, "";"")))"),"")</f>
        <v/>
      </c>
      <c r="K1141" s="68"/>
      <c r="L1141" s="68"/>
      <c r="M1141" s="68"/>
      <c r="N1141" s="68"/>
      <c r="O1141" s="68"/>
      <c r="P1141" s="68"/>
      <c r="Q1141" s="68"/>
      <c r="R1141" s="68"/>
      <c r="S1141" s="68"/>
      <c r="T1141" s="68"/>
      <c r="U1141" s="68"/>
      <c r="V1141" s="68"/>
      <c r="W1141" s="68"/>
      <c r="X1141" s="68"/>
      <c r="Y1141" s="68"/>
      <c r="Z1141" s="68"/>
      <c r="AA1141" s="68"/>
    </row>
    <row r="1142" ht="26.25" customHeight="1">
      <c r="A1142" s="68"/>
      <c r="B1142" s="68"/>
      <c r="C1142" s="68"/>
      <c r="D1142" s="71"/>
      <c r="E1142" s="71"/>
      <c r="F1142" s="71"/>
      <c r="G1142" s="65"/>
      <c r="H1142" s="74"/>
      <c r="I1142" s="67" t="str">
        <f>IFERROR(__xludf.DUMMYFUNCTION("if($H1142="""", """", AVERAGE(split($H1142, "";"")))"),"")</f>
        <v/>
      </c>
      <c r="J1142" s="67" t="str">
        <f>IFERROR(__xludf.DUMMYFUNCTION("if(H1142="""", """", SUM(split(H1142, "";"")))"),"")</f>
        <v/>
      </c>
      <c r="K1142" s="68"/>
      <c r="L1142" s="68"/>
      <c r="M1142" s="68"/>
      <c r="N1142" s="68"/>
      <c r="O1142" s="68"/>
      <c r="P1142" s="68"/>
      <c r="Q1142" s="68"/>
      <c r="R1142" s="68"/>
      <c r="S1142" s="68"/>
      <c r="T1142" s="68"/>
      <c r="U1142" s="68"/>
      <c r="V1142" s="68"/>
      <c r="W1142" s="68"/>
      <c r="X1142" s="68"/>
      <c r="Y1142" s="68"/>
      <c r="Z1142" s="68"/>
      <c r="AA1142" s="68"/>
    </row>
    <row r="1143" ht="26.25" customHeight="1">
      <c r="A1143" s="68"/>
      <c r="B1143" s="68"/>
      <c r="C1143" s="68"/>
      <c r="D1143" s="71"/>
      <c r="E1143" s="71"/>
      <c r="F1143" s="71"/>
      <c r="G1143" s="65"/>
      <c r="H1143" s="74"/>
      <c r="I1143" s="67" t="str">
        <f>IFERROR(__xludf.DUMMYFUNCTION("if($H1143="""", """", AVERAGE(split($H1143, "";"")))"),"")</f>
        <v/>
      </c>
      <c r="J1143" s="67" t="str">
        <f>IFERROR(__xludf.DUMMYFUNCTION("if(H1143="""", """", SUM(split(H1143, "";"")))"),"")</f>
        <v/>
      </c>
      <c r="K1143" s="68"/>
      <c r="L1143" s="68"/>
      <c r="M1143" s="68"/>
      <c r="N1143" s="68"/>
      <c r="O1143" s="68"/>
      <c r="P1143" s="68"/>
      <c r="Q1143" s="68"/>
      <c r="R1143" s="68"/>
      <c r="S1143" s="68"/>
      <c r="T1143" s="68"/>
      <c r="U1143" s="68"/>
      <c r="V1143" s="68"/>
      <c r="W1143" s="68"/>
      <c r="X1143" s="68"/>
      <c r="Y1143" s="68"/>
      <c r="Z1143" s="68"/>
      <c r="AA1143" s="68"/>
    </row>
    <row r="1144" ht="26.25" customHeight="1">
      <c r="A1144" s="68"/>
      <c r="B1144" s="68"/>
      <c r="C1144" s="68"/>
      <c r="D1144" s="71"/>
      <c r="E1144" s="71"/>
      <c r="F1144" s="71"/>
      <c r="G1144" s="65"/>
      <c r="H1144" s="74"/>
      <c r="I1144" s="67" t="str">
        <f>IFERROR(__xludf.DUMMYFUNCTION("if($H1144="""", """", AVERAGE(split($H1144, "";"")))"),"")</f>
        <v/>
      </c>
      <c r="J1144" s="67" t="str">
        <f>IFERROR(__xludf.DUMMYFUNCTION("if(H1144="""", """", SUM(split(H1144, "";"")))"),"")</f>
        <v/>
      </c>
      <c r="K1144" s="68"/>
      <c r="L1144" s="68"/>
      <c r="M1144" s="68"/>
      <c r="N1144" s="68"/>
      <c r="O1144" s="68"/>
      <c r="P1144" s="68"/>
      <c r="Q1144" s="68"/>
      <c r="R1144" s="68"/>
      <c r="S1144" s="68"/>
      <c r="T1144" s="68"/>
      <c r="U1144" s="68"/>
      <c r="V1144" s="68"/>
      <c r="W1144" s="68"/>
      <c r="X1144" s="68"/>
      <c r="Y1144" s="68"/>
      <c r="Z1144" s="68"/>
      <c r="AA1144" s="68"/>
    </row>
    <row r="1145" ht="26.25" customHeight="1">
      <c r="A1145" s="68"/>
      <c r="B1145" s="68"/>
      <c r="C1145" s="68"/>
      <c r="D1145" s="71"/>
      <c r="E1145" s="71"/>
      <c r="F1145" s="71"/>
      <c r="G1145" s="65"/>
      <c r="H1145" s="74"/>
      <c r="I1145" s="67" t="str">
        <f>IFERROR(__xludf.DUMMYFUNCTION("if($H1145="""", """", AVERAGE(split($H1145, "";"")))"),"")</f>
        <v/>
      </c>
      <c r="J1145" s="67" t="str">
        <f>IFERROR(__xludf.DUMMYFUNCTION("if(H1145="""", """", SUM(split(H1145, "";"")))"),"")</f>
        <v/>
      </c>
      <c r="K1145" s="68"/>
      <c r="L1145" s="68"/>
      <c r="M1145" s="68"/>
      <c r="N1145" s="68"/>
      <c r="O1145" s="68"/>
      <c r="P1145" s="68"/>
      <c r="Q1145" s="68"/>
      <c r="R1145" s="68"/>
      <c r="S1145" s="68"/>
      <c r="T1145" s="68"/>
      <c r="U1145" s="68"/>
      <c r="V1145" s="68"/>
      <c r="W1145" s="68"/>
      <c r="X1145" s="68"/>
      <c r="Y1145" s="68"/>
      <c r="Z1145" s="68"/>
      <c r="AA1145" s="68"/>
    </row>
    <row r="1146" ht="26.25" customHeight="1">
      <c r="A1146" s="68"/>
      <c r="B1146" s="68"/>
      <c r="C1146" s="68"/>
      <c r="D1146" s="71"/>
      <c r="E1146" s="71"/>
      <c r="F1146" s="71"/>
      <c r="G1146" s="65"/>
      <c r="H1146" s="74"/>
      <c r="I1146" s="67" t="str">
        <f>IFERROR(__xludf.DUMMYFUNCTION("if($H1146="""", """", AVERAGE(split($H1146, "";"")))"),"")</f>
        <v/>
      </c>
      <c r="J1146" s="67" t="str">
        <f>IFERROR(__xludf.DUMMYFUNCTION("if(H1146="""", """", SUM(split(H1146, "";"")))"),"")</f>
        <v/>
      </c>
      <c r="K1146" s="68"/>
      <c r="L1146" s="68"/>
      <c r="M1146" s="68"/>
      <c r="N1146" s="68"/>
      <c r="O1146" s="68"/>
      <c r="P1146" s="68"/>
      <c r="Q1146" s="68"/>
      <c r="R1146" s="68"/>
      <c r="S1146" s="68"/>
      <c r="T1146" s="68"/>
      <c r="U1146" s="68"/>
      <c r="V1146" s="68"/>
      <c r="W1146" s="68"/>
      <c r="X1146" s="68"/>
      <c r="Y1146" s="68"/>
      <c r="Z1146" s="68"/>
      <c r="AA1146" s="68"/>
    </row>
    <row r="1147" ht="26.25" customHeight="1">
      <c r="A1147" s="68"/>
      <c r="B1147" s="68"/>
      <c r="C1147" s="68"/>
      <c r="D1147" s="71"/>
      <c r="E1147" s="71"/>
      <c r="F1147" s="71"/>
      <c r="G1147" s="65"/>
      <c r="H1147" s="74"/>
      <c r="I1147" s="67" t="str">
        <f>IFERROR(__xludf.DUMMYFUNCTION("if($H1147="""", """", AVERAGE(split($H1147, "";"")))"),"")</f>
        <v/>
      </c>
      <c r="J1147" s="67" t="str">
        <f>IFERROR(__xludf.DUMMYFUNCTION("if(H1147="""", """", SUM(split(H1147, "";"")))"),"")</f>
        <v/>
      </c>
      <c r="K1147" s="68"/>
      <c r="L1147" s="68"/>
      <c r="M1147" s="68"/>
      <c r="N1147" s="68"/>
      <c r="O1147" s="68"/>
      <c r="P1147" s="68"/>
      <c r="Q1147" s="68"/>
      <c r="R1147" s="68"/>
      <c r="S1147" s="68"/>
      <c r="T1147" s="68"/>
      <c r="U1147" s="68"/>
      <c r="V1147" s="68"/>
      <c r="W1147" s="68"/>
      <c r="X1147" s="68"/>
      <c r="Y1147" s="68"/>
      <c r="Z1147" s="68"/>
      <c r="AA1147" s="68"/>
    </row>
    <row r="1148" ht="26.25" customHeight="1">
      <c r="A1148" s="68"/>
      <c r="B1148" s="68"/>
      <c r="C1148" s="68"/>
      <c r="D1148" s="71"/>
      <c r="E1148" s="71"/>
      <c r="F1148" s="71"/>
      <c r="G1148" s="65"/>
      <c r="H1148" s="74"/>
      <c r="I1148" s="67" t="str">
        <f>IFERROR(__xludf.DUMMYFUNCTION("if($H1148="""", """", AVERAGE(split($H1148, "";"")))"),"")</f>
        <v/>
      </c>
      <c r="J1148" s="67" t="str">
        <f>IFERROR(__xludf.DUMMYFUNCTION("if(H1148="""", """", SUM(split(H1148, "";"")))"),"")</f>
        <v/>
      </c>
      <c r="K1148" s="68"/>
      <c r="L1148" s="68"/>
      <c r="M1148" s="68"/>
      <c r="N1148" s="68"/>
      <c r="O1148" s="68"/>
      <c r="P1148" s="68"/>
      <c r="Q1148" s="68"/>
      <c r="R1148" s="68"/>
      <c r="S1148" s="68"/>
      <c r="T1148" s="68"/>
      <c r="U1148" s="68"/>
      <c r="V1148" s="68"/>
      <c r="W1148" s="68"/>
      <c r="X1148" s="68"/>
      <c r="Y1148" s="68"/>
      <c r="Z1148" s="68"/>
      <c r="AA1148" s="68"/>
    </row>
    <row r="1149" ht="26.25" customHeight="1">
      <c r="A1149" s="68"/>
      <c r="B1149" s="68"/>
      <c r="C1149" s="68"/>
      <c r="D1149" s="71"/>
      <c r="E1149" s="71"/>
      <c r="F1149" s="71"/>
      <c r="G1149" s="65"/>
      <c r="H1149" s="74"/>
      <c r="I1149" s="67" t="str">
        <f>IFERROR(__xludf.DUMMYFUNCTION("if($H1149="""", """", AVERAGE(split($H1149, "";"")))"),"")</f>
        <v/>
      </c>
      <c r="J1149" s="67" t="str">
        <f>IFERROR(__xludf.DUMMYFUNCTION("if(H1149="""", """", SUM(split(H1149, "";"")))"),"")</f>
        <v/>
      </c>
      <c r="K1149" s="68"/>
      <c r="L1149" s="68"/>
      <c r="M1149" s="68"/>
      <c r="N1149" s="68"/>
      <c r="O1149" s="68"/>
      <c r="P1149" s="68"/>
      <c r="Q1149" s="68"/>
      <c r="R1149" s="68"/>
      <c r="S1149" s="68"/>
      <c r="T1149" s="68"/>
      <c r="U1149" s="68"/>
      <c r="V1149" s="68"/>
      <c r="W1149" s="68"/>
      <c r="X1149" s="68"/>
      <c r="Y1149" s="68"/>
      <c r="Z1149" s="68"/>
      <c r="AA1149" s="68"/>
    </row>
    <row r="1150" ht="26.25" customHeight="1">
      <c r="A1150" s="68"/>
      <c r="B1150" s="68"/>
      <c r="C1150" s="68"/>
      <c r="D1150" s="71"/>
      <c r="E1150" s="71"/>
      <c r="F1150" s="71"/>
      <c r="G1150" s="65"/>
      <c r="H1150" s="74"/>
      <c r="I1150" s="67" t="str">
        <f>IFERROR(__xludf.DUMMYFUNCTION("if($H1150="""", """", AVERAGE(split($H1150, "";"")))"),"")</f>
        <v/>
      </c>
      <c r="J1150" s="67" t="str">
        <f>IFERROR(__xludf.DUMMYFUNCTION("if(H1150="""", """", SUM(split(H1150, "";"")))"),"")</f>
        <v/>
      </c>
      <c r="K1150" s="68"/>
      <c r="L1150" s="68"/>
      <c r="M1150" s="68"/>
      <c r="N1150" s="68"/>
      <c r="O1150" s="68"/>
      <c r="P1150" s="68"/>
      <c r="Q1150" s="68"/>
      <c r="R1150" s="68"/>
      <c r="S1150" s="68"/>
      <c r="T1150" s="68"/>
      <c r="U1150" s="68"/>
      <c r="V1150" s="68"/>
      <c r="W1150" s="68"/>
      <c r="X1150" s="68"/>
      <c r="Y1150" s="68"/>
      <c r="Z1150" s="68"/>
      <c r="AA1150" s="68"/>
    </row>
    <row r="1151" ht="26.25" customHeight="1">
      <c r="A1151" s="68"/>
      <c r="B1151" s="68"/>
      <c r="C1151" s="68"/>
      <c r="D1151" s="71"/>
      <c r="E1151" s="71"/>
      <c r="F1151" s="71"/>
      <c r="G1151" s="65"/>
      <c r="H1151" s="74"/>
      <c r="I1151" s="67" t="str">
        <f>IFERROR(__xludf.DUMMYFUNCTION("if($H1151="""", """", AVERAGE(split($H1151, "";"")))"),"")</f>
        <v/>
      </c>
      <c r="J1151" s="67" t="str">
        <f>IFERROR(__xludf.DUMMYFUNCTION("if(H1151="""", """", SUM(split(H1151, "";"")))"),"")</f>
        <v/>
      </c>
      <c r="K1151" s="68"/>
      <c r="L1151" s="68"/>
      <c r="M1151" s="68"/>
      <c r="N1151" s="68"/>
      <c r="O1151" s="68"/>
      <c r="P1151" s="68"/>
      <c r="Q1151" s="68"/>
      <c r="R1151" s="68"/>
      <c r="S1151" s="68"/>
      <c r="T1151" s="68"/>
      <c r="U1151" s="68"/>
      <c r="V1151" s="68"/>
      <c r="W1151" s="68"/>
      <c r="X1151" s="68"/>
      <c r="Y1151" s="68"/>
      <c r="Z1151" s="68"/>
      <c r="AA1151" s="68"/>
    </row>
    <row r="1152" ht="26.25" customHeight="1">
      <c r="A1152" s="68"/>
      <c r="B1152" s="68"/>
      <c r="C1152" s="68"/>
      <c r="D1152" s="71"/>
      <c r="E1152" s="71"/>
      <c r="F1152" s="71"/>
      <c r="G1152" s="65"/>
      <c r="H1152" s="74"/>
      <c r="I1152" s="67" t="str">
        <f>IFERROR(__xludf.DUMMYFUNCTION("if($H1152="""", """", AVERAGE(split($H1152, "";"")))"),"")</f>
        <v/>
      </c>
      <c r="J1152" s="67" t="str">
        <f>IFERROR(__xludf.DUMMYFUNCTION("if(H1152="""", """", SUM(split(H1152, "";"")))"),"")</f>
        <v/>
      </c>
      <c r="K1152" s="68"/>
      <c r="L1152" s="68"/>
      <c r="M1152" s="68"/>
      <c r="N1152" s="68"/>
      <c r="O1152" s="68"/>
      <c r="P1152" s="68"/>
      <c r="Q1152" s="68"/>
      <c r="R1152" s="68"/>
      <c r="S1152" s="68"/>
      <c r="T1152" s="68"/>
      <c r="U1152" s="68"/>
      <c r="V1152" s="68"/>
      <c r="W1152" s="68"/>
      <c r="X1152" s="68"/>
      <c r="Y1152" s="68"/>
      <c r="Z1152" s="68"/>
      <c r="AA1152" s="68"/>
    </row>
    <row r="1153" ht="26.25" customHeight="1">
      <c r="A1153" s="68"/>
      <c r="B1153" s="68"/>
      <c r="C1153" s="68"/>
      <c r="D1153" s="71"/>
      <c r="E1153" s="71"/>
      <c r="F1153" s="71"/>
      <c r="G1153" s="65"/>
      <c r="H1153" s="74"/>
      <c r="I1153" s="67" t="str">
        <f>IFERROR(__xludf.DUMMYFUNCTION("if($H1153="""", """", AVERAGE(split($H1153, "";"")))"),"")</f>
        <v/>
      </c>
      <c r="J1153" s="67" t="str">
        <f>IFERROR(__xludf.DUMMYFUNCTION("if(H1153="""", """", SUM(split(H1153, "";"")))"),"")</f>
        <v/>
      </c>
      <c r="K1153" s="68"/>
      <c r="L1153" s="68"/>
      <c r="M1153" s="68"/>
      <c r="N1153" s="68"/>
      <c r="O1153" s="68"/>
      <c r="P1153" s="68"/>
      <c r="Q1153" s="68"/>
      <c r="R1153" s="68"/>
      <c r="S1153" s="68"/>
      <c r="T1153" s="68"/>
      <c r="U1153" s="68"/>
      <c r="V1153" s="68"/>
      <c r="W1153" s="68"/>
      <c r="X1153" s="68"/>
      <c r="Y1153" s="68"/>
      <c r="Z1153" s="68"/>
      <c r="AA1153" s="68"/>
    </row>
    <row r="1154" ht="26.25" customHeight="1">
      <c r="A1154" s="68"/>
      <c r="B1154" s="68"/>
      <c r="C1154" s="68"/>
      <c r="D1154" s="71"/>
      <c r="E1154" s="71"/>
      <c r="F1154" s="71"/>
      <c r="G1154" s="65"/>
      <c r="H1154" s="74"/>
      <c r="I1154" s="67" t="str">
        <f>IFERROR(__xludf.DUMMYFUNCTION("if($H1154="""", """", AVERAGE(split($H1154, "";"")))"),"")</f>
        <v/>
      </c>
      <c r="J1154" s="67" t="str">
        <f>IFERROR(__xludf.DUMMYFUNCTION("if(H1154="""", """", SUM(split(H1154, "";"")))"),"")</f>
        <v/>
      </c>
      <c r="K1154" s="68"/>
      <c r="L1154" s="68"/>
      <c r="M1154" s="68"/>
      <c r="N1154" s="68"/>
      <c r="O1154" s="68"/>
      <c r="P1154" s="68"/>
      <c r="Q1154" s="68"/>
      <c r="R1154" s="68"/>
      <c r="S1154" s="68"/>
      <c r="T1154" s="68"/>
      <c r="U1154" s="68"/>
      <c r="V1154" s="68"/>
      <c r="W1154" s="68"/>
      <c r="X1154" s="68"/>
      <c r="Y1154" s="68"/>
      <c r="Z1154" s="68"/>
      <c r="AA1154" s="68"/>
    </row>
    <row r="1155" ht="26.25" customHeight="1">
      <c r="A1155" s="68"/>
      <c r="B1155" s="68"/>
      <c r="C1155" s="68"/>
      <c r="D1155" s="71"/>
      <c r="E1155" s="71"/>
      <c r="F1155" s="71"/>
      <c r="G1155" s="65"/>
      <c r="H1155" s="74"/>
      <c r="I1155" s="67" t="str">
        <f>IFERROR(__xludf.DUMMYFUNCTION("if($H1155="""", """", AVERAGE(split($H1155, "";"")))"),"")</f>
        <v/>
      </c>
      <c r="J1155" s="67" t="str">
        <f>IFERROR(__xludf.DUMMYFUNCTION("if(H1155="""", """", SUM(split(H1155, "";"")))"),"")</f>
        <v/>
      </c>
      <c r="K1155" s="68"/>
      <c r="L1155" s="68"/>
      <c r="M1155" s="68"/>
      <c r="N1155" s="68"/>
      <c r="O1155" s="68"/>
      <c r="P1155" s="68"/>
      <c r="Q1155" s="68"/>
      <c r="R1155" s="68"/>
      <c r="S1155" s="68"/>
      <c r="T1155" s="68"/>
      <c r="U1155" s="68"/>
      <c r="V1155" s="68"/>
      <c r="W1155" s="68"/>
      <c r="X1155" s="68"/>
      <c r="Y1155" s="68"/>
      <c r="Z1155" s="68"/>
      <c r="AA1155" s="68"/>
    </row>
    <row r="1156" ht="26.25" customHeight="1">
      <c r="A1156" s="68"/>
      <c r="B1156" s="68"/>
      <c r="C1156" s="68"/>
      <c r="D1156" s="71"/>
      <c r="E1156" s="71"/>
      <c r="F1156" s="71"/>
      <c r="G1156" s="65"/>
      <c r="H1156" s="74"/>
      <c r="I1156" s="67" t="str">
        <f>IFERROR(__xludf.DUMMYFUNCTION("if($H1156="""", """", AVERAGE(split($H1156, "";"")))"),"")</f>
        <v/>
      </c>
      <c r="J1156" s="67" t="str">
        <f>IFERROR(__xludf.DUMMYFUNCTION("if(H1156="""", """", SUM(split(H1156, "";"")))"),"")</f>
        <v/>
      </c>
      <c r="K1156" s="68"/>
      <c r="L1156" s="68"/>
      <c r="M1156" s="68"/>
      <c r="N1156" s="68"/>
      <c r="O1156" s="68"/>
      <c r="P1156" s="68"/>
      <c r="Q1156" s="68"/>
      <c r="R1156" s="68"/>
      <c r="S1156" s="68"/>
      <c r="T1156" s="68"/>
      <c r="U1156" s="68"/>
      <c r="V1156" s="68"/>
      <c r="W1156" s="68"/>
      <c r="X1156" s="68"/>
      <c r="Y1156" s="68"/>
      <c r="Z1156" s="68"/>
      <c r="AA1156" s="68"/>
    </row>
    <row r="1157" ht="26.25" customHeight="1">
      <c r="A1157" s="68"/>
      <c r="B1157" s="68"/>
      <c r="C1157" s="68"/>
      <c r="D1157" s="71"/>
      <c r="E1157" s="71"/>
      <c r="F1157" s="71"/>
      <c r="G1157" s="65"/>
      <c r="H1157" s="74"/>
      <c r="I1157" s="67" t="str">
        <f>IFERROR(__xludf.DUMMYFUNCTION("if($H1157="""", """", AVERAGE(split($H1157, "";"")))"),"")</f>
        <v/>
      </c>
      <c r="J1157" s="67" t="str">
        <f>IFERROR(__xludf.DUMMYFUNCTION("if(H1157="""", """", SUM(split(H1157, "";"")))"),"")</f>
        <v/>
      </c>
      <c r="K1157" s="68"/>
      <c r="L1157" s="68"/>
      <c r="M1157" s="68"/>
      <c r="N1157" s="68"/>
      <c r="O1157" s="68"/>
      <c r="P1157" s="68"/>
      <c r="Q1157" s="68"/>
      <c r="R1157" s="68"/>
      <c r="S1157" s="68"/>
      <c r="T1157" s="68"/>
      <c r="U1157" s="68"/>
      <c r="V1157" s="68"/>
      <c r="W1157" s="68"/>
      <c r="X1157" s="68"/>
      <c r="Y1157" s="68"/>
      <c r="Z1157" s="68"/>
      <c r="AA1157" s="68"/>
    </row>
    <row r="1158" ht="26.25" customHeight="1">
      <c r="A1158" s="68"/>
      <c r="B1158" s="68"/>
      <c r="C1158" s="68"/>
      <c r="D1158" s="71"/>
      <c r="E1158" s="71"/>
      <c r="F1158" s="71"/>
      <c r="G1158" s="65"/>
      <c r="H1158" s="74"/>
      <c r="I1158" s="67" t="str">
        <f>IFERROR(__xludf.DUMMYFUNCTION("if($H1158="""", """", AVERAGE(split($H1158, "";"")))"),"")</f>
        <v/>
      </c>
      <c r="J1158" s="67" t="str">
        <f>IFERROR(__xludf.DUMMYFUNCTION("if(H1158="""", """", SUM(split(H1158, "";"")))"),"")</f>
        <v/>
      </c>
      <c r="K1158" s="68"/>
      <c r="L1158" s="68"/>
      <c r="M1158" s="68"/>
      <c r="N1158" s="68"/>
      <c r="O1158" s="68"/>
      <c r="P1158" s="68"/>
      <c r="Q1158" s="68"/>
      <c r="R1158" s="68"/>
      <c r="S1158" s="68"/>
      <c r="T1158" s="68"/>
      <c r="U1158" s="68"/>
      <c r="V1158" s="68"/>
      <c r="W1158" s="68"/>
      <c r="X1158" s="68"/>
      <c r="Y1158" s="68"/>
      <c r="Z1158" s="68"/>
      <c r="AA1158" s="68"/>
    </row>
    <row r="1159" ht="26.25" customHeight="1">
      <c r="A1159" s="68"/>
      <c r="B1159" s="68"/>
      <c r="C1159" s="68"/>
      <c r="D1159" s="71"/>
      <c r="E1159" s="71"/>
      <c r="F1159" s="71"/>
      <c r="G1159" s="65"/>
      <c r="H1159" s="74"/>
      <c r="I1159" s="67" t="str">
        <f>IFERROR(__xludf.DUMMYFUNCTION("if($H1159="""", """", AVERAGE(split($H1159, "";"")))"),"")</f>
        <v/>
      </c>
      <c r="J1159" s="67" t="str">
        <f>IFERROR(__xludf.DUMMYFUNCTION("if(H1159="""", """", SUM(split(H1159, "";"")))"),"")</f>
        <v/>
      </c>
      <c r="K1159" s="68"/>
      <c r="L1159" s="68"/>
      <c r="M1159" s="68"/>
      <c r="N1159" s="68"/>
      <c r="O1159" s="68"/>
      <c r="P1159" s="68"/>
      <c r="Q1159" s="68"/>
      <c r="R1159" s="68"/>
      <c r="S1159" s="68"/>
      <c r="T1159" s="68"/>
      <c r="U1159" s="68"/>
      <c r="V1159" s="68"/>
      <c r="W1159" s="68"/>
      <c r="X1159" s="68"/>
      <c r="Y1159" s="68"/>
      <c r="Z1159" s="68"/>
      <c r="AA1159" s="68"/>
    </row>
    <row r="1160" ht="26.25" customHeight="1">
      <c r="A1160" s="68"/>
      <c r="B1160" s="68"/>
      <c r="C1160" s="68"/>
      <c r="D1160" s="71"/>
      <c r="E1160" s="71"/>
      <c r="F1160" s="71"/>
      <c r="G1160" s="65"/>
      <c r="H1160" s="74"/>
      <c r="I1160" s="67" t="str">
        <f>IFERROR(__xludf.DUMMYFUNCTION("if($H1160="""", """", AVERAGE(split($H1160, "";"")))"),"")</f>
        <v/>
      </c>
      <c r="J1160" s="67" t="str">
        <f>IFERROR(__xludf.DUMMYFUNCTION("if(H1160="""", """", SUM(split(H1160, "";"")))"),"")</f>
        <v/>
      </c>
      <c r="K1160" s="68"/>
      <c r="L1160" s="68"/>
      <c r="M1160" s="68"/>
      <c r="N1160" s="68"/>
      <c r="O1160" s="68"/>
      <c r="P1160" s="68"/>
      <c r="Q1160" s="68"/>
      <c r="R1160" s="68"/>
      <c r="S1160" s="68"/>
      <c r="T1160" s="68"/>
      <c r="U1160" s="68"/>
      <c r="V1160" s="68"/>
      <c r="W1160" s="68"/>
      <c r="X1160" s="68"/>
      <c r="Y1160" s="68"/>
      <c r="Z1160" s="68"/>
      <c r="AA1160" s="68"/>
    </row>
    <row r="1161" ht="26.25" customHeight="1">
      <c r="A1161" s="68"/>
      <c r="B1161" s="68"/>
      <c r="C1161" s="68"/>
      <c r="D1161" s="71"/>
      <c r="E1161" s="71"/>
      <c r="F1161" s="71"/>
      <c r="G1161" s="65"/>
      <c r="H1161" s="74"/>
      <c r="I1161" s="67" t="str">
        <f>IFERROR(__xludf.DUMMYFUNCTION("if($H1161="""", """", AVERAGE(split($H1161, "";"")))"),"")</f>
        <v/>
      </c>
      <c r="J1161" s="67" t="str">
        <f>IFERROR(__xludf.DUMMYFUNCTION("if(H1161="""", """", SUM(split(H1161, "";"")))"),"")</f>
        <v/>
      </c>
      <c r="K1161" s="68"/>
      <c r="L1161" s="68"/>
      <c r="M1161" s="68"/>
      <c r="N1161" s="68"/>
      <c r="O1161" s="68"/>
      <c r="P1161" s="68"/>
      <c r="Q1161" s="68"/>
      <c r="R1161" s="68"/>
      <c r="S1161" s="68"/>
      <c r="T1161" s="68"/>
      <c r="U1161" s="68"/>
      <c r="V1161" s="68"/>
      <c r="W1161" s="68"/>
      <c r="X1161" s="68"/>
      <c r="Y1161" s="68"/>
      <c r="Z1161" s="68"/>
      <c r="AA1161" s="68"/>
    </row>
    <row r="1162" ht="26.25" customHeight="1">
      <c r="A1162" s="68"/>
      <c r="B1162" s="68"/>
      <c r="C1162" s="68"/>
      <c r="D1162" s="71"/>
      <c r="E1162" s="71"/>
      <c r="F1162" s="71"/>
      <c r="G1162" s="65"/>
      <c r="H1162" s="74"/>
      <c r="I1162" s="67" t="str">
        <f>IFERROR(__xludf.DUMMYFUNCTION("if($H1162="""", """", AVERAGE(split($H1162, "";"")))"),"")</f>
        <v/>
      </c>
      <c r="J1162" s="67" t="str">
        <f>IFERROR(__xludf.DUMMYFUNCTION("if(H1162="""", """", SUM(split(H1162, "";"")))"),"")</f>
        <v/>
      </c>
      <c r="K1162" s="68"/>
      <c r="L1162" s="68"/>
      <c r="M1162" s="68"/>
      <c r="N1162" s="68"/>
      <c r="O1162" s="68"/>
      <c r="P1162" s="68"/>
      <c r="Q1162" s="68"/>
      <c r="R1162" s="68"/>
      <c r="S1162" s="68"/>
      <c r="T1162" s="68"/>
      <c r="U1162" s="68"/>
      <c r="V1162" s="68"/>
      <c r="W1162" s="68"/>
      <c r="X1162" s="68"/>
      <c r="Y1162" s="68"/>
      <c r="Z1162" s="68"/>
      <c r="AA1162" s="68"/>
    </row>
    <row r="1163" ht="26.25" customHeight="1">
      <c r="A1163" s="68"/>
      <c r="B1163" s="68"/>
      <c r="C1163" s="68"/>
      <c r="D1163" s="71"/>
      <c r="E1163" s="71"/>
      <c r="F1163" s="71"/>
      <c r="G1163" s="65"/>
      <c r="H1163" s="74"/>
      <c r="I1163" s="67" t="str">
        <f>IFERROR(__xludf.DUMMYFUNCTION("if($H1163="""", """", AVERAGE(split($H1163, "";"")))"),"")</f>
        <v/>
      </c>
      <c r="J1163" s="67" t="str">
        <f>IFERROR(__xludf.DUMMYFUNCTION("if(H1163="""", """", SUM(split(H1163, "";"")))"),"")</f>
        <v/>
      </c>
      <c r="K1163" s="68"/>
      <c r="L1163" s="68"/>
      <c r="M1163" s="68"/>
      <c r="N1163" s="68"/>
      <c r="O1163" s="68"/>
      <c r="P1163" s="68"/>
      <c r="Q1163" s="68"/>
      <c r="R1163" s="68"/>
      <c r="S1163" s="68"/>
      <c r="T1163" s="68"/>
      <c r="U1163" s="68"/>
      <c r="V1163" s="68"/>
      <c r="W1163" s="68"/>
      <c r="X1163" s="68"/>
      <c r="Y1163" s="68"/>
      <c r="Z1163" s="68"/>
      <c r="AA1163" s="68"/>
    </row>
    <row r="1164" ht="26.25" customHeight="1">
      <c r="A1164" s="68"/>
      <c r="B1164" s="68"/>
      <c r="C1164" s="68"/>
      <c r="D1164" s="71"/>
      <c r="E1164" s="71"/>
      <c r="F1164" s="71"/>
      <c r="G1164" s="65"/>
      <c r="H1164" s="74"/>
      <c r="I1164" s="67" t="str">
        <f>IFERROR(__xludf.DUMMYFUNCTION("if($H1164="""", """", AVERAGE(split($H1164, "";"")))"),"")</f>
        <v/>
      </c>
      <c r="J1164" s="67" t="str">
        <f>IFERROR(__xludf.DUMMYFUNCTION("if(H1164="""", """", SUM(split(H1164, "";"")))"),"")</f>
        <v/>
      </c>
      <c r="K1164" s="68"/>
      <c r="L1164" s="68"/>
      <c r="M1164" s="68"/>
      <c r="N1164" s="68"/>
      <c r="O1164" s="68"/>
      <c r="P1164" s="68"/>
      <c r="Q1164" s="68"/>
      <c r="R1164" s="68"/>
      <c r="S1164" s="68"/>
      <c r="T1164" s="68"/>
      <c r="U1164" s="68"/>
      <c r="V1164" s="68"/>
      <c r="W1164" s="68"/>
      <c r="X1164" s="68"/>
      <c r="Y1164" s="68"/>
      <c r="Z1164" s="68"/>
      <c r="AA1164" s="68"/>
    </row>
    <row r="1165" ht="26.25" customHeight="1">
      <c r="A1165" s="68"/>
      <c r="B1165" s="68"/>
      <c r="C1165" s="68"/>
      <c r="D1165" s="71"/>
      <c r="E1165" s="71"/>
      <c r="F1165" s="71"/>
      <c r="G1165" s="65"/>
      <c r="H1165" s="74"/>
      <c r="I1165" s="67" t="str">
        <f>IFERROR(__xludf.DUMMYFUNCTION("if($H1165="""", """", AVERAGE(split($H1165, "";"")))"),"")</f>
        <v/>
      </c>
      <c r="J1165" s="67" t="str">
        <f>IFERROR(__xludf.DUMMYFUNCTION("if(H1165="""", """", SUM(split(H1165, "";"")))"),"")</f>
        <v/>
      </c>
      <c r="K1165" s="68"/>
      <c r="L1165" s="68"/>
      <c r="M1165" s="68"/>
      <c r="N1165" s="68"/>
      <c r="O1165" s="68"/>
      <c r="P1165" s="68"/>
      <c r="Q1165" s="68"/>
      <c r="R1165" s="68"/>
      <c r="S1165" s="68"/>
      <c r="T1165" s="68"/>
      <c r="U1165" s="68"/>
      <c r="V1165" s="68"/>
      <c r="W1165" s="68"/>
      <c r="X1165" s="68"/>
      <c r="Y1165" s="68"/>
      <c r="Z1165" s="68"/>
      <c r="AA1165" s="68"/>
    </row>
    <row r="1166" ht="26.25" customHeight="1">
      <c r="A1166" s="68"/>
      <c r="B1166" s="68"/>
      <c r="C1166" s="68"/>
      <c r="D1166" s="71"/>
      <c r="E1166" s="71"/>
      <c r="F1166" s="71"/>
      <c r="G1166" s="65"/>
      <c r="H1166" s="74"/>
      <c r="I1166" s="67" t="str">
        <f>IFERROR(__xludf.DUMMYFUNCTION("if($H1166="""", """", AVERAGE(split($H1166, "";"")))"),"")</f>
        <v/>
      </c>
      <c r="J1166" s="67" t="str">
        <f>IFERROR(__xludf.DUMMYFUNCTION("if(H1166="""", """", SUM(split(H1166, "";"")))"),"")</f>
        <v/>
      </c>
      <c r="K1166" s="68"/>
      <c r="L1166" s="68"/>
      <c r="M1166" s="68"/>
      <c r="N1166" s="68"/>
      <c r="O1166" s="68"/>
      <c r="P1166" s="68"/>
      <c r="Q1166" s="68"/>
      <c r="R1166" s="68"/>
      <c r="S1166" s="68"/>
      <c r="T1166" s="68"/>
      <c r="U1166" s="68"/>
      <c r="V1166" s="68"/>
      <c r="W1166" s="68"/>
      <c r="X1166" s="68"/>
      <c r="Y1166" s="68"/>
      <c r="Z1166" s="68"/>
      <c r="AA1166" s="68"/>
    </row>
    <row r="1167" ht="26.25" customHeight="1">
      <c r="A1167" s="68"/>
      <c r="B1167" s="68"/>
      <c r="C1167" s="68"/>
      <c r="D1167" s="71"/>
      <c r="E1167" s="71"/>
      <c r="F1167" s="71"/>
      <c r="G1167" s="65"/>
      <c r="H1167" s="74"/>
      <c r="I1167" s="67" t="str">
        <f>IFERROR(__xludf.DUMMYFUNCTION("if($H1167="""", """", AVERAGE(split($H1167, "";"")))"),"")</f>
        <v/>
      </c>
      <c r="J1167" s="67" t="str">
        <f>IFERROR(__xludf.DUMMYFUNCTION("if(H1167="""", """", SUM(split(H1167, "";"")))"),"")</f>
        <v/>
      </c>
      <c r="K1167" s="68"/>
      <c r="L1167" s="68"/>
      <c r="M1167" s="68"/>
      <c r="N1167" s="68"/>
      <c r="O1167" s="68"/>
      <c r="P1167" s="68"/>
      <c r="Q1167" s="68"/>
      <c r="R1167" s="68"/>
      <c r="S1167" s="68"/>
      <c r="T1167" s="68"/>
      <c r="U1167" s="68"/>
      <c r="V1167" s="68"/>
      <c r="W1167" s="68"/>
      <c r="X1167" s="68"/>
      <c r="Y1167" s="68"/>
      <c r="Z1167" s="68"/>
      <c r="AA1167" s="68"/>
    </row>
    <row r="1168" ht="26.25" customHeight="1">
      <c r="A1168" s="68"/>
      <c r="B1168" s="68"/>
      <c r="C1168" s="68"/>
      <c r="D1168" s="71"/>
      <c r="E1168" s="71"/>
      <c r="F1168" s="71"/>
      <c r="G1168" s="65"/>
      <c r="H1168" s="74"/>
      <c r="I1168" s="67" t="str">
        <f>IFERROR(__xludf.DUMMYFUNCTION("if($H1168="""", """", AVERAGE(split($H1168, "";"")))"),"")</f>
        <v/>
      </c>
      <c r="J1168" s="67" t="str">
        <f>IFERROR(__xludf.DUMMYFUNCTION("if(H1168="""", """", SUM(split(H1168, "";"")))"),"")</f>
        <v/>
      </c>
      <c r="K1168" s="68"/>
      <c r="L1168" s="68"/>
      <c r="M1168" s="68"/>
      <c r="N1168" s="68"/>
      <c r="O1168" s="68"/>
      <c r="P1168" s="68"/>
      <c r="Q1168" s="68"/>
      <c r="R1168" s="68"/>
      <c r="S1168" s="68"/>
      <c r="T1168" s="68"/>
      <c r="U1168" s="68"/>
      <c r="V1168" s="68"/>
      <c r="W1168" s="68"/>
      <c r="X1168" s="68"/>
      <c r="Y1168" s="68"/>
      <c r="Z1168" s="68"/>
      <c r="AA1168" s="68"/>
    </row>
    <row r="1169" ht="26.25" customHeight="1">
      <c r="A1169" s="68"/>
      <c r="B1169" s="68"/>
      <c r="C1169" s="68"/>
      <c r="D1169" s="71"/>
      <c r="E1169" s="71"/>
      <c r="F1169" s="71"/>
      <c r="G1169" s="65"/>
      <c r="H1169" s="74"/>
      <c r="I1169" s="67" t="str">
        <f>IFERROR(__xludf.DUMMYFUNCTION("if($H1169="""", """", AVERAGE(split($H1169, "";"")))"),"")</f>
        <v/>
      </c>
      <c r="J1169" s="67" t="str">
        <f>IFERROR(__xludf.DUMMYFUNCTION("if(H1169="""", """", SUM(split(H1169, "";"")))"),"")</f>
        <v/>
      </c>
      <c r="K1169" s="68"/>
      <c r="L1169" s="68"/>
      <c r="M1169" s="68"/>
      <c r="N1169" s="68"/>
      <c r="O1169" s="68"/>
      <c r="P1169" s="68"/>
      <c r="Q1169" s="68"/>
      <c r="R1169" s="68"/>
      <c r="S1169" s="68"/>
      <c r="T1169" s="68"/>
      <c r="U1169" s="68"/>
      <c r="V1169" s="68"/>
      <c r="W1169" s="68"/>
      <c r="X1169" s="68"/>
      <c r="Y1169" s="68"/>
      <c r="Z1169" s="68"/>
      <c r="AA1169" s="68"/>
    </row>
    <row r="1170" ht="26.25" customHeight="1">
      <c r="A1170" s="68"/>
      <c r="B1170" s="68"/>
      <c r="C1170" s="68"/>
      <c r="D1170" s="71"/>
      <c r="E1170" s="71"/>
      <c r="F1170" s="71"/>
      <c r="G1170" s="65"/>
      <c r="H1170" s="74"/>
      <c r="I1170" s="67" t="str">
        <f>IFERROR(__xludf.DUMMYFUNCTION("if($H1170="""", """", AVERAGE(split($H1170, "";"")))"),"")</f>
        <v/>
      </c>
      <c r="J1170" s="67" t="str">
        <f>IFERROR(__xludf.DUMMYFUNCTION("if(H1170="""", """", SUM(split(H1170, "";"")))"),"")</f>
        <v/>
      </c>
      <c r="K1170" s="68"/>
      <c r="L1170" s="68"/>
      <c r="M1170" s="68"/>
      <c r="N1170" s="68"/>
      <c r="O1170" s="68"/>
      <c r="P1170" s="68"/>
      <c r="Q1170" s="68"/>
      <c r="R1170" s="68"/>
      <c r="S1170" s="68"/>
      <c r="T1170" s="68"/>
      <c r="U1170" s="68"/>
      <c r="V1170" s="68"/>
      <c r="W1170" s="68"/>
      <c r="X1170" s="68"/>
      <c r="Y1170" s="68"/>
      <c r="Z1170" s="68"/>
      <c r="AA1170" s="68"/>
    </row>
    <row r="1171" ht="26.25" customHeight="1">
      <c r="A1171" s="68"/>
      <c r="B1171" s="68"/>
      <c r="C1171" s="68"/>
      <c r="D1171" s="71"/>
      <c r="E1171" s="71"/>
      <c r="F1171" s="71"/>
      <c r="G1171" s="65"/>
      <c r="H1171" s="74"/>
      <c r="I1171" s="67" t="str">
        <f>IFERROR(__xludf.DUMMYFUNCTION("if($H1171="""", """", AVERAGE(split($H1171, "";"")))"),"")</f>
        <v/>
      </c>
      <c r="J1171" s="67" t="str">
        <f>IFERROR(__xludf.DUMMYFUNCTION("if(H1171="""", """", SUM(split(H1171, "";"")))"),"")</f>
        <v/>
      </c>
      <c r="K1171" s="68"/>
      <c r="L1171" s="68"/>
      <c r="M1171" s="68"/>
      <c r="N1171" s="68"/>
      <c r="O1171" s="68"/>
      <c r="P1171" s="68"/>
      <c r="Q1171" s="68"/>
      <c r="R1171" s="68"/>
      <c r="S1171" s="68"/>
      <c r="T1171" s="68"/>
      <c r="U1171" s="68"/>
      <c r="V1171" s="68"/>
      <c r="W1171" s="68"/>
      <c r="X1171" s="68"/>
      <c r="Y1171" s="68"/>
      <c r="Z1171" s="68"/>
      <c r="AA1171" s="68"/>
    </row>
    <row r="1172" ht="26.25" customHeight="1">
      <c r="A1172" s="68"/>
      <c r="B1172" s="68"/>
      <c r="C1172" s="68"/>
      <c r="D1172" s="71"/>
      <c r="E1172" s="71"/>
      <c r="F1172" s="71"/>
      <c r="G1172" s="65"/>
      <c r="H1172" s="74"/>
      <c r="I1172" s="67" t="str">
        <f>IFERROR(__xludf.DUMMYFUNCTION("if($H1172="""", """", AVERAGE(split($H1172, "";"")))"),"")</f>
        <v/>
      </c>
      <c r="J1172" s="67" t="str">
        <f>IFERROR(__xludf.DUMMYFUNCTION("if(H1172="""", """", SUM(split(H1172, "";"")))"),"")</f>
        <v/>
      </c>
      <c r="K1172" s="68"/>
      <c r="L1172" s="68"/>
      <c r="M1172" s="68"/>
      <c r="N1172" s="68"/>
      <c r="O1172" s="68"/>
      <c r="P1172" s="68"/>
      <c r="Q1172" s="68"/>
      <c r="R1172" s="68"/>
      <c r="S1172" s="68"/>
      <c r="T1172" s="68"/>
      <c r="U1172" s="68"/>
      <c r="V1172" s="68"/>
      <c r="W1172" s="68"/>
      <c r="X1172" s="68"/>
      <c r="Y1172" s="68"/>
      <c r="Z1172" s="68"/>
      <c r="AA1172" s="68"/>
    </row>
    <row r="1173" ht="26.25" customHeight="1">
      <c r="A1173" s="68"/>
      <c r="B1173" s="68"/>
      <c r="C1173" s="68"/>
      <c r="D1173" s="71"/>
      <c r="E1173" s="71"/>
      <c r="F1173" s="71"/>
      <c r="G1173" s="65"/>
      <c r="H1173" s="74"/>
      <c r="I1173" s="67" t="str">
        <f>IFERROR(__xludf.DUMMYFUNCTION("if($H1173="""", """", AVERAGE(split($H1173, "";"")))"),"")</f>
        <v/>
      </c>
      <c r="J1173" s="67" t="str">
        <f>IFERROR(__xludf.DUMMYFUNCTION("if(H1173="""", """", SUM(split(H1173, "";"")))"),"")</f>
        <v/>
      </c>
      <c r="K1173" s="68"/>
      <c r="L1173" s="68"/>
      <c r="M1173" s="68"/>
      <c r="N1173" s="68"/>
      <c r="O1173" s="68"/>
      <c r="P1173" s="68"/>
      <c r="Q1173" s="68"/>
      <c r="R1173" s="68"/>
      <c r="S1173" s="68"/>
      <c r="T1173" s="68"/>
      <c r="U1173" s="68"/>
      <c r="V1173" s="68"/>
      <c r="W1173" s="68"/>
      <c r="X1173" s="68"/>
      <c r="Y1173" s="68"/>
      <c r="Z1173" s="68"/>
      <c r="AA1173" s="68"/>
    </row>
    <row r="1174" ht="26.25" customHeight="1">
      <c r="A1174" s="68"/>
      <c r="B1174" s="68"/>
      <c r="C1174" s="68"/>
      <c r="D1174" s="71"/>
      <c r="E1174" s="71"/>
      <c r="F1174" s="71"/>
      <c r="G1174" s="65"/>
      <c r="H1174" s="74"/>
      <c r="I1174" s="67" t="str">
        <f>IFERROR(__xludf.DUMMYFUNCTION("if($H1174="""", """", AVERAGE(split($H1174, "";"")))"),"")</f>
        <v/>
      </c>
      <c r="J1174" s="67" t="str">
        <f>IFERROR(__xludf.DUMMYFUNCTION("if(H1174="""", """", SUM(split(H1174, "";"")))"),"")</f>
        <v/>
      </c>
      <c r="K1174" s="68"/>
      <c r="L1174" s="68"/>
      <c r="M1174" s="68"/>
      <c r="N1174" s="68"/>
      <c r="O1174" s="68"/>
      <c r="P1174" s="68"/>
      <c r="Q1174" s="68"/>
      <c r="R1174" s="68"/>
      <c r="S1174" s="68"/>
      <c r="T1174" s="68"/>
      <c r="U1174" s="68"/>
      <c r="V1174" s="68"/>
      <c r="W1174" s="68"/>
      <c r="X1174" s="68"/>
      <c r="Y1174" s="68"/>
      <c r="Z1174" s="68"/>
      <c r="AA1174" s="68"/>
    </row>
    <row r="1175" ht="26.25" customHeight="1">
      <c r="A1175" s="68"/>
      <c r="B1175" s="68"/>
      <c r="C1175" s="68"/>
      <c r="D1175" s="71"/>
      <c r="E1175" s="71"/>
      <c r="F1175" s="71"/>
      <c r="G1175" s="65"/>
      <c r="H1175" s="74"/>
      <c r="I1175" s="67" t="str">
        <f>IFERROR(__xludf.DUMMYFUNCTION("if($H1175="""", """", AVERAGE(split($H1175, "";"")))"),"")</f>
        <v/>
      </c>
      <c r="J1175" s="67" t="str">
        <f>IFERROR(__xludf.DUMMYFUNCTION("if(H1175="""", """", SUM(split(H1175, "";"")))"),"")</f>
        <v/>
      </c>
      <c r="K1175" s="68"/>
      <c r="L1175" s="68"/>
      <c r="M1175" s="68"/>
      <c r="N1175" s="68"/>
      <c r="O1175" s="68"/>
      <c r="P1175" s="68"/>
      <c r="Q1175" s="68"/>
      <c r="R1175" s="68"/>
      <c r="S1175" s="68"/>
      <c r="T1175" s="68"/>
      <c r="U1175" s="68"/>
      <c r="V1175" s="68"/>
      <c r="W1175" s="68"/>
      <c r="X1175" s="68"/>
      <c r="Y1175" s="68"/>
      <c r="Z1175" s="68"/>
      <c r="AA1175" s="68"/>
    </row>
    <row r="1176" ht="26.25" customHeight="1">
      <c r="A1176" s="68"/>
      <c r="B1176" s="68"/>
      <c r="C1176" s="68"/>
      <c r="D1176" s="71"/>
      <c r="E1176" s="71"/>
      <c r="F1176" s="71"/>
      <c r="G1176" s="65"/>
      <c r="H1176" s="74"/>
      <c r="I1176" s="67" t="str">
        <f>IFERROR(__xludf.DUMMYFUNCTION("if($H1176="""", """", AVERAGE(split($H1176, "";"")))"),"")</f>
        <v/>
      </c>
      <c r="J1176" s="67" t="str">
        <f>IFERROR(__xludf.DUMMYFUNCTION("if(H1176="""", """", SUM(split(H1176, "";"")))"),"")</f>
        <v/>
      </c>
      <c r="K1176" s="68"/>
      <c r="L1176" s="68"/>
      <c r="M1176" s="68"/>
      <c r="N1176" s="68"/>
      <c r="O1176" s="68"/>
      <c r="P1176" s="68"/>
      <c r="Q1176" s="68"/>
      <c r="R1176" s="68"/>
      <c r="S1176" s="68"/>
      <c r="T1176" s="68"/>
      <c r="U1176" s="68"/>
      <c r="V1176" s="68"/>
      <c r="W1176" s="68"/>
      <c r="X1176" s="68"/>
      <c r="Y1176" s="68"/>
      <c r="Z1176" s="68"/>
      <c r="AA1176" s="68"/>
    </row>
    <row r="1177" ht="26.25" customHeight="1">
      <c r="A1177" s="68"/>
      <c r="B1177" s="68"/>
      <c r="C1177" s="68"/>
      <c r="D1177" s="71"/>
      <c r="E1177" s="71"/>
      <c r="F1177" s="71"/>
      <c r="G1177" s="65"/>
      <c r="H1177" s="74"/>
      <c r="I1177" s="67" t="str">
        <f>IFERROR(__xludf.DUMMYFUNCTION("if($H1177="""", """", AVERAGE(split($H1177, "";"")))"),"")</f>
        <v/>
      </c>
      <c r="J1177" s="67" t="str">
        <f>IFERROR(__xludf.DUMMYFUNCTION("if(H1177="""", """", SUM(split(H1177, "";"")))"),"")</f>
        <v/>
      </c>
      <c r="K1177" s="68"/>
      <c r="L1177" s="68"/>
      <c r="M1177" s="68"/>
      <c r="N1177" s="68"/>
      <c r="O1177" s="68"/>
      <c r="P1177" s="68"/>
      <c r="Q1177" s="68"/>
      <c r="R1177" s="68"/>
      <c r="S1177" s="68"/>
      <c r="T1177" s="68"/>
      <c r="U1177" s="68"/>
      <c r="V1177" s="68"/>
      <c r="W1177" s="68"/>
      <c r="X1177" s="68"/>
      <c r="Y1177" s="68"/>
      <c r="Z1177" s="68"/>
      <c r="AA1177" s="68"/>
    </row>
    <row r="1178" ht="26.25" customHeight="1">
      <c r="A1178" s="68"/>
      <c r="B1178" s="68"/>
      <c r="C1178" s="68"/>
      <c r="D1178" s="71"/>
      <c r="E1178" s="71"/>
      <c r="F1178" s="71"/>
      <c r="G1178" s="65"/>
      <c r="H1178" s="74"/>
      <c r="I1178" s="67" t="str">
        <f>IFERROR(__xludf.DUMMYFUNCTION("if($H1178="""", """", AVERAGE(split($H1178, "";"")))"),"")</f>
        <v/>
      </c>
      <c r="J1178" s="67" t="str">
        <f>IFERROR(__xludf.DUMMYFUNCTION("if(H1178="""", """", SUM(split(H1178, "";"")))"),"")</f>
        <v/>
      </c>
      <c r="K1178" s="68"/>
      <c r="L1178" s="68"/>
      <c r="M1178" s="68"/>
      <c r="N1178" s="68"/>
      <c r="O1178" s="68"/>
      <c r="P1178" s="68"/>
      <c r="Q1178" s="68"/>
      <c r="R1178" s="68"/>
      <c r="S1178" s="68"/>
      <c r="T1178" s="68"/>
      <c r="U1178" s="68"/>
      <c r="V1178" s="68"/>
      <c r="W1178" s="68"/>
      <c r="X1178" s="68"/>
      <c r="Y1178" s="68"/>
      <c r="Z1178" s="68"/>
      <c r="AA1178" s="68"/>
    </row>
    <row r="1179" ht="26.25" customHeight="1">
      <c r="A1179" s="68"/>
      <c r="B1179" s="68"/>
      <c r="C1179" s="68"/>
      <c r="D1179" s="71"/>
      <c r="E1179" s="71"/>
      <c r="F1179" s="71"/>
      <c r="G1179" s="65"/>
      <c r="H1179" s="74"/>
      <c r="I1179" s="67" t="str">
        <f>IFERROR(__xludf.DUMMYFUNCTION("if($H1179="""", """", AVERAGE(split($H1179, "";"")))"),"")</f>
        <v/>
      </c>
      <c r="J1179" s="67" t="str">
        <f>IFERROR(__xludf.DUMMYFUNCTION("if(H1179="""", """", SUM(split(H1179, "";"")))"),"")</f>
        <v/>
      </c>
      <c r="K1179" s="68"/>
      <c r="L1179" s="68"/>
      <c r="M1179" s="68"/>
      <c r="N1179" s="68"/>
      <c r="O1179" s="68"/>
      <c r="P1179" s="68"/>
      <c r="Q1179" s="68"/>
      <c r="R1179" s="68"/>
      <c r="S1179" s="68"/>
      <c r="T1179" s="68"/>
      <c r="U1179" s="68"/>
      <c r="V1179" s="68"/>
      <c r="W1179" s="68"/>
      <c r="X1179" s="68"/>
      <c r="Y1179" s="68"/>
      <c r="Z1179" s="68"/>
      <c r="AA1179" s="68"/>
    </row>
    <row r="1180" ht="26.25" customHeight="1">
      <c r="A1180" s="68"/>
      <c r="B1180" s="68"/>
      <c r="C1180" s="68"/>
      <c r="D1180" s="71"/>
      <c r="E1180" s="71"/>
      <c r="F1180" s="71"/>
      <c r="G1180" s="65"/>
      <c r="H1180" s="74"/>
      <c r="I1180" s="67" t="str">
        <f>IFERROR(__xludf.DUMMYFUNCTION("if($H1180="""", """", AVERAGE(split($H1180, "";"")))"),"")</f>
        <v/>
      </c>
      <c r="J1180" s="67" t="str">
        <f>IFERROR(__xludf.DUMMYFUNCTION("if(H1180="""", """", SUM(split(H1180, "";"")))"),"")</f>
        <v/>
      </c>
      <c r="K1180" s="68"/>
      <c r="L1180" s="68"/>
      <c r="M1180" s="68"/>
      <c r="N1180" s="68"/>
      <c r="O1180" s="68"/>
      <c r="P1180" s="68"/>
      <c r="Q1180" s="68"/>
      <c r="R1180" s="68"/>
      <c r="S1180" s="68"/>
      <c r="T1180" s="68"/>
      <c r="U1180" s="68"/>
      <c r="V1180" s="68"/>
      <c r="W1180" s="68"/>
      <c r="X1180" s="68"/>
      <c r="Y1180" s="68"/>
      <c r="Z1180" s="68"/>
      <c r="AA1180" s="68"/>
    </row>
    <row r="1181" ht="26.25" customHeight="1">
      <c r="A1181" s="68"/>
      <c r="B1181" s="68"/>
      <c r="C1181" s="68"/>
      <c r="D1181" s="71"/>
      <c r="E1181" s="71"/>
      <c r="F1181" s="71"/>
      <c r="G1181" s="65"/>
      <c r="H1181" s="74"/>
      <c r="I1181" s="67" t="str">
        <f>IFERROR(__xludf.DUMMYFUNCTION("if($H1181="""", """", AVERAGE(split($H1181, "";"")))"),"")</f>
        <v/>
      </c>
      <c r="J1181" s="67" t="str">
        <f>IFERROR(__xludf.DUMMYFUNCTION("if(H1181="""", """", SUM(split(H1181, "";"")))"),"")</f>
        <v/>
      </c>
      <c r="K1181" s="68"/>
      <c r="L1181" s="68"/>
      <c r="M1181" s="68"/>
      <c r="N1181" s="68"/>
      <c r="O1181" s="68"/>
      <c r="P1181" s="68"/>
      <c r="Q1181" s="68"/>
      <c r="R1181" s="68"/>
      <c r="S1181" s="68"/>
      <c r="T1181" s="68"/>
      <c r="U1181" s="68"/>
      <c r="V1181" s="68"/>
      <c r="W1181" s="68"/>
      <c r="X1181" s="68"/>
      <c r="Y1181" s="68"/>
      <c r="Z1181" s="68"/>
      <c r="AA1181" s="68"/>
    </row>
    <row r="1182" ht="26.25" customHeight="1">
      <c r="A1182" s="68"/>
      <c r="B1182" s="68"/>
      <c r="C1182" s="68"/>
      <c r="D1182" s="71"/>
      <c r="E1182" s="71"/>
      <c r="F1182" s="71"/>
      <c r="G1182" s="65"/>
      <c r="H1182" s="74"/>
      <c r="I1182" s="67" t="str">
        <f>IFERROR(__xludf.DUMMYFUNCTION("if($H1182="""", """", AVERAGE(split($H1182, "";"")))"),"")</f>
        <v/>
      </c>
      <c r="J1182" s="67" t="str">
        <f>IFERROR(__xludf.DUMMYFUNCTION("if(H1182="""", """", SUM(split(H1182, "";"")))"),"")</f>
        <v/>
      </c>
      <c r="K1182" s="68"/>
      <c r="L1182" s="68"/>
      <c r="M1182" s="68"/>
      <c r="N1182" s="68"/>
      <c r="O1182" s="68"/>
      <c r="P1182" s="68"/>
      <c r="Q1182" s="68"/>
      <c r="R1182" s="68"/>
      <c r="S1182" s="68"/>
      <c r="T1182" s="68"/>
      <c r="U1182" s="68"/>
      <c r="V1182" s="68"/>
      <c r="W1182" s="68"/>
      <c r="X1182" s="68"/>
      <c r="Y1182" s="68"/>
      <c r="Z1182" s="68"/>
      <c r="AA1182" s="68"/>
    </row>
    <row r="1183" ht="26.25" customHeight="1">
      <c r="A1183" s="68"/>
      <c r="B1183" s="68"/>
      <c r="C1183" s="68"/>
      <c r="D1183" s="71"/>
      <c r="E1183" s="71"/>
      <c r="F1183" s="71"/>
      <c r="G1183" s="65"/>
      <c r="H1183" s="74"/>
      <c r="I1183" s="67" t="str">
        <f>IFERROR(__xludf.DUMMYFUNCTION("if($H1183="""", """", AVERAGE(split($H1183, "";"")))"),"")</f>
        <v/>
      </c>
      <c r="J1183" s="67" t="str">
        <f>IFERROR(__xludf.DUMMYFUNCTION("if(H1183="""", """", SUM(split(H1183, "";"")))"),"")</f>
        <v/>
      </c>
      <c r="K1183" s="68"/>
      <c r="L1183" s="68"/>
      <c r="M1183" s="68"/>
      <c r="N1183" s="68"/>
      <c r="O1183" s="68"/>
      <c r="P1183" s="68"/>
      <c r="Q1183" s="68"/>
      <c r="R1183" s="68"/>
      <c r="S1183" s="68"/>
      <c r="T1183" s="68"/>
      <c r="U1183" s="68"/>
      <c r="V1183" s="68"/>
      <c r="W1183" s="68"/>
      <c r="X1183" s="68"/>
      <c r="Y1183" s="68"/>
      <c r="Z1183" s="68"/>
      <c r="AA1183" s="68"/>
    </row>
    <row r="1184" ht="26.25" customHeight="1">
      <c r="A1184" s="68"/>
      <c r="B1184" s="68"/>
      <c r="C1184" s="68"/>
      <c r="D1184" s="71"/>
      <c r="E1184" s="71"/>
      <c r="F1184" s="71"/>
      <c r="G1184" s="65"/>
      <c r="H1184" s="74"/>
      <c r="I1184" s="67" t="str">
        <f>IFERROR(__xludf.DUMMYFUNCTION("if($H1184="""", """", AVERAGE(split($H1184, "";"")))"),"")</f>
        <v/>
      </c>
      <c r="J1184" s="67" t="str">
        <f>IFERROR(__xludf.DUMMYFUNCTION("if(H1184="""", """", SUM(split(H1184, "";"")))"),"")</f>
        <v/>
      </c>
      <c r="K1184" s="68"/>
      <c r="L1184" s="68"/>
      <c r="M1184" s="68"/>
      <c r="N1184" s="68"/>
      <c r="O1184" s="68"/>
      <c r="P1184" s="68"/>
      <c r="Q1184" s="68"/>
      <c r="R1184" s="68"/>
      <c r="S1184" s="68"/>
      <c r="T1184" s="68"/>
      <c r="U1184" s="68"/>
      <c r="V1184" s="68"/>
      <c r="W1184" s="68"/>
      <c r="X1184" s="68"/>
      <c r="Y1184" s="68"/>
      <c r="Z1184" s="68"/>
      <c r="AA1184" s="68"/>
    </row>
    <row r="1185" ht="26.25" customHeight="1">
      <c r="A1185" s="68"/>
      <c r="B1185" s="68"/>
      <c r="C1185" s="68"/>
      <c r="D1185" s="71"/>
      <c r="E1185" s="71"/>
      <c r="F1185" s="71"/>
      <c r="G1185" s="65"/>
      <c r="H1185" s="74"/>
      <c r="I1185" s="67" t="str">
        <f>IFERROR(__xludf.DUMMYFUNCTION("if($H1185="""", """", AVERAGE(split($H1185, "";"")))"),"")</f>
        <v/>
      </c>
      <c r="J1185" s="67" t="str">
        <f>IFERROR(__xludf.DUMMYFUNCTION("if(H1185="""", """", SUM(split(H1185, "";"")))"),"")</f>
        <v/>
      </c>
      <c r="K1185" s="68"/>
      <c r="L1185" s="68"/>
      <c r="M1185" s="68"/>
      <c r="N1185" s="68"/>
      <c r="O1185" s="68"/>
      <c r="P1185" s="68"/>
      <c r="Q1185" s="68"/>
      <c r="R1185" s="68"/>
      <c r="S1185" s="68"/>
      <c r="T1185" s="68"/>
      <c r="U1185" s="68"/>
      <c r="V1185" s="68"/>
      <c r="W1185" s="68"/>
      <c r="X1185" s="68"/>
      <c r="Y1185" s="68"/>
      <c r="Z1185" s="68"/>
      <c r="AA1185" s="68"/>
    </row>
    <row r="1186" ht="26.25" customHeight="1">
      <c r="A1186" s="68"/>
      <c r="B1186" s="68"/>
      <c r="C1186" s="68"/>
      <c r="D1186" s="71"/>
      <c r="E1186" s="71"/>
      <c r="F1186" s="71"/>
      <c r="G1186" s="65"/>
      <c r="H1186" s="74"/>
      <c r="I1186" s="67" t="str">
        <f>IFERROR(__xludf.DUMMYFUNCTION("if($H1186="""", """", AVERAGE(split($H1186, "";"")))"),"")</f>
        <v/>
      </c>
      <c r="J1186" s="67" t="str">
        <f>IFERROR(__xludf.DUMMYFUNCTION("if(H1186="""", """", SUM(split(H1186, "";"")))"),"")</f>
        <v/>
      </c>
      <c r="K1186" s="68"/>
      <c r="L1186" s="68"/>
      <c r="M1186" s="68"/>
      <c r="N1186" s="68"/>
      <c r="O1186" s="68"/>
      <c r="P1186" s="68"/>
      <c r="Q1186" s="68"/>
      <c r="R1186" s="68"/>
      <c r="S1186" s="68"/>
      <c r="T1186" s="68"/>
      <c r="U1186" s="68"/>
      <c r="V1186" s="68"/>
      <c r="W1186" s="68"/>
      <c r="X1186" s="68"/>
      <c r="Y1186" s="68"/>
      <c r="Z1186" s="68"/>
      <c r="AA1186" s="68"/>
    </row>
    <row r="1187" ht="26.25" customHeight="1">
      <c r="A1187" s="68"/>
      <c r="B1187" s="68"/>
      <c r="C1187" s="68"/>
      <c r="D1187" s="71"/>
      <c r="E1187" s="71"/>
      <c r="F1187" s="71"/>
      <c r="G1187" s="65"/>
      <c r="H1187" s="74"/>
      <c r="I1187" s="67" t="str">
        <f>IFERROR(__xludf.DUMMYFUNCTION("if($H1187="""", """", AVERAGE(split($H1187, "";"")))"),"")</f>
        <v/>
      </c>
      <c r="J1187" s="67" t="str">
        <f>IFERROR(__xludf.DUMMYFUNCTION("if(H1187="""", """", SUM(split(H1187, "";"")))"),"")</f>
        <v/>
      </c>
      <c r="K1187" s="68"/>
      <c r="L1187" s="68"/>
      <c r="M1187" s="68"/>
      <c r="N1187" s="68"/>
      <c r="O1187" s="68"/>
      <c r="P1187" s="68"/>
      <c r="Q1187" s="68"/>
      <c r="R1187" s="68"/>
      <c r="S1187" s="68"/>
      <c r="T1187" s="68"/>
      <c r="U1187" s="68"/>
      <c r="V1187" s="68"/>
      <c r="W1187" s="68"/>
      <c r="X1187" s="68"/>
      <c r="Y1187" s="68"/>
      <c r="Z1187" s="68"/>
      <c r="AA1187" s="68"/>
    </row>
    <row r="1188" ht="26.25" customHeight="1">
      <c r="A1188" s="68"/>
      <c r="B1188" s="68"/>
      <c r="C1188" s="68"/>
      <c r="D1188" s="71"/>
      <c r="E1188" s="71"/>
      <c r="F1188" s="71"/>
      <c r="G1188" s="65"/>
      <c r="H1188" s="74"/>
      <c r="I1188" s="67" t="str">
        <f>IFERROR(__xludf.DUMMYFUNCTION("if($H1188="""", """", AVERAGE(split($H1188, "";"")))"),"")</f>
        <v/>
      </c>
      <c r="J1188" s="67" t="str">
        <f>IFERROR(__xludf.DUMMYFUNCTION("if(H1188="""", """", SUM(split(H1188, "";"")))"),"")</f>
        <v/>
      </c>
      <c r="K1188" s="68"/>
      <c r="L1188" s="68"/>
      <c r="M1188" s="68"/>
      <c r="N1188" s="68"/>
      <c r="O1188" s="68"/>
      <c r="P1188" s="68"/>
      <c r="Q1188" s="68"/>
      <c r="R1188" s="68"/>
      <c r="S1188" s="68"/>
      <c r="T1188" s="68"/>
      <c r="U1188" s="68"/>
      <c r="V1188" s="68"/>
      <c r="W1188" s="68"/>
      <c r="X1188" s="68"/>
      <c r="Y1188" s="68"/>
      <c r="Z1188" s="68"/>
      <c r="AA1188" s="68"/>
    </row>
    <row r="1189" ht="26.25" customHeight="1">
      <c r="A1189" s="68"/>
      <c r="B1189" s="68"/>
      <c r="C1189" s="68"/>
      <c r="D1189" s="71"/>
      <c r="E1189" s="71"/>
      <c r="F1189" s="71"/>
      <c r="G1189" s="65"/>
      <c r="H1189" s="74"/>
      <c r="I1189" s="67" t="str">
        <f>IFERROR(__xludf.DUMMYFUNCTION("if($H1189="""", """", AVERAGE(split($H1189, "";"")))"),"")</f>
        <v/>
      </c>
      <c r="J1189" s="67" t="str">
        <f>IFERROR(__xludf.DUMMYFUNCTION("if(H1189="""", """", SUM(split(H1189, "";"")))"),"")</f>
        <v/>
      </c>
      <c r="K1189" s="68"/>
      <c r="L1189" s="68"/>
      <c r="M1189" s="68"/>
      <c r="N1189" s="68"/>
      <c r="O1189" s="68"/>
      <c r="P1189" s="68"/>
      <c r="Q1189" s="68"/>
      <c r="R1189" s="68"/>
      <c r="S1189" s="68"/>
      <c r="T1189" s="68"/>
      <c r="U1189" s="68"/>
      <c r="V1189" s="68"/>
      <c r="W1189" s="68"/>
      <c r="X1189" s="68"/>
      <c r="Y1189" s="68"/>
      <c r="Z1189" s="68"/>
      <c r="AA1189" s="68"/>
    </row>
    <row r="1190" ht="26.25" customHeight="1">
      <c r="A1190" s="68"/>
      <c r="B1190" s="68"/>
      <c r="C1190" s="68"/>
      <c r="D1190" s="71"/>
      <c r="E1190" s="71"/>
      <c r="F1190" s="71"/>
      <c r="G1190" s="65"/>
      <c r="H1190" s="74"/>
      <c r="I1190" s="67" t="str">
        <f>IFERROR(__xludf.DUMMYFUNCTION("if($H1190="""", """", AVERAGE(split($H1190, "";"")))"),"")</f>
        <v/>
      </c>
      <c r="J1190" s="67" t="str">
        <f>IFERROR(__xludf.DUMMYFUNCTION("if(H1190="""", """", SUM(split(H1190, "";"")))"),"")</f>
        <v/>
      </c>
      <c r="K1190" s="68"/>
      <c r="L1190" s="68"/>
      <c r="M1190" s="68"/>
      <c r="N1190" s="68"/>
      <c r="O1190" s="68"/>
      <c r="P1190" s="68"/>
      <c r="Q1190" s="68"/>
      <c r="R1190" s="68"/>
      <c r="S1190" s="68"/>
      <c r="T1190" s="68"/>
      <c r="U1190" s="68"/>
      <c r="V1190" s="68"/>
      <c r="W1190" s="68"/>
      <c r="X1190" s="68"/>
      <c r="Y1190" s="68"/>
      <c r="Z1190" s="68"/>
      <c r="AA1190" s="68"/>
    </row>
    <row r="1191" ht="26.25" customHeight="1">
      <c r="A1191" s="68"/>
      <c r="B1191" s="68"/>
      <c r="C1191" s="68"/>
      <c r="D1191" s="71"/>
      <c r="E1191" s="71"/>
      <c r="F1191" s="71"/>
      <c r="G1191" s="65"/>
      <c r="H1191" s="74"/>
      <c r="I1191" s="67" t="str">
        <f>IFERROR(__xludf.DUMMYFUNCTION("if($H1191="""", """", AVERAGE(split($H1191, "";"")))"),"")</f>
        <v/>
      </c>
      <c r="J1191" s="67" t="str">
        <f>IFERROR(__xludf.DUMMYFUNCTION("if(H1191="""", """", SUM(split(H1191, "";"")))"),"")</f>
        <v/>
      </c>
      <c r="K1191" s="68"/>
      <c r="L1191" s="68"/>
      <c r="M1191" s="68"/>
      <c r="N1191" s="68"/>
      <c r="O1191" s="68"/>
      <c r="P1191" s="68"/>
      <c r="Q1191" s="68"/>
      <c r="R1191" s="68"/>
      <c r="S1191" s="68"/>
      <c r="T1191" s="68"/>
      <c r="U1191" s="68"/>
      <c r="V1191" s="68"/>
      <c r="W1191" s="68"/>
      <c r="X1191" s="68"/>
      <c r="Y1191" s="68"/>
      <c r="Z1191" s="68"/>
      <c r="AA1191" s="68"/>
    </row>
    <row r="1192" ht="26.25" customHeight="1">
      <c r="A1192" s="68"/>
      <c r="B1192" s="68"/>
      <c r="C1192" s="68"/>
      <c r="D1192" s="71"/>
      <c r="E1192" s="71"/>
      <c r="F1192" s="71"/>
      <c r="G1192" s="65"/>
      <c r="H1192" s="74"/>
      <c r="I1192" s="67" t="str">
        <f>IFERROR(__xludf.DUMMYFUNCTION("if($H1192="""", """", AVERAGE(split($H1192, "";"")))"),"")</f>
        <v/>
      </c>
      <c r="J1192" s="67" t="str">
        <f>IFERROR(__xludf.DUMMYFUNCTION("if(H1192="""", """", SUM(split(H1192, "";"")))"),"")</f>
        <v/>
      </c>
      <c r="K1192" s="68"/>
      <c r="L1192" s="68"/>
      <c r="M1192" s="68"/>
      <c r="N1192" s="68"/>
      <c r="O1192" s="68"/>
      <c r="P1192" s="68"/>
      <c r="Q1192" s="68"/>
      <c r="R1192" s="68"/>
      <c r="S1192" s="68"/>
      <c r="T1192" s="68"/>
      <c r="U1192" s="68"/>
      <c r="V1192" s="68"/>
      <c r="W1192" s="68"/>
      <c r="X1192" s="68"/>
      <c r="Y1192" s="68"/>
      <c r="Z1192" s="68"/>
      <c r="AA1192" s="68"/>
    </row>
    <row r="1193" ht="26.25" customHeight="1">
      <c r="A1193" s="68"/>
      <c r="B1193" s="68"/>
      <c r="C1193" s="68"/>
      <c r="D1193" s="71"/>
      <c r="E1193" s="71"/>
      <c r="F1193" s="71"/>
      <c r="G1193" s="65"/>
      <c r="H1193" s="74"/>
      <c r="I1193" s="67" t="str">
        <f>IFERROR(__xludf.DUMMYFUNCTION("if($H1193="""", """", AVERAGE(split($H1193, "";"")))"),"")</f>
        <v/>
      </c>
      <c r="J1193" s="67" t="str">
        <f>IFERROR(__xludf.DUMMYFUNCTION("if(H1193="""", """", SUM(split(H1193, "";"")))"),"")</f>
        <v/>
      </c>
      <c r="K1193" s="68"/>
      <c r="L1193" s="68"/>
      <c r="M1193" s="68"/>
      <c r="N1193" s="68"/>
      <c r="O1193" s="68"/>
      <c r="P1193" s="68"/>
      <c r="Q1193" s="68"/>
      <c r="R1193" s="68"/>
      <c r="S1193" s="68"/>
      <c r="T1193" s="68"/>
      <c r="U1193" s="68"/>
      <c r="V1193" s="68"/>
      <c r="W1193" s="68"/>
      <c r="X1193" s="68"/>
      <c r="Y1193" s="68"/>
      <c r="Z1193" s="68"/>
      <c r="AA1193" s="68"/>
    </row>
    <row r="1194" ht="26.25" customHeight="1">
      <c r="A1194" s="68"/>
      <c r="B1194" s="68"/>
      <c r="C1194" s="68"/>
      <c r="D1194" s="71"/>
      <c r="E1194" s="71"/>
      <c r="F1194" s="71"/>
      <c r="G1194" s="65"/>
      <c r="H1194" s="74"/>
      <c r="I1194" s="67" t="str">
        <f>IFERROR(__xludf.DUMMYFUNCTION("if($H1194="""", """", AVERAGE(split($H1194, "";"")))"),"")</f>
        <v/>
      </c>
      <c r="J1194" s="67" t="str">
        <f>IFERROR(__xludf.DUMMYFUNCTION("if(H1194="""", """", SUM(split(H1194, "";"")))"),"")</f>
        <v/>
      </c>
      <c r="K1194" s="68"/>
      <c r="L1194" s="68"/>
      <c r="M1194" s="68"/>
      <c r="N1194" s="68"/>
      <c r="O1194" s="68"/>
      <c r="P1194" s="68"/>
      <c r="Q1194" s="68"/>
      <c r="R1194" s="68"/>
      <c r="S1194" s="68"/>
      <c r="T1194" s="68"/>
      <c r="U1194" s="68"/>
      <c r="V1194" s="68"/>
      <c r="W1194" s="68"/>
      <c r="X1194" s="68"/>
      <c r="Y1194" s="68"/>
      <c r="Z1194" s="68"/>
      <c r="AA1194" s="68"/>
    </row>
    <row r="1195" ht="26.25" customHeight="1">
      <c r="A1195" s="68"/>
      <c r="B1195" s="68"/>
      <c r="C1195" s="68"/>
      <c r="D1195" s="71"/>
      <c r="E1195" s="71"/>
      <c r="F1195" s="71"/>
      <c r="G1195" s="65"/>
      <c r="H1195" s="74"/>
      <c r="I1195" s="67" t="str">
        <f>IFERROR(__xludf.DUMMYFUNCTION("if($H1195="""", """", AVERAGE(split($H1195, "";"")))"),"")</f>
        <v/>
      </c>
      <c r="J1195" s="67" t="str">
        <f>IFERROR(__xludf.DUMMYFUNCTION("if(H1195="""", """", SUM(split(H1195, "";"")))"),"")</f>
        <v/>
      </c>
      <c r="K1195" s="68"/>
      <c r="L1195" s="68"/>
      <c r="M1195" s="68"/>
      <c r="N1195" s="68"/>
      <c r="O1195" s="68"/>
      <c r="P1195" s="68"/>
      <c r="Q1195" s="68"/>
      <c r="R1195" s="68"/>
      <c r="S1195" s="68"/>
      <c r="T1195" s="68"/>
      <c r="U1195" s="68"/>
      <c r="V1195" s="68"/>
      <c r="W1195" s="68"/>
      <c r="X1195" s="68"/>
      <c r="Y1195" s="68"/>
      <c r="Z1195" s="68"/>
      <c r="AA1195" s="68"/>
    </row>
    <row r="1196" ht="26.25" customHeight="1">
      <c r="A1196" s="68"/>
      <c r="B1196" s="68"/>
      <c r="C1196" s="68"/>
      <c r="D1196" s="71"/>
      <c r="E1196" s="71"/>
      <c r="F1196" s="71"/>
      <c r="G1196" s="65"/>
      <c r="H1196" s="74"/>
      <c r="I1196" s="67" t="str">
        <f>IFERROR(__xludf.DUMMYFUNCTION("if($H1196="""", """", AVERAGE(split($H1196, "";"")))"),"")</f>
        <v/>
      </c>
      <c r="J1196" s="67" t="str">
        <f>IFERROR(__xludf.DUMMYFUNCTION("if(H1196="""", """", SUM(split(H1196, "";"")))"),"")</f>
        <v/>
      </c>
      <c r="K1196" s="68"/>
      <c r="L1196" s="68"/>
      <c r="M1196" s="68"/>
      <c r="N1196" s="68"/>
      <c r="O1196" s="68"/>
      <c r="P1196" s="68"/>
      <c r="Q1196" s="68"/>
      <c r="R1196" s="68"/>
      <c r="S1196" s="68"/>
      <c r="T1196" s="68"/>
      <c r="U1196" s="68"/>
      <c r="V1196" s="68"/>
      <c r="W1196" s="68"/>
      <c r="X1196" s="68"/>
      <c r="Y1196" s="68"/>
      <c r="Z1196" s="68"/>
      <c r="AA1196" s="68"/>
    </row>
    <row r="1197" ht="26.25" customHeight="1">
      <c r="A1197" s="68"/>
      <c r="B1197" s="68"/>
      <c r="C1197" s="68"/>
      <c r="D1197" s="71"/>
      <c r="E1197" s="71"/>
      <c r="F1197" s="71"/>
      <c r="G1197" s="65"/>
      <c r="H1197" s="74"/>
      <c r="I1197" s="67" t="str">
        <f>IFERROR(__xludf.DUMMYFUNCTION("if($H1197="""", """", AVERAGE(split($H1197, "";"")))"),"")</f>
        <v/>
      </c>
      <c r="J1197" s="67" t="str">
        <f>IFERROR(__xludf.DUMMYFUNCTION("if(H1197="""", """", SUM(split(H1197, "";"")))"),"")</f>
        <v/>
      </c>
      <c r="K1197" s="68"/>
      <c r="L1197" s="68"/>
      <c r="M1197" s="68"/>
      <c r="N1197" s="68"/>
      <c r="O1197" s="68"/>
      <c r="P1197" s="68"/>
      <c r="Q1197" s="68"/>
      <c r="R1197" s="68"/>
      <c r="S1197" s="68"/>
      <c r="T1197" s="68"/>
      <c r="U1197" s="68"/>
      <c r="V1197" s="68"/>
      <c r="W1197" s="68"/>
      <c r="X1197" s="68"/>
      <c r="Y1197" s="68"/>
      <c r="Z1197" s="68"/>
      <c r="AA1197" s="68"/>
    </row>
    <row r="1198" ht="26.25" customHeight="1">
      <c r="A1198" s="68"/>
      <c r="B1198" s="68"/>
      <c r="C1198" s="68"/>
      <c r="D1198" s="71"/>
      <c r="E1198" s="71"/>
      <c r="F1198" s="71"/>
      <c r="G1198" s="65"/>
      <c r="H1198" s="74"/>
      <c r="I1198" s="67" t="str">
        <f>IFERROR(__xludf.DUMMYFUNCTION("if($H1198="""", """", AVERAGE(split($H1198, "";"")))"),"")</f>
        <v/>
      </c>
      <c r="J1198" s="67" t="str">
        <f>IFERROR(__xludf.DUMMYFUNCTION("if(H1198="""", """", SUM(split(H1198, "";"")))"),"")</f>
        <v/>
      </c>
      <c r="K1198" s="68"/>
      <c r="L1198" s="68"/>
      <c r="M1198" s="68"/>
      <c r="N1198" s="68"/>
      <c r="O1198" s="68"/>
      <c r="P1198" s="68"/>
      <c r="Q1198" s="68"/>
      <c r="R1198" s="68"/>
      <c r="S1198" s="68"/>
      <c r="T1198" s="68"/>
      <c r="U1198" s="68"/>
      <c r="V1198" s="68"/>
      <c r="W1198" s="68"/>
      <c r="X1198" s="68"/>
      <c r="Y1198" s="68"/>
      <c r="Z1198" s="68"/>
      <c r="AA1198" s="68"/>
    </row>
    <row r="1199" ht="26.25" customHeight="1">
      <c r="A1199" s="68"/>
      <c r="B1199" s="68"/>
      <c r="C1199" s="68"/>
      <c r="D1199" s="71"/>
      <c r="E1199" s="71"/>
      <c r="F1199" s="71"/>
      <c r="G1199" s="65"/>
      <c r="H1199" s="74"/>
      <c r="I1199" s="67" t="str">
        <f>IFERROR(__xludf.DUMMYFUNCTION("if($H1199="""", """", AVERAGE(split($H1199, "";"")))"),"")</f>
        <v/>
      </c>
      <c r="J1199" s="67" t="str">
        <f>IFERROR(__xludf.DUMMYFUNCTION("if(H1199="""", """", SUM(split(H1199, "";"")))"),"")</f>
        <v/>
      </c>
      <c r="K1199" s="68"/>
      <c r="L1199" s="68"/>
      <c r="M1199" s="68"/>
      <c r="N1199" s="68"/>
      <c r="O1199" s="68"/>
      <c r="P1199" s="68"/>
      <c r="Q1199" s="68"/>
      <c r="R1199" s="68"/>
      <c r="S1199" s="68"/>
      <c r="T1199" s="68"/>
      <c r="U1199" s="68"/>
      <c r="V1199" s="68"/>
      <c r="W1199" s="68"/>
      <c r="X1199" s="68"/>
      <c r="Y1199" s="68"/>
      <c r="Z1199" s="68"/>
      <c r="AA1199" s="68"/>
    </row>
    <row r="1200" ht="26.25" customHeight="1">
      <c r="A1200" s="68"/>
      <c r="B1200" s="68"/>
      <c r="C1200" s="68"/>
      <c r="D1200" s="71"/>
      <c r="E1200" s="71"/>
      <c r="F1200" s="71"/>
      <c r="G1200" s="65"/>
      <c r="H1200" s="74"/>
      <c r="I1200" s="67" t="str">
        <f>IFERROR(__xludf.DUMMYFUNCTION("if($H1200="""", """", AVERAGE(split($H1200, "";"")))"),"")</f>
        <v/>
      </c>
      <c r="J1200" s="67" t="str">
        <f>IFERROR(__xludf.DUMMYFUNCTION("if(H1200="""", """", SUM(split(H1200, "";"")))"),"")</f>
        <v/>
      </c>
      <c r="K1200" s="68"/>
      <c r="L1200" s="68"/>
      <c r="M1200" s="68"/>
      <c r="N1200" s="68"/>
      <c r="O1200" s="68"/>
      <c r="P1200" s="68"/>
      <c r="Q1200" s="68"/>
      <c r="R1200" s="68"/>
      <c r="S1200" s="68"/>
      <c r="T1200" s="68"/>
      <c r="U1200" s="68"/>
      <c r="V1200" s="68"/>
      <c r="W1200" s="68"/>
      <c r="X1200" s="68"/>
      <c r="Y1200" s="68"/>
      <c r="Z1200" s="68"/>
      <c r="AA1200" s="68"/>
    </row>
    <row r="1201" ht="26.25" customHeight="1">
      <c r="A1201" s="68"/>
      <c r="B1201" s="68"/>
      <c r="C1201" s="68"/>
      <c r="D1201" s="71"/>
      <c r="E1201" s="71"/>
      <c r="F1201" s="71"/>
      <c r="G1201" s="65"/>
      <c r="H1201" s="74"/>
      <c r="I1201" s="67" t="str">
        <f>IFERROR(__xludf.DUMMYFUNCTION("if($H1201="""", """", AVERAGE(split($H1201, "";"")))"),"")</f>
        <v/>
      </c>
      <c r="J1201" s="67" t="str">
        <f>IFERROR(__xludf.DUMMYFUNCTION("if(H1201="""", """", SUM(split(H1201, "";"")))"),"")</f>
        <v/>
      </c>
      <c r="K1201" s="68"/>
      <c r="L1201" s="68"/>
      <c r="M1201" s="68"/>
      <c r="N1201" s="68"/>
      <c r="O1201" s="68"/>
      <c r="P1201" s="68"/>
      <c r="Q1201" s="68"/>
      <c r="R1201" s="68"/>
      <c r="S1201" s="68"/>
      <c r="T1201" s="68"/>
      <c r="U1201" s="68"/>
      <c r="V1201" s="68"/>
      <c r="W1201" s="68"/>
      <c r="X1201" s="68"/>
      <c r="Y1201" s="68"/>
      <c r="Z1201" s="68"/>
      <c r="AA1201" s="68"/>
    </row>
    <row r="1202" ht="26.25" customHeight="1">
      <c r="A1202" s="68"/>
      <c r="B1202" s="68"/>
      <c r="C1202" s="68"/>
      <c r="D1202" s="71"/>
      <c r="E1202" s="71"/>
      <c r="F1202" s="71"/>
      <c r="G1202" s="65"/>
      <c r="H1202" s="74"/>
      <c r="I1202" s="67" t="str">
        <f>IFERROR(__xludf.DUMMYFUNCTION("if($H1202="""", """", AVERAGE(split($H1202, "";"")))"),"")</f>
        <v/>
      </c>
      <c r="J1202" s="67" t="str">
        <f>IFERROR(__xludf.DUMMYFUNCTION("if(H1202="""", """", SUM(split(H1202, "";"")))"),"")</f>
        <v/>
      </c>
      <c r="K1202" s="68"/>
      <c r="L1202" s="68"/>
      <c r="M1202" s="68"/>
      <c r="N1202" s="68"/>
      <c r="O1202" s="68"/>
      <c r="P1202" s="68"/>
      <c r="Q1202" s="68"/>
      <c r="R1202" s="68"/>
      <c r="S1202" s="68"/>
      <c r="T1202" s="68"/>
      <c r="U1202" s="68"/>
      <c r="V1202" s="68"/>
      <c r="W1202" s="68"/>
      <c r="X1202" s="68"/>
      <c r="Y1202" s="68"/>
      <c r="Z1202" s="68"/>
      <c r="AA1202" s="68"/>
    </row>
    <row r="1203" ht="26.25" customHeight="1">
      <c r="A1203" s="68"/>
      <c r="B1203" s="68"/>
      <c r="C1203" s="68"/>
      <c r="D1203" s="71"/>
      <c r="E1203" s="71"/>
      <c r="F1203" s="71"/>
      <c r="G1203" s="65"/>
      <c r="H1203" s="74"/>
      <c r="I1203" s="67" t="str">
        <f>IFERROR(__xludf.DUMMYFUNCTION("if($H1203="""", """", AVERAGE(split($H1203, "";"")))"),"")</f>
        <v/>
      </c>
      <c r="J1203" s="67" t="str">
        <f>IFERROR(__xludf.DUMMYFUNCTION("if(H1203="""", """", SUM(split(H1203, "";"")))"),"")</f>
        <v/>
      </c>
      <c r="K1203" s="68"/>
      <c r="L1203" s="68"/>
      <c r="M1203" s="68"/>
      <c r="N1203" s="68"/>
      <c r="O1203" s="68"/>
      <c r="P1203" s="68"/>
      <c r="Q1203" s="68"/>
      <c r="R1203" s="68"/>
      <c r="S1203" s="68"/>
      <c r="T1203" s="68"/>
      <c r="U1203" s="68"/>
      <c r="V1203" s="68"/>
      <c r="W1203" s="68"/>
      <c r="X1203" s="68"/>
      <c r="Y1203" s="68"/>
      <c r="Z1203" s="68"/>
      <c r="AA1203" s="68"/>
    </row>
    <row r="1204" ht="26.25" customHeight="1">
      <c r="A1204" s="68"/>
      <c r="B1204" s="68"/>
      <c r="C1204" s="68"/>
      <c r="D1204" s="71"/>
      <c r="E1204" s="71"/>
      <c r="F1204" s="71"/>
      <c r="G1204" s="65"/>
      <c r="H1204" s="74"/>
      <c r="I1204" s="67" t="str">
        <f>IFERROR(__xludf.DUMMYFUNCTION("if($H1204="""", """", AVERAGE(split($H1204, "";"")))"),"")</f>
        <v/>
      </c>
      <c r="J1204" s="67" t="str">
        <f>IFERROR(__xludf.DUMMYFUNCTION("if(H1204="""", """", SUM(split(H1204, "";"")))"),"")</f>
        <v/>
      </c>
      <c r="K1204" s="68"/>
      <c r="L1204" s="68"/>
      <c r="M1204" s="68"/>
      <c r="N1204" s="68"/>
      <c r="O1204" s="68"/>
      <c r="P1204" s="68"/>
      <c r="Q1204" s="68"/>
      <c r="R1204" s="68"/>
      <c r="S1204" s="68"/>
      <c r="T1204" s="68"/>
      <c r="U1204" s="68"/>
      <c r="V1204" s="68"/>
      <c r="W1204" s="68"/>
      <c r="X1204" s="68"/>
      <c r="Y1204" s="68"/>
      <c r="Z1204" s="68"/>
      <c r="AA1204" s="68"/>
    </row>
    <row r="1205" ht="26.25" customHeight="1">
      <c r="A1205" s="68"/>
      <c r="B1205" s="68"/>
      <c r="C1205" s="68"/>
      <c r="D1205" s="71"/>
      <c r="E1205" s="71"/>
      <c r="F1205" s="71"/>
      <c r="G1205" s="65"/>
      <c r="H1205" s="74"/>
      <c r="I1205" s="67" t="str">
        <f>IFERROR(__xludf.DUMMYFUNCTION("if($H1205="""", """", AVERAGE(split($H1205, "";"")))"),"")</f>
        <v/>
      </c>
      <c r="J1205" s="67" t="str">
        <f>IFERROR(__xludf.DUMMYFUNCTION("if(H1205="""", """", SUM(split(H1205, "";"")))"),"")</f>
        <v/>
      </c>
      <c r="K1205" s="68"/>
      <c r="L1205" s="68"/>
      <c r="M1205" s="68"/>
      <c r="N1205" s="68"/>
      <c r="O1205" s="68"/>
      <c r="P1205" s="68"/>
      <c r="Q1205" s="68"/>
      <c r="R1205" s="68"/>
      <c r="S1205" s="68"/>
      <c r="T1205" s="68"/>
      <c r="U1205" s="68"/>
      <c r="V1205" s="68"/>
      <c r="W1205" s="68"/>
      <c r="X1205" s="68"/>
      <c r="Y1205" s="68"/>
      <c r="Z1205" s="68"/>
      <c r="AA1205" s="68"/>
    </row>
    <row r="1206" ht="26.25" customHeight="1">
      <c r="A1206" s="68"/>
      <c r="B1206" s="68"/>
      <c r="C1206" s="68"/>
      <c r="D1206" s="71"/>
      <c r="E1206" s="71"/>
      <c r="F1206" s="71"/>
      <c r="G1206" s="65"/>
      <c r="H1206" s="74"/>
      <c r="I1206" s="67" t="str">
        <f>IFERROR(__xludf.DUMMYFUNCTION("if($H1206="""", """", AVERAGE(split($H1206, "";"")))"),"")</f>
        <v/>
      </c>
      <c r="J1206" s="67" t="str">
        <f>IFERROR(__xludf.DUMMYFUNCTION("if(H1206="""", """", SUM(split(H1206, "";"")))"),"")</f>
        <v/>
      </c>
      <c r="K1206" s="68"/>
      <c r="L1206" s="68"/>
      <c r="M1206" s="68"/>
      <c r="N1206" s="68"/>
      <c r="O1206" s="68"/>
      <c r="P1206" s="68"/>
      <c r="Q1206" s="68"/>
      <c r="R1206" s="68"/>
      <c r="S1206" s="68"/>
      <c r="T1206" s="68"/>
      <c r="U1206" s="68"/>
      <c r="V1206" s="68"/>
      <c r="W1206" s="68"/>
      <c r="X1206" s="68"/>
      <c r="Y1206" s="68"/>
      <c r="Z1206" s="68"/>
      <c r="AA1206" s="68"/>
    </row>
    <row r="1207" ht="26.25" customHeight="1">
      <c r="A1207" s="68"/>
      <c r="B1207" s="68"/>
      <c r="C1207" s="68"/>
      <c r="D1207" s="71"/>
      <c r="E1207" s="71"/>
      <c r="F1207" s="71"/>
      <c r="G1207" s="65"/>
      <c r="H1207" s="74"/>
      <c r="I1207" s="67" t="str">
        <f>IFERROR(__xludf.DUMMYFUNCTION("if($H1207="""", """", AVERAGE(split($H1207, "";"")))"),"")</f>
        <v/>
      </c>
      <c r="J1207" s="67" t="str">
        <f>IFERROR(__xludf.DUMMYFUNCTION("if(H1207="""", """", SUM(split(H1207, "";"")))"),"")</f>
        <v/>
      </c>
      <c r="K1207" s="68"/>
      <c r="L1207" s="68"/>
      <c r="M1207" s="68"/>
      <c r="N1207" s="68"/>
      <c r="O1207" s="68"/>
      <c r="P1207" s="68"/>
      <c r="Q1207" s="68"/>
      <c r="R1207" s="68"/>
      <c r="S1207" s="68"/>
      <c r="T1207" s="68"/>
      <c r="U1207" s="68"/>
      <c r="V1207" s="68"/>
      <c r="W1207" s="68"/>
      <c r="X1207" s="68"/>
      <c r="Y1207" s="68"/>
      <c r="Z1207" s="68"/>
      <c r="AA1207" s="68"/>
    </row>
    <row r="1208" ht="26.25" customHeight="1">
      <c r="A1208" s="68"/>
      <c r="B1208" s="68"/>
      <c r="C1208" s="68"/>
      <c r="D1208" s="71"/>
      <c r="E1208" s="71"/>
      <c r="F1208" s="71"/>
      <c r="G1208" s="65"/>
      <c r="H1208" s="74"/>
      <c r="I1208" s="67" t="str">
        <f>IFERROR(__xludf.DUMMYFUNCTION("if($H1208="""", """", AVERAGE(split($H1208, "";"")))"),"")</f>
        <v/>
      </c>
      <c r="J1208" s="67" t="str">
        <f>IFERROR(__xludf.DUMMYFUNCTION("if(H1208="""", """", SUM(split(H1208, "";"")))"),"")</f>
        <v/>
      </c>
      <c r="K1208" s="68"/>
      <c r="L1208" s="68"/>
      <c r="M1208" s="68"/>
      <c r="N1208" s="68"/>
      <c r="O1208" s="68"/>
      <c r="P1208" s="68"/>
      <c r="Q1208" s="68"/>
      <c r="R1208" s="68"/>
      <c r="S1208" s="68"/>
      <c r="T1208" s="68"/>
      <c r="U1208" s="68"/>
      <c r="V1208" s="68"/>
      <c r="W1208" s="68"/>
      <c r="X1208" s="68"/>
      <c r="Y1208" s="68"/>
      <c r="Z1208" s="68"/>
      <c r="AA1208" s="68"/>
    </row>
    <row r="1209" ht="26.25" customHeight="1">
      <c r="A1209" s="68"/>
      <c r="B1209" s="68"/>
      <c r="C1209" s="68"/>
      <c r="D1209" s="71"/>
      <c r="E1209" s="71"/>
      <c r="F1209" s="71"/>
      <c r="G1209" s="65"/>
      <c r="H1209" s="74"/>
      <c r="I1209" s="67" t="str">
        <f>IFERROR(__xludf.DUMMYFUNCTION("if($H1209="""", """", AVERAGE(split($H1209, "";"")))"),"")</f>
        <v/>
      </c>
      <c r="J1209" s="67" t="str">
        <f>IFERROR(__xludf.DUMMYFUNCTION("if(H1209="""", """", SUM(split(H1209, "";"")))"),"")</f>
        <v/>
      </c>
      <c r="K1209" s="68"/>
      <c r="L1209" s="68"/>
      <c r="M1209" s="68"/>
      <c r="N1209" s="68"/>
      <c r="O1209" s="68"/>
      <c r="P1209" s="68"/>
      <c r="Q1209" s="68"/>
      <c r="R1209" s="68"/>
      <c r="S1209" s="68"/>
      <c r="T1209" s="68"/>
      <c r="U1209" s="68"/>
      <c r="V1209" s="68"/>
      <c r="W1209" s="68"/>
      <c r="X1209" s="68"/>
      <c r="Y1209" s="68"/>
      <c r="Z1209" s="68"/>
      <c r="AA1209" s="68"/>
    </row>
    <row r="1210" ht="26.25" customHeight="1">
      <c r="A1210" s="68"/>
      <c r="B1210" s="68"/>
      <c r="C1210" s="68"/>
      <c r="D1210" s="71"/>
      <c r="E1210" s="71"/>
      <c r="F1210" s="71"/>
      <c r="G1210" s="65"/>
      <c r="H1210" s="74"/>
      <c r="I1210" s="67" t="str">
        <f>IFERROR(__xludf.DUMMYFUNCTION("if($H1210="""", """", AVERAGE(split($H1210, "";"")))"),"")</f>
        <v/>
      </c>
      <c r="J1210" s="67" t="str">
        <f>IFERROR(__xludf.DUMMYFUNCTION("if(H1210="""", """", SUM(split(H1210, "";"")))"),"")</f>
        <v/>
      </c>
      <c r="K1210" s="68"/>
      <c r="L1210" s="68"/>
      <c r="M1210" s="68"/>
      <c r="N1210" s="68"/>
      <c r="O1210" s="68"/>
      <c r="P1210" s="68"/>
      <c r="Q1210" s="68"/>
      <c r="R1210" s="68"/>
      <c r="S1210" s="68"/>
      <c r="T1210" s="68"/>
      <c r="U1210" s="68"/>
      <c r="V1210" s="68"/>
      <c r="W1210" s="68"/>
      <c r="X1210" s="68"/>
      <c r="Y1210" s="68"/>
      <c r="Z1210" s="68"/>
      <c r="AA1210" s="68"/>
    </row>
    <row r="1211" ht="26.25" customHeight="1">
      <c r="A1211" s="68"/>
      <c r="B1211" s="68"/>
      <c r="C1211" s="68"/>
      <c r="D1211" s="71"/>
      <c r="E1211" s="71"/>
      <c r="F1211" s="71"/>
      <c r="G1211" s="65"/>
      <c r="H1211" s="74"/>
      <c r="I1211" s="67" t="str">
        <f>IFERROR(__xludf.DUMMYFUNCTION("if($H1211="""", """", AVERAGE(split($H1211, "";"")))"),"")</f>
        <v/>
      </c>
      <c r="J1211" s="67" t="str">
        <f>IFERROR(__xludf.DUMMYFUNCTION("if(H1211="""", """", SUM(split(H1211, "";"")))"),"")</f>
        <v/>
      </c>
      <c r="K1211" s="68"/>
      <c r="L1211" s="68"/>
      <c r="M1211" s="68"/>
      <c r="N1211" s="68"/>
      <c r="O1211" s="68"/>
      <c r="P1211" s="68"/>
      <c r="Q1211" s="68"/>
      <c r="R1211" s="68"/>
      <c r="S1211" s="68"/>
      <c r="T1211" s="68"/>
      <c r="U1211" s="68"/>
      <c r="V1211" s="68"/>
      <c r="W1211" s="68"/>
      <c r="X1211" s="68"/>
      <c r="Y1211" s="68"/>
      <c r="Z1211" s="68"/>
      <c r="AA1211" s="68"/>
    </row>
    <row r="1212" ht="26.25" customHeight="1">
      <c r="A1212" s="68"/>
      <c r="B1212" s="68"/>
      <c r="C1212" s="68"/>
      <c r="D1212" s="71"/>
      <c r="E1212" s="71"/>
      <c r="F1212" s="71"/>
      <c r="G1212" s="65"/>
      <c r="H1212" s="74"/>
      <c r="I1212" s="67" t="str">
        <f>IFERROR(__xludf.DUMMYFUNCTION("if($H1212="""", """", AVERAGE(split($H1212, "";"")))"),"")</f>
        <v/>
      </c>
      <c r="J1212" s="67" t="str">
        <f>IFERROR(__xludf.DUMMYFUNCTION("if(H1212="""", """", SUM(split(H1212, "";"")))"),"")</f>
        <v/>
      </c>
      <c r="K1212" s="68"/>
      <c r="L1212" s="68"/>
      <c r="M1212" s="68"/>
      <c r="N1212" s="68"/>
      <c r="O1212" s="68"/>
      <c r="P1212" s="68"/>
      <c r="Q1212" s="68"/>
      <c r="R1212" s="68"/>
      <c r="S1212" s="68"/>
      <c r="T1212" s="68"/>
      <c r="U1212" s="68"/>
      <c r="V1212" s="68"/>
      <c r="W1212" s="68"/>
      <c r="X1212" s="68"/>
      <c r="Y1212" s="68"/>
      <c r="Z1212" s="68"/>
      <c r="AA1212" s="68"/>
    </row>
    <row r="1213" ht="26.25" customHeight="1">
      <c r="A1213" s="68"/>
      <c r="B1213" s="68"/>
      <c r="C1213" s="68"/>
      <c r="D1213" s="71"/>
      <c r="E1213" s="71"/>
      <c r="F1213" s="71"/>
      <c r="G1213" s="65"/>
      <c r="H1213" s="74"/>
      <c r="I1213" s="67" t="str">
        <f>IFERROR(__xludf.DUMMYFUNCTION("if($H1213="""", """", AVERAGE(split($H1213, "";"")))"),"")</f>
        <v/>
      </c>
      <c r="J1213" s="67" t="str">
        <f>IFERROR(__xludf.DUMMYFUNCTION("if(H1213="""", """", SUM(split(H1213, "";"")))"),"")</f>
        <v/>
      </c>
      <c r="K1213" s="68"/>
      <c r="L1213" s="68"/>
      <c r="M1213" s="68"/>
      <c r="N1213" s="68"/>
      <c r="O1213" s="68"/>
      <c r="P1213" s="68"/>
      <c r="Q1213" s="68"/>
      <c r="R1213" s="68"/>
      <c r="S1213" s="68"/>
      <c r="T1213" s="68"/>
      <c r="U1213" s="68"/>
      <c r="V1213" s="68"/>
      <c r="W1213" s="68"/>
      <c r="X1213" s="68"/>
      <c r="Y1213" s="68"/>
      <c r="Z1213" s="68"/>
      <c r="AA1213" s="68"/>
    </row>
    <row r="1214" ht="26.25" customHeight="1">
      <c r="A1214" s="68"/>
      <c r="B1214" s="68"/>
      <c r="C1214" s="68"/>
      <c r="D1214" s="71"/>
      <c r="E1214" s="71"/>
      <c r="F1214" s="71"/>
      <c r="G1214" s="65"/>
      <c r="H1214" s="74"/>
      <c r="I1214" s="67" t="str">
        <f>IFERROR(__xludf.DUMMYFUNCTION("if($H1214="""", """", AVERAGE(split($H1214, "";"")))"),"")</f>
        <v/>
      </c>
      <c r="J1214" s="67" t="str">
        <f>IFERROR(__xludf.DUMMYFUNCTION("if(H1214="""", """", SUM(split(H1214, "";"")))"),"")</f>
        <v/>
      </c>
      <c r="K1214" s="68"/>
      <c r="L1214" s="68"/>
      <c r="M1214" s="68"/>
      <c r="N1214" s="68"/>
      <c r="O1214" s="68"/>
      <c r="P1214" s="68"/>
      <c r="Q1214" s="68"/>
      <c r="R1214" s="68"/>
      <c r="S1214" s="68"/>
      <c r="T1214" s="68"/>
      <c r="U1214" s="68"/>
      <c r="V1214" s="68"/>
      <c r="W1214" s="68"/>
      <c r="X1214" s="68"/>
      <c r="Y1214" s="68"/>
      <c r="Z1214" s="68"/>
      <c r="AA1214" s="68"/>
    </row>
    <row r="1215" ht="26.25" customHeight="1">
      <c r="A1215" s="68"/>
      <c r="B1215" s="68"/>
      <c r="C1215" s="68"/>
      <c r="D1215" s="71"/>
      <c r="E1215" s="71"/>
      <c r="F1215" s="71"/>
      <c r="G1215" s="65"/>
      <c r="H1215" s="74"/>
      <c r="I1215" s="67" t="str">
        <f>IFERROR(__xludf.DUMMYFUNCTION("if($H1215="""", """", AVERAGE(split($H1215, "";"")))"),"")</f>
        <v/>
      </c>
      <c r="J1215" s="67" t="str">
        <f>IFERROR(__xludf.DUMMYFUNCTION("if(H1215="""", """", SUM(split(H1215, "";"")))"),"")</f>
        <v/>
      </c>
      <c r="K1215" s="68"/>
      <c r="L1215" s="68"/>
      <c r="M1215" s="68"/>
      <c r="N1215" s="68"/>
      <c r="O1215" s="68"/>
      <c r="P1215" s="68"/>
      <c r="Q1215" s="68"/>
      <c r="R1215" s="68"/>
      <c r="S1215" s="68"/>
      <c r="T1215" s="68"/>
      <c r="U1215" s="68"/>
      <c r="V1215" s="68"/>
      <c r="W1215" s="68"/>
      <c r="X1215" s="68"/>
      <c r="Y1215" s="68"/>
      <c r="Z1215" s="68"/>
      <c r="AA1215" s="68"/>
    </row>
    <row r="1216" ht="26.25" customHeight="1">
      <c r="A1216" s="68"/>
      <c r="B1216" s="68"/>
      <c r="C1216" s="68"/>
      <c r="D1216" s="71"/>
      <c r="E1216" s="71"/>
      <c r="F1216" s="71"/>
      <c r="G1216" s="65"/>
      <c r="H1216" s="74"/>
      <c r="I1216" s="67" t="str">
        <f>IFERROR(__xludf.DUMMYFUNCTION("if($H1216="""", """", AVERAGE(split($H1216, "";"")))"),"")</f>
        <v/>
      </c>
      <c r="J1216" s="67" t="str">
        <f>IFERROR(__xludf.DUMMYFUNCTION("if(H1216="""", """", SUM(split(H1216, "";"")))"),"")</f>
        <v/>
      </c>
      <c r="K1216" s="68"/>
      <c r="L1216" s="68"/>
      <c r="M1216" s="68"/>
      <c r="N1216" s="68"/>
      <c r="O1216" s="68"/>
      <c r="P1216" s="68"/>
      <c r="Q1216" s="68"/>
      <c r="R1216" s="68"/>
      <c r="S1216" s="68"/>
      <c r="T1216" s="68"/>
      <c r="U1216" s="68"/>
      <c r="V1216" s="68"/>
      <c r="W1216" s="68"/>
      <c r="X1216" s="68"/>
      <c r="Y1216" s="68"/>
      <c r="Z1216" s="68"/>
      <c r="AA1216" s="68"/>
    </row>
    <row r="1217" ht="26.25" customHeight="1">
      <c r="A1217" s="68"/>
      <c r="B1217" s="68"/>
      <c r="C1217" s="68"/>
      <c r="D1217" s="71"/>
      <c r="E1217" s="71"/>
      <c r="F1217" s="71"/>
      <c r="G1217" s="65"/>
      <c r="H1217" s="74"/>
      <c r="I1217" s="67" t="str">
        <f>IFERROR(__xludf.DUMMYFUNCTION("if($H1217="""", """", AVERAGE(split($H1217, "";"")))"),"")</f>
        <v/>
      </c>
      <c r="J1217" s="67" t="str">
        <f>IFERROR(__xludf.DUMMYFUNCTION("if(H1217="""", """", SUM(split(H1217, "";"")))"),"")</f>
        <v/>
      </c>
      <c r="K1217" s="68"/>
      <c r="L1217" s="68"/>
      <c r="M1217" s="68"/>
      <c r="N1217" s="68"/>
      <c r="O1217" s="68"/>
      <c r="P1217" s="68"/>
      <c r="Q1217" s="68"/>
      <c r="R1217" s="68"/>
      <c r="S1217" s="68"/>
      <c r="T1217" s="68"/>
      <c r="U1217" s="68"/>
      <c r="V1217" s="68"/>
      <c r="W1217" s="68"/>
      <c r="X1217" s="68"/>
      <c r="Y1217" s="68"/>
      <c r="Z1217" s="68"/>
      <c r="AA1217" s="68"/>
    </row>
    <row r="1218" ht="26.25" customHeight="1">
      <c r="A1218" s="68"/>
      <c r="B1218" s="68"/>
      <c r="C1218" s="68"/>
      <c r="D1218" s="71"/>
      <c r="E1218" s="71"/>
      <c r="F1218" s="71"/>
      <c r="G1218" s="65"/>
      <c r="H1218" s="74"/>
      <c r="I1218" s="67" t="str">
        <f>IFERROR(__xludf.DUMMYFUNCTION("if($H1218="""", """", AVERAGE(split($H1218, "";"")))"),"")</f>
        <v/>
      </c>
      <c r="J1218" s="67" t="str">
        <f>IFERROR(__xludf.DUMMYFUNCTION("if(H1218="""", """", SUM(split(H1218, "";"")))"),"")</f>
        <v/>
      </c>
      <c r="K1218" s="68"/>
      <c r="L1218" s="68"/>
      <c r="M1218" s="68"/>
      <c r="N1218" s="68"/>
      <c r="O1218" s="68"/>
      <c r="P1218" s="68"/>
      <c r="Q1218" s="68"/>
      <c r="R1218" s="68"/>
      <c r="S1218" s="68"/>
      <c r="T1218" s="68"/>
      <c r="U1218" s="68"/>
      <c r="V1218" s="68"/>
      <c r="W1218" s="68"/>
      <c r="X1218" s="68"/>
      <c r="Y1218" s="68"/>
      <c r="Z1218" s="68"/>
      <c r="AA1218" s="68"/>
    </row>
    <row r="1219" ht="26.25" customHeight="1">
      <c r="A1219" s="68"/>
      <c r="B1219" s="68"/>
      <c r="C1219" s="68"/>
      <c r="D1219" s="71"/>
      <c r="E1219" s="71"/>
      <c r="F1219" s="71"/>
      <c r="G1219" s="65"/>
      <c r="H1219" s="74"/>
      <c r="I1219" s="67" t="str">
        <f>IFERROR(__xludf.DUMMYFUNCTION("if($H1219="""", """", AVERAGE(split($H1219, "";"")))"),"")</f>
        <v/>
      </c>
      <c r="J1219" s="67" t="str">
        <f>IFERROR(__xludf.DUMMYFUNCTION("if(H1219="""", """", SUM(split(H1219, "";"")))"),"")</f>
        <v/>
      </c>
      <c r="K1219" s="68"/>
      <c r="L1219" s="68"/>
      <c r="M1219" s="68"/>
      <c r="N1219" s="68"/>
      <c r="O1219" s="68"/>
      <c r="P1219" s="68"/>
      <c r="Q1219" s="68"/>
      <c r="R1219" s="68"/>
      <c r="S1219" s="68"/>
      <c r="T1219" s="68"/>
      <c r="U1219" s="68"/>
      <c r="V1219" s="68"/>
      <c r="W1219" s="68"/>
      <c r="X1219" s="68"/>
      <c r="Y1219" s="68"/>
      <c r="Z1219" s="68"/>
      <c r="AA1219" s="68"/>
    </row>
    <row r="1220" ht="26.25" customHeight="1">
      <c r="A1220" s="68"/>
      <c r="B1220" s="68"/>
      <c r="C1220" s="68"/>
      <c r="D1220" s="71"/>
      <c r="E1220" s="71"/>
      <c r="F1220" s="71"/>
      <c r="G1220" s="65"/>
      <c r="H1220" s="74"/>
      <c r="I1220" s="67" t="str">
        <f>IFERROR(__xludf.DUMMYFUNCTION("if($H1220="""", """", AVERAGE(split($H1220, "";"")))"),"")</f>
        <v/>
      </c>
      <c r="J1220" s="67" t="str">
        <f>IFERROR(__xludf.DUMMYFUNCTION("if(H1220="""", """", SUM(split(H1220, "";"")))"),"")</f>
        <v/>
      </c>
      <c r="K1220" s="68"/>
      <c r="L1220" s="68"/>
      <c r="M1220" s="68"/>
      <c r="N1220" s="68"/>
      <c r="O1220" s="68"/>
      <c r="P1220" s="68"/>
      <c r="Q1220" s="68"/>
      <c r="R1220" s="68"/>
      <c r="S1220" s="68"/>
      <c r="T1220" s="68"/>
      <c r="U1220" s="68"/>
      <c r="V1220" s="68"/>
      <c r="W1220" s="68"/>
      <c r="X1220" s="68"/>
      <c r="Y1220" s="68"/>
      <c r="Z1220" s="68"/>
      <c r="AA1220" s="68"/>
    </row>
    <row r="1221" ht="26.25" customHeight="1">
      <c r="A1221" s="68"/>
      <c r="B1221" s="68"/>
      <c r="C1221" s="68"/>
      <c r="D1221" s="71"/>
      <c r="E1221" s="71"/>
      <c r="F1221" s="71"/>
      <c r="G1221" s="65"/>
      <c r="H1221" s="74"/>
      <c r="I1221" s="67" t="str">
        <f>IFERROR(__xludf.DUMMYFUNCTION("if($H1221="""", """", AVERAGE(split($H1221, "";"")))"),"")</f>
        <v/>
      </c>
      <c r="J1221" s="67" t="str">
        <f>IFERROR(__xludf.DUMMYFUNCTION("if(H1221="""", """", SUM(split(H1221, "";"")))"),"")</f>
        <v/>
      </c>
      <c r="K1221" s="68"/>
      <c r="L1221" s="68"/>
      <c r="M1221" s="68"/>
      <c r="N1221" s="68"/>
      <c r="O1221" s="68"/>
      <c r="P1221" s="68"/>
      <c r="Q1221" s="68"/>
      <c r="R1221" s="68"/>
      <c r="S1221" s="68"/>
      <c r="T1221" s="68"/>
      <c r="U1221" s="68"/>
      <c r="V1221" s="68"/>
      <c r="W1221" s="68"/>
      <c r="X1221" s="68"/>
      <c r="Y1221" s="68"/>
      <c r="Z1221" s="68"/>
      <c r="AA1221" s="68"/>
    </row>
    <row r="1222" ht="26.25" customHeight="1">
      <c r="A1222" s="68"/>
      <c r="B1222" s="68"/>
      <c r="C1222" s="68"/>
      <c r="D1222" s="71"/>
      <c r="E1222" s="71"/>
      <c r="F1222" s="71"/>
      <c r="G1222" s="65"/>
      <c r="H1222" s="74"/>
      <c r="I1222" s="67" t="str">
        <f>IFERROR(__xludf.DUMMYFUNCTION("if($H1222="""", """", AVERAGE(split($H1222, "";"")))"),"")</f>
        <v/>
      </c>
      <c r="J1222" s="67" t="str">
        <f>IFERROR(__xludf.DUMMYFUNCTION("if(H1222="""", """", SUM(split(H1222, "";"")))"),"")</f>
        <v/>
      </c>
      <c r="K1222" s="68"/>
      <c r="L1222" s="68"/>
      <c r="M1222" s="68"/>
      <c r="N1222" s="68"/>
      <c r="O1222" s="68"/>
      <c r="P1222" s="68"/>
      <c r="Q1222" s="68"/>
      <c r="R1222" s="68"/>
      <c r="S1222" s="68"/>
      <c r="T1222" s="68"/>
      <c r="U1222" s="68"/>
      <c r="V1222" s="68"/>
      <c r="W1222" s="68"/>
      <c r="X1222" s="68"/>
      <c r="Y1222" s="68"/>
      <c r="Z1222" s="68"/>
      <c r="AA1222" s="68"/>
    </row>
    <row r="1223" ht="26.25" customHeight="1">
      <c r="A1223" s="68"/>
      <c r="B1223" s="68"/>
      <c r="C1223" s="68"/>
      <c r="D1223" s="71"/>
      <c r="E1223" s="71"/>
      <c r="F1223" s="71"/>
      <c r="G1223" s="65"/>
      <c r="H1223" s="74"/>
      <c r="I1223" s="67" t="str">
        <f>IFERROR(__xludf.DUMMYFUNCTION("if($H1223="""", """", AVERAGE(split($H1223, "";"")))"),"")</f>
        <v/>
      </c>
      <c r="J1223" s="67" t="str">
        <f>IFERROR(__xludf.DUMMYFUNCTION("if(H1223="""", """", SUM(split(H1223, "";"")))"),"")</f>
        <v/>
      </c>
      <c r="K1223" s="68"/>
      <c r="L1223" s="68"/>
      <c r="M1223" s="68"/>
      <c r="N1223" s="68"/>
      <c r="O1223" s="68"/>
      <c r="P1223" s="68"/>
      <c r="Q1223" s="68"/>
      <c r="R1223" s="68"/>
      <c r="S1223" s="68"/>
      <c r="T1223" s="68"/>
      <c r="U1223" s="68"/>
      <c r="V1223" s="68"/>
      <c r="W1223" s="68"/>
      <c r="X1223" s="68"/>
      <c r="Y1223" s="68"/>
      <c r="Z1223" s="68"/>
      <c r="AA1223" s="68"/>
    </row>
    <row r="1224" ht="26.25" customHeight="1">
      <c r="A1224" s="68"/>
      <c r="B1224" s="68"/>
      <c r="C1224" s="68"/>
      <c r="D1224" s="71"/>
      <c r="E1224" s="71"/>
      <c r="F1224" s="71"/>
      <c r="G1224" s="65"/>
      <c r="H1224" s="74"/>
      <c r="I1224" s="67" t="str">
        <f>IFERROR(__xludf.DUMMYFUNCTION("if($H1224="""", """", AVERAGE(split($H1224, "";"")))"),"")</f>
        <v/>
      </c>
      <c r="J1224" s="67" t="str">
        <f>IFERROR(__xludf.DUMMYFUNCTION("if(H1224="""", """", SUM(split(H1224, "";"")))"),"")</f>
        <v/>
      </c>
      <c r="K1224" s="68"/>
      <c r="L1224" s="68"/>
      <c r="M1224" s="68"/>
      <c r="N1224" s="68"/>
      <c r="O1224" s="68"/>
      <c r="P1224" s="68"/>
      <c r="Q1224" s="68"/>
      <c r="R1224" s="68"/>
      <c r="S1224" s="68"/>
      <c r="T1224" s="68"/>
      <c r="U1224" s="68"/>
      <c r="V1224" s="68"/>
      <c r="W1224" s="68"/>
      <c r="X1224" s="68"/>
      <c r="Y1224" s="68"/>
      <c r="Z1224" s="68"/>
      <c r="AA1224" s="68"/>
    </row>
    <row r="1225" ht="26.25" customHeight="1">
      <c r="A1225" s="68"/>
      <c r="B1225" s="68"/>
      <c r="C1225" s="68"/>
      <c r="D1225" s="71"/>
      <c r="E1225" s="71"/>
      <c r="F1225" s="71"/>
      <c r="G1225" s="65"/>
      <c r="H1225" s="74"/>
      <c r="I1225" s="67" t="str">
        <f>IFERROR(__xludf.DUMMYFUNCTION("if($H1225="""", """", AVERAGE(split($H1225, "";"")))"),"")</f>
        <v/>
      </c>
      <c r="J1225" s="67" t="str">
        <f>IFERROR(__xludf.DUMMYFUNCTION("if(H1225="""", """", SUM(split(H1225, "";"")))"),"")</f>
        <v/>
      </c>
      <c r="K1225" s="68"/>
      <c r="L1225" s="68"/>
      <c r="M1225" s="68"/>
      <c r="N1225" s="68"/>
      <c r="O1225" s="68"/>
      <c r="P1225" s="68"/>
      <c r="Q1225" s="68"/>
      <c r="R1225" s="68"/>
      <c r="S1225" s="68"/>
      <c r="T1225" s="68"/>
      <c r="U1225" s="68"/>
      <c r="V1225" s="68"/>
      <c r="W1225" s="68"/>
      <c r="X1225" s="68"/>
      <c r="Y1225" s="68"/>
      <c r="Z1225" s="68"/>
      <c r="AA1225" s="68"/>
    </row>
    <row r="1226" ht="26.25" customHeight="1">
      <c r="A1226" s="68"/>
      <c r="B1226" s="68"/>
      <c r="C1226" s="68"/>
      <c r="D1226" s="71"/>
      <c r="E1226" s="71"/>
      <c r="F1226" s="71"/>
      <c r="G1226" s="65"/>
      <c r="H1226" s="74"/>
      <c r="I1226" s="67" t="str">
        <f>IFERROR(__xludf.DUMMYFUNCTION("if($H1226="""", """", AVERAGE(split($H1226, "";"")))"),"")</f>
        <v/>
      </c>
      <c r="J1226" s="67" t="str">
        <f>IFERROR(__xludf.DUMMYFUNCTION("if(H1226="""", """", SUM(split(H1226, "";"")))"),"")</f>
        <v/>
      </c>
      <c r="K1226" s="68"/>
      <c r="L1226" s="68"/>
      <c r="M1226" s="68"/>
      <c r="N1226" s="68"/>
      <c r="O1226" s="68"/>
      <c r="P1226" s="68"/>
      <c r="Q1226" s="68"/>
      <c r="R1226" s="68"/>
      <c r="S1226" s="68"/>
      <c r="T1226" s="68"/>
      <c r="U1226" s="68"/>
      <c r="V1226" s="68"/>
      <c r="W1226" s="68"/>
      <c r="X1226" s="68"/>
      <c r="Y1226" s="68"/>
      <c r="Z1226" s="68"/>
      <c r="AA1226" s="68"/>
    </row>
    <row r="1227" ht="26.25" customHeight="1">
      <c r="A1227" s="68"/>
      <c r="B1227" s="68"/>
      <c r="C1227" s="68"/>
      <c r="D1227" s="71"/>
      <c r="E1227" s="71"/>
      <c r="F1227" s="71"/>
      <c r="G1227" s="65"/>
      <c r="H1227" s="74"/>
      <c r="I1227" s="67" t="str">
        <f>IFERROR(__xludf.DUMMYFUNCTION("if($H1227="""", """", AVERAGE(split($H1227, "";"")))"),"")</f>
        <v/>
      </c>
      <c r="J1227" s="67" t="str">
        <f>IFERROR(__xludf.DUMMYFUNCTION("if(H1227="""", """", SUM(split(H1227, "";"")))"),"")</f>
        <v/>
      </c>
      <c r="K1227" s="68"/>
      <c r="L1227" s="68"/>
      <c r="M1227" s="68"/>
      <c r="N1227" s="68"/>
      <c r="O1227" s="68"/>
      <c r="P1227" s="68"/>
      <c r="Q1227" s="68"/>
      <c r="R1227" s="68"/>
      <c r="S1227" s="68"/>
      <c r="T1227" s="68"/>
      <c r="U1227" s="68"/>
      <c r="V1227" s="68"/>
      <c r="W1227" s="68"/>
      <c r="X1227" s="68"/>
      <c r="Y1227" s="68"/>
      <c r="Z1227" s="68"/>
      <c r="AA1227" s="68"/>
    </row>
    <row r="1228" ht="26.25" customHeight="1">
      <c r="A1228" s="68"/>
      <c r="B1228" s="68"/>
      <c r="C1228" s="68"/>
      <c r="D1228" s="71"/>
      <c r="E1228" s="71"/>
      <c r="F1228" s="71"/>
      <c r="G1228" s="65"/>
      <c r="H1228" s="74"/>
      <c r="I1228" s="67" t="str">
        <f>IFERROR(__xludf.DUMMYFUNCTION("if($H1228="""", """", AVERAGE(split($H1228, "";"")))"),"")</f>
        <v/>
      </c>
      <c r="J1228" s="67" t="str">
        <f>IFERROR(__xludf.DUMMYFUNCTION("if(H1228="""", """", SUM(split(H1228, "";"")))"),"")</f>
        <v/>
      </c>
      <c r="K1228" s="68"/>
      <c r="L1228" s="68"/>
      <c r="M1228" s="68"/>
      <c r="N1228" s="68"/>
      <c r="O1228" s="68"/>
      <c r="P1228" s="68"/>
      <c r="Q1228" s="68"/>
      <c r="R1228" s="68"/>
      <c r="S1228" s="68"/>
      <c r="T1228" s="68"/>
      <c r="U1228" s="68"/>
      <c r="V1228" s="68"/>
      <c r="W1228" s="68"/>
      <c r="X1228" s="68"/>
      <c r="Y1228" s="68"/>
      <c r="Z1228" s="68"/>
      <c r="AA1228" s="68"/>
    </row>
    <row r="1229" ht="26.25" customHeight="1">
      <c r="A1229" s="68"/>
      <c r="B1229" s="68"/>
      <c r="C1229" s="68"/>
      <c r="D1229" s="71"/>
      <c r="E1229" s="71"/>
      <c r="F1229" s="71"/>
      <c r="G1229" s="65"/>
      <c r="H1229" s="74"/>
      <c r="I1229" s="67" t="str">
        <f>IFERROR(__xludf.DUMMYFUNCTION("if($H1229="""", """", AVERAGE(split($H1229, "";"")))"),"")</f>
        <v/>
      </c>
      <c r="J1229" s="67" t="str">
        <f>IFERROR(__xludf.DUMMYFUNCTION("if(H1229="""", """", SUM(split(H1229, "";"")))"),"")</f>
        <v/>
      </c>
      <c r="K1229" s="68"/>
      <c r="L1229" s="68"/>
      <c r="M1229" s="68"/>
      <c r="N1229" s="68"/>
      <c r="O1229" s="68"/>
      <c r="P1229" s="68"/>
      <c r="Q1229" s="68"/>
      <c r="R1229" s="68"/>
      <c r="S1229" s="68"/>
      <c r="T1229" s="68"/>
      <c r="U1229" s="68"/>
      <c r="V1229" s="68"/>
      <c r="W1229" s="68"/>
      <c r="X1229" s="68"/>
      <c r="Y1229" s="68"/>
      <c r="Z1229" s="68"/>
      <c r="AA1229" s="68"/>
    </row>
    <row r="1230" ht="26.25" customHeight="1">
      <c r="A1230" s="68"/>
      <c r="B1230" s="68"/>
      <c r="C1230" s="68"/>
      <c r="D1230" s="71"/>
      <c r="E1230" s="71"/>
      <c r="F1230" s="71"/>
      <c r="G1230" s="65"/>
      <c r="H1230" s="74"/>
      <c r="I1230" s="67" t="str">
        <f>IFERROR(__xludf.DUMMYFUNCTION("if($H1230="""", """", AVERAGE(split($H1230, "";"")))"),"")</f>
        <v/>
      </c>
      <c r="J1230" s="67" t="str">
        <f>IFERROR(__xludf.DUMMYFUNCTION("if(H1230="""", """", SUM(split(H1230, "";"")))"),"")</f>
        <v/>
      </c>
      <c r="K1230" s="68"/>
      <c r="L1230" s="68"/>
      <c r="M1230" s="68"/>
      <c r="N1230" s="68"/>
      <c r="O1230" s="68"/>
      <c r="P1230" s="68"/>
      <c r="Q1230" s="68"/>
      <c r="R1230" s="68"/>
      <c r="S1230" s="68"/>
      <c r="T1230" s="68"/>
      <c r="U1230" s="68"/>
      <c r="V1230" s="68"/>
      <c r="W1230" s="68"/>
      <c r="X1230" s="68"/>
      <c r="Y1230" s="68"/>
      <c r="Z1230" s="68"/>
      <c r="AA1230" s="68"/>
    </row>
    <row r="1231" ht="26.25" customHeight="1">
      <c r="A1231" s="68"/>
      <c r="B1231" s="68"/>
      <c r="C1231" s="68"/>
      <c r="D1231" s="71"/>
      <c r="E1231" s="71"/>
      <c r="F1231" s="71"/>
      <c r="G1231" s="65"/>
      <c r="H1231" s="74"/>
      <c r="I1231" s="67" t="str">
        <f>IFERROR(__xludf.DUMMYFUNCTION("if($H1231="""", """", AVERAGE(split($H1231, "";"")))"),"")</f>
        <v/>
      </c>
      <c r="J1231" s="67" t="str">
        <f>IFERROR(__xludf.DUMMYFUNCTION("if(H1231="""", """", SUM(split(H1231, "";"")))"),"")</f>
        <v/>
      </c>
      <c r="K1231" s="68"/>
      <c r="L1231" s="68"/>
      <c r="M1231" s="68"/>
      <c r="N1231" s="68"/>
      <c r="O1231" s="68"/>
      <c r="P1231" s="68"/>
      <c r="Q1231" s="68"/>
      <c r="R1231" s="68"/>
      <c r="S1231" s="68"/>
      <c r="T1231" s="68"/>
      <c r="U1231" s="68"/>
      <c r="V1231" s="68"/>
      <c r="W1231" s="68"/>
      <c r="X1231" s="68"/>
      <c r="Y1231" s="68"/>
      <c r="Z1231" s="68"/>
      <c r="AA1231" s="68"/>
    </row>
    <row r="1232" ht="26.25" customHeight="1">
      <c r="A1232" s="68"/>
      <c r="B1232" s="68"/>
      <c r="C1232" s="68"/>
      <c r="D1232" s="71"/>
      <c r="E1232" s="71"/>
      <c r="F1232" s="71"/>
      <c r="G1232" s="65"/>
      <c r="H1232" s="74"/>
      <c r="I1232" s="67" t="str">
        <f>IFERROR(__xludf.DUMMYFUNCTION("if($H1232="""", """", AVERAGE(split($H1232, "";"")))"),"")</f>
        <v/>
      </c>
      <c r="J1232" s="67" t="str">
        <f>IFERROR(__xludf.DUMMYFUNCTION("if(H1232="""", """", SUM(split(H1232, "";"")))"),"")</f>
        <v/>
      </c>
      <c r="K1232" s="68"/>
      <c r="L1232" s="68"/>
      <c r="M1232" s="68"/>
      <c r="N1232" s="68"/>
      <c r="O1232" s="68"/>
      <c r="P1232" s="68"/>
      <c r="Q1232" s="68"/>
      <c r="R1232" s="68"/>
      <c r="S1232" s="68"/>
      <c r="T1232" s="68"/>
      <c r="U1232" s="68"/>
      <c r="V1232" s="68"/>
      <c r="W1232" s="68"/>
      <c r="X1232" s="68"/>
      <c r="Y1232" s="68"/>
      <c r="Z1232" s="68"/>
      <c r="AA1232" s="68"/>
    </row>
    <row r="1233" ht="26.25" customHeight="1">
      <c r="A1233" s="68"/>
      <c r="B1233" s="68"/>
      <c r="C1233" s="68"/>
      <c r="D1233" s="71"/>
      <c r="E1233" s="71"/>
      <c r="F1233" s="71"/>
      <c r="G1233" s="65"/>
      <c r="H1233" s="74"/>
      <c r="I1233" s="67" t="str">
        <f>IFERROR(__xludf.DUMMYFUNCTION("if($H1233="""", """", AVERAGE(split($H1233, "";"")))"),"")</f>
        <v/>
      </c>
      <c r="J1233" s="67" t="str">
        <f>IFERROR(__xludf.DUMMYFUNCTION("if(H1233="""", """", SUM(split(H1233, "";"")))"),"")</f>
        <v/>
      </c>
      <c r="K1233" s="68"/>
      <c r="L1233" s="68"/>
      <c r="M1233" s="68"/>
      <c r="N1233" s="68"/>
      <c r="O1233" s="68"/>
      <c r="P1233" s="68"/>
      <c r="Q1233" s="68"/>
      <c r="R1233" s="68"/>
      <c r="S1233" s="68"/>
      <c r="T1233" s="68"/>
      <c r="U1233" s="68"/>
      <c r="V1233" s="68"/>
      <c r="W1233" s="68"/>
      <c r="X1233" s="68"/>
      <c r="Y1233" s="68"/>
      <c r="Z1233" s="68"/>
      <c r="AA1233" s="68"/>
    </row>
    <row r="1234" ht="26.25" customHeight="1">
      <c r="A1234" s="68"/>
      <c r="B1234" s="68"/>
      <c r="C1234" s="68"/>
      <c r="D1234" s="71"/>
      <c r="E1234" s="71"/>
      <c r="F1234" s="71"/>
      <c r="G1234" s="65"/>
      <c r="H1234" s="74"/>
      <c r="I1234" s="67" t="str">
        <f>IFERROR(__xludf.DUMMYFUNCTION("if($H1234="""", """", AVERAGE(split($H1234, "";"")))"),"")</f>
        <v/>
      </c>
      <c r="J1234" s="67" t="str">
        <f>IFERROR(__xludf.DUMMYFUNCTION("if(H1234="""", """", SUM(split(H1234, "";"")))"),"")</f>
        <v/>
      </c>
      <c r="K1234" s="68"/>
      <c r="L1234" s="68"/>
      <c r="M1234" s="68"/>
      <c r="N1234" s="68"/>
      <c r="O1234" s="68"/>
      <c r="P1234" s="68"/>
      <c r="Q1234" s="68"/>
      <c r="R1234" s="68"/>
      <c r="S1234" s="68"/>
      <c r="T1234" s="68"/>
      <c r="U1234" s="68"/>
      <c r="V1234" s="68"/>
      <c r="W1234" s="68"/>
      <c r="X1234" s="68"/>
      <c r="Y1234" s="68"/>
      <c r="Z1234" s="68"/>
      <c r="AA1234" s="68"/>
    </row>
    <row r="1235" ht="26.25" customHeight="1">
      <c r="A1235" s="68"/>
      <c r="B1235" s="68"/>
      <c r="C1235" s="68"/>
      <c r="D1235" s="71"/>
      <c r="E1235" s="71"/>
      <c r="F1235" s="71"/>
      <c r="G1235" s="65"/>
      <c r="H1235" s="74"/>
      <c r="I1235" s="67" t="str">
        <f>IFERROR(__xludf.DUMMYFUNCTION("if($H1235="""", """", AVERAGE(split($H1235, "";"")))"),"")</f>
        <v/>
      </c>
      <c r="J1235" s="67" t="str">
        <f>IFERROR(__xludf.DUMMYFUNCTION("if(H1235="""", """", SUM(split(H1235, "";"")))"),"")</f>
        <v/>
      </c>
      <c r="K1235" s="68"/>
      <c r="L1235" s="68"/>
      <c r="M1235" s="68"/>
      <c r="N1235" s="68"/>
      <c r="O1235" s="68"/>
      <c r="P1235" s="68"/>
      <c r="Q1235" s="68"/>
      <c r="R1235" s="68"/>
      <c r="S1235" s="68"/>
      <c r="T1235" s="68"/>
      <c r="U1235" s="68"/>
      <c r="V1235" s="68"/>
      <c r="W1235" s="68"/>
      <c r="X1235" s="68"/>
      <c r="Y1235" s="68"/>
      <c r="Z1235" s="68"/>
      <c r="AA1235" s="68"/>
    </row>
    <row r="1236" ht="26.25" customHeight="1">
      <c r="A1236" s="68"/>
      <c r="B1236" s="68"/>
      <c r="C1236" s="68"/>
      <c r="D1236" s="71"/>
      <c r="E1236" s="71"/>
      <c r="F1236" s="71"/>
      <c r="G1236" s="65"/>
      <c r="H1236" s="74"/>
      <c r="I1236" s="67" t="str">
        <f>IFERROR(__xludf.DUMMYFUNCTION("if($H1236="""", """", AVERAGE(split($H1236, "";"")))"),"")</f>
        <v/>
      </c>
      <c r="J1236" s="67" t="str">
        <f>IFERROR(__xludf.DUMMYFUNCTION("if(H1236="""", """", SUM(split(H1236, "";"")))"),"")</f>
        <v/>
      </c>
      <c r="K1236" s="68"/>
      <c r="L1236" s="68"/>
      <c r="M1236" s="68"/>
      <c r="N1236" s="68"/>
      <c r="O1236" s="68"/>
      <c r="P1236" s="68"/>
      <c r="Q1236" s="68"/>
      <c r="R1236" s="68"/>
      <c r="S1236" s="68"/>
      <c r="T1236" s="68"/>
      <c r="U1236" s="68"/>
      <c r="V1236" s="68"/>
      <c r="W1236" s="68"/>
      <c r="X1236" s="68"/>
      <c r="Y1236" s="68"/>
      <c r="Z1236" s="68"/>
      <c r="AA1236" s="68"/>
    </row>
    <row r="1237" ht="26.25" customHeight="1">
      <c r="A1237" s="68"/>
      <c r="B1237" s="68"/>
      <c r="C1237" s="68"/>
      <c r="D1237" s="71"/>
      <c r="E1237" s="71"/>
      <c r="F1237" s="71"/>
      <c r="G1237" s="65"/>
      <c r="H1237" s="74"/>
      <c r="I1237" s="67" t="str">
        <f>IFERROR(__xludf.DUMMYFUNCTION("if($H1237="""", """", AVERAGE(split($H1237, "";"")))"),"")</f>
        <v/>
      </c>
      <c r="J1237" s="67" t="str">
        <f>IFERROR(__xludf.DUMMYFUNCTION("if(H1237="""", """", SUM(split(H1237, "";"")))"),"")</f>
        <v/>
      </c>
      <c r="K1237" s="68"/>
      <c r="L1237" s="68"/>
      <c r="M1237" s="68"/>
      <c r="N1237" s="68"/>
      <c r="O1237" s="68"/>
      <c r="P1237" s="68"/>
      <c r="Q1237" s="68"/>
      <c r="R1237" s="68"/>
      <c r="S1237" s="68"/>
      <c r="T1237" s="68"/>
      <c r="U1237" s="68"/>
      <c r="V1237" s="68"/>
      <c r="W1237" s="68"/>
      <c r="X1237" s="68"/>
      <c r="Y1237" s="68"/>
      <c r="Z1237" s="68"/>
      <c r="AA1237" s="68"/>
    </row>
    <row r="1238" ht="26.25" customHeight="1">
      <c r="A1238" s="68"/>
      <c r="B1238" s="68"/>
      <c r="C1238" s="68"/>
      <c r="D1238" s="71"/>
      <c r="E1238" s="71"/>
      <c r="F1238" s="71"/>
      <c r="G1238" s="65"/>
      <c r="H1238" s="74"/>
      <c r="I1238" s="67" t="str">
        <f>IFERROR(__xludf.DUMMYFUNCTION("if($H1238="""", """", AVERAGE(split($H1238, "";"")))"),"")</f>
        <v/>
      </c>
      <c r="J1238" s="67" t="str">
        <f>IFERROR(__xludf.DUMMYFUNCTION("if(H1238="""", """", SUM(split(H1238, "";"")))"),"")</f>
        <v/>
      </c>
      <c r="K1238" s="68"/>
      <c r="L1238" s="68"/>
      <c r="M1238" s="68"/>
      <c r="N1238" s="68"/>
      <c r="O1238" s="68"/>
      <c r="P1238" s="68"/>
      <c r="Q1238" s="68"/>
      <c r="R1238" s="68"/>
      <c r="S1238" s="68"/>
      <c r="T1238" s="68"/>
      <c r="U1238" s="68"/>
      <c r="V1238" s="68"/>
      <c r="W1238" s="68"/>
      <c r="X1238" s="68"/>
      <c r="Y1238" s="68"/>
      <c r="Z1238" s="68"/>
      <c r="AA1238" s="68"/>
    </row>
    <row r="1239" ht="26.25" customHeight="1">
      <c r="A1239" s="68"/>
      <c r="B1239" s="68"/>
      <c r="C1239" s="68"/>
      <c r="D1239" s="71"/>
      <c r="E1239" s="71"/>
      <c r="F1239" s="71"/>
      <c r="G1239" s="65"/>
      <c r="H1239" s="74"/>
      <c r="I1239" s="67" t="str">
        <f>IFERROR(__xludf.DUMMYFUNCTION("if($H1239="""", """", AVERAGE(split($H1239, "";"")))"),"")</f>
        <v/>
      </c>
      <c r="J1239" s="67" t="str">
        <f>IFERROR(__xludf.DUMMYFUNCTION("if(H1239="""", """", SUM(split(H1239, "";"")))"),"")</f>
        <v/>
      </c>
      <c r="K1239" s="68"/>
      <c r="L1239" s="68"/>
      <c r="M1239" s="68"/>
      <c r="N1239" s="68"/>
      <c r="O1239" s="68"/>
      <c r="P1239" s="68"/>
      <c r="Q1239" s="68"/>
      <c r="R1239" s="68"/>
      <c r="S1239" s="68"/>
      <c r="T1239" s="68"/>
      <c r="U1239" s="68"/>
      <c r="V1239" s="68"/>
      <c r="W1239" s="68"/>
      <c r="X1239" s="68"/>
      <c r="Y1239" s="68"/>
      <c r="Z1239" s="68"/>
      <c r="AA1239" s="68"/>
    </row>
    <row r="1240" ht="26.25" customHeight="1">
      <c r="A1240" s="68"/>
      <c r="B1240" s="68"/>
      <c r="C1240" s="68"/>
      <c r="D1240" s="71"/>
      <c r="E1240" s="71"/>
      <c r="F1240" s="71"/>
      <c r="G1240" s="65"/>
      <c r="H1240" s="74"/>
      <c r="I1240" s="67" t="str">
        <f>IFERROR(__xludf.DUMMYFUNCTION("if($H1240="""", """", AVERAGE(split($H1240, "";"")))"),"")</f>
        <v/>
      </c>
      <c r="J1240" s="67" t="str">
        <f>IFERROR(__xludf.DUMMYFUNCTION("if(H1240="""", """", SUM(split(H1240, "";"")))"),"")</f>
        <v/>
      </c>
      <c r="K1240" s="68"/>
      <c r="L1240" s="68"/>
      <c r="M1240" s="68"/>
      <c r="N1240" s="68"/>
      <c r="O1240" s="68"/>
      <c r="P1240" s="68"/>
      <c r="Q1240" s="68"/>
      <c r="R1240" s="68"/>
      <c r="S1240" s="68"/>
      <c r="T1240" s="68"/>
      <c r="U1240" s="68"/>
      <c r="V1240" s="68"/>
      <c r="W1240" s="68"/>
      <c r="X1240" s="68"/>
      <c r="Y1240" s="68"/>
      <c r="Z1240" s="68"/>
      <c r="AA1240" s="68"/>
    </row>
    <row r="1241" ht="26.25" customHeight="1">
      <c r="A1241" s="68"/>
      <c r="B1241" s="68"/>
      <c r="C1241" s="68"/>
      <c r="D1241" s="71"/>
      <c r="E1241" s="71"/>
      <c r="F1241" s="71"/>
      <c r="G1241" s="65"/>
      <c r="H1241" s="74"/>
      <c r="I1241" s="67" t="str">
        <f>IFERROR(__xludf.DUMMYFUNCTION("if($H1241="""", """", AVERAGE(split($H1241, "";"")))"),"")</f>
        <v/>
      </c>
      <c r="J1241" s="67" t="str">
        <f>IFERROR(__xludf.DUMMYFUNCTION("if(H1241="""", """", SUM(split(H1241, "";"")))"),"")</f>
        <v/>
      </c>
      <c r="K1241" s="68"/>
      <c r="L1241" s="68"/>
      <c r="M1241" s="68"/>
      <c r="N1241" s="68"/>
      <c r="O1241" s="68"/>
      <c r="P1241" s="68"/>
      <c r="Q1241" s="68"/>
      <c r="R1241" s="68"/>
      <c r="S1241" s="68"/>
      <c r="T1241" s="68"/>
      <c r="U1241" s="68"/>
      <c r="V1241" s="68"/>
      <c r="W1241" s="68"/>
      <c r="X1241" s="68"/>
      <c r="Y1241" s="68"/>
      <c r="Z1241" s="68"/>
      <c r="AA1241" s="68"/>
    </row>
    <row r="1242" ht="26.25" customHeight="1">
      <c r="A1242" s="68"/>
      <c r="B1242" s="68"/>
      <c r="C1242" s="68"/>
      <c r="D1242" s="71"/>
      <c r="E1242" s="71"/>
      <c r="F1242" s="71"/>
      <c r="G1242" s="65"/>
      <c r="H1242" s="74"/>
      <c r="I1242" s="67" t="str">
        <f>IFERROR(__xludf.DUMMYFUNCTION("if($H1242="""", """", AVERAGE(split($H1242, "";"")))"),"")</f>
        <v/>
      </c>
      <c r="J1242" s="67" t="str">
        <f>IFERROR(__xludf.DUMMYFUNCTION("if(H1242="""", """", SUM(split(H1242, "";"")))"),"")</f>
        <v/>
      </c>
      <c r="K1242" s="68"/>
      <c r="L1242" s="68"/>
      <c r="M1242" s="68"/>
      <c r="N1242" s="68"/>
      <c r="O1242" s="68"/>
      <c r="P1242" s="68"/>
      <c r="Q1242" s="68"/>
      <c r="R1242" s="68"/>
      <c r="S1242" s="68"/>
      <c r="T1242" s="68"/>
      <c r="U1242" s="68"/>
      <c r="V1242" s="68"/>
      <c r="W1242" s="68"/>
      <c r="X1242" s="68"/>
      <c r="Y1242" s="68"/>
      <c r="Z1242" s="68"/>
      <c r="AA1242" s="68"/>
    </row>
    <row r="1243" ht="26.25" customHeight="1">
      <c r="A1243" s="68"/>
      <c r="B1243" s="68"/>
      <c r="C1243" s="68"/>
      <c r="D1243" s="71"/>
      <c r="E1243" s="71"/>
      <c r="F1243" s="71"/>
      <c r="G1243" s="65"/>
      <c r="H1243" s="74"/>
      <c r="I1243" s="67" t="str">
        <f>IFERROR(__xludf.DUMMYFUNCTION("if($H1243="""", """", AVERAGE(split($H1243, "";"")))"),"")</f>
        <v/>
      </c>
      <c r="J1243" s="67" t="str">
        <f>IFERROR(__xludf.DUMMYFUNCTION("if(H1243="""", """", SUM(split(H1243, "";"")))"),"")</f>
        <v/>
      </c>
      <c r="K1243" s="68"/>
      <c r="L1243" s="68"/>
      <c r="M1243" s="68"/>
      <c r="N1243" s="68"/>
      <c r="O1243" s="68"/>
      <c r="P1243" s="68"/>
      <c r="Q1243" s="68"/>
      <c r="R1243" s="68"/>
      <c r="S1243" s="68"/>
      <c r="T1243" s="68"/>
      <c r="U1243" s="68"/>
      <c r="V1243" s="68"/>
      <c r="W1243" s="68"/>
      <c r="X1243" s="68"/>
      <c r="Y1243" s="68"/>
      <c r="Z1243" s="68"/>
      <c r="AA1243" s="68"/>
    </row>
    <row r="1244" ht="26.25" customHeight="1">
      <c r="A1244" s="68"/>
      <c r="B1244" s="68"/>
      <c r="C1244" s="68"/>
      <c r="D1244" s="71"/>
      <c r="E1244" s="71"/>
      <c r="F1244" s="71"/>
      <c r="G1244" s="65"/>
      <c r="H1244" s="74"/>
      <c r="I1244" s="67" t="str">
        <f>IFERROR(__xludf.DUMMYFUNCTION("if($H1244="""", """", AVERAGE(split($H1244, "";"")))"),"")</f>
        <v/>
      </c>
      <c r="J1244" s="67" t="str">
        <f>IFERROR(__xludf.DUMMYFUNCTION("if(H1244="""", """", SUM(split(H1244, "";"")))"),"")</f>
        <v/>
      </c>
      <c r="K1244" s="68"/>
      <c r="L1244" s="68"/>
      <c r="M1244" s="68"/>
      <c r="N1244" s="68"/>
      <c r="O1244" s="68"/>
      <c r="P1244" s="68"/>
      <c r="Q1244" s="68"/>
      <c r="R1244" s="68"/>
      <c r="S1244" s="68"/>
      <c r="T1244" s="68"/>
      <c r="U1244" s="68"/>
      <c r="V1244" s="68"/>
      <c r="W1244" s="68"/>
      <c r="X1244" s="68"/>
      <c r="Y1244" s="68"/>
      <c r="Z1244" s="68"/>
      <c r="AA1244" s="68"/>
    </row>
    <row r="1245" ht="26.25" customHeight="1">
      <c r="A1245" s="68"/>
      <c r="B1245" s="68"/>
      <c r="C1245" s="68"/>
      <c r="D1245" s="71"/>
      <c r="E1245" s="71"/>
      <c r="F1245" s="71"/>
      <c r="G1245" s="65"/>
      <c r="H1245" s="74"/>
      <c r="I1245" s="67" t="str">
        <f>IFERROR(__xludf.DUMMYFUNCTION("if($H1245="""", """", AVERAGE(split($H1245, "";"")))"),"")</f>
        <v/>
      </c>
      <c r="J1245" s="67" t="str">
        <f>IFERROR(__xludf.DUMMYFUNCTION("if(H1245="""", """", SUM(split(H1245, "";"")))"),"")</f>
        <v/>
      </c>
      <c r="K1245" s="68"/>
      <c r="L1245" s="68"/>
      <c r="M1245" s="68"/>
      <c r="N1245" s="68"/>
      <c r="O1245" s="68"/>
      <c r="P1245" s="68"/>
      <c r="Q1245" s="68"/>
      <c r="R1245" s="68"/>
      <c r="S1245" s="68"/>
      <c r="T1245" s="68"/>
      <c r="U1245" s="68"/>
      <c r="V1245" s="68"/>
      <c r="W1245" s="68"/>
      <c r="X1245" s="68"/>
      <c r="Y1245" s="68"/>
      <c r="Z1245" s="68"/>
      <c r="AA1245" s="68"/>
    </row>
    <row r="1246" ht="26.25" customHeight="1">
      <c r="A1246" s="68"/>
      <c r="B1246" s="68"/>
      <c r="C1246" s="68"/>
      <c r="D1246" s="71"/>
      <c r="E1246" s="71"/>
      <c r="F1246" s="71"/>
      <c r="G1246" s="65"/>
      <c r="H1246" s="74"/>
      <c r="I1246" s="67" t="str">
        <f>IFERROR(__xludf.DUMMYFUNCTION("if($H1246="""", """", AVERAGE(split($H1246, "";"")))"),"")</f>
        <v/>
      </c>
      <c r="J1246" s="67" t="str">
        <f>IFERROR(__xludf.DUMMYFUNCTION("if(H1246="""", """", SUM(split(H1246, "";"")))"),"")</f>
        <v/>
      </c>
      <c r="K1246" s="68"/>
      <c r="L1246" s="68"/>
      <c r="M1246" s="68"/>
      <c r="N1246" s="68"/>
      <c r="O1246" s="68"/>
      <c r="P1246" s="68"/>
      <c r="Q1246" s="68"/>
      <c r="R1246" s="68"/>
      <c r="S1246" s="68"/>
      <c r="T1246" s="68"/>
      <c r="U1246" s="68"/>
      <c r="V1246" s="68"/>
      <c r="W1246" s="68"/>
      <c r="X1246" s="68"/>
      <c r="Y1246" s="68"/>
      <c r="Z1246" s="68"/>
      <c r="AA1246" s="68"/>
    </row>
    <row r="1247" ht="26.25" customHeight="1">
      <c r="A1247" s="68"/>
      <c r="B1247" s="68"/>
      <c r="C1247" s="68"/>
      <c r="D1247" s="71"/>
      <c r="E1247" s="71"/>
      <c r="F1247" s="71"/>
      <c r="G1247" s="65"/>
      <c r="H1247" s="74"/>
      <c r="I1247" s="67" t="str">
        <f>IFERROR(__xludf.DUMMYFUNCTION("if($H1247="""", """", AVERAGE(split($H1247, "";"")))"),"")</f>
        <v/>
      </c>
      <c r="J1247" s="67" t="str">
        <f>IFERROR(__xludf.DUMMYFUNCTION("if(H1247="""", """", SUM(split(H1247, "";"")))"),"")</f>
        <v/>
      </c>
      <c r="K1247" s="68"/>
      <c r="L1247" s="68"/>
      <c r="M1247" s="68"/>
      <c r="N1247" s="68"/>
      <c r="O1247" s="68"/>
      <c r="P1247" s="68"/>
      <c r="Q1247" s="68"/>
      <c r="R1247" s="68"/>
      <c r="S1247" s="68"/>
      <c r="T1247" s="68"/>
      <c r="U1247" s="68"/>
      <c r="V1247" s="68"/>
      <c r="W1247" s="68"/>
      <c r="X1247" s="68"/>
      <c r="Y1247" s="68"/>
      <c r="Z1247" s="68"/>
      <c r="AA1247" s="68"/>
    </row>
    <row r="1248" ht="26.25" customHeight="1">
      <c r="A1248" s="68"/>
      <c r="B1248" s="68"/>
      <c r="C1248" s="68"/>
      <c r="D1248" s="71"/>
      <c r="E1248" s="71"/>
      <c r="F1248" s="71"/>
      <c r="G1248" s="65"/>
      <c r="H1248" s="74"/>
      <c r="I1248" s="67" t="str">
        <f>IFERROR(__xludf.DUMMYFUNCTION("if($H1248="""", """", AVERAGE(split($H1248, "";"")))"),"")</f>
        <v/>
      </c>
      <c r="J1248" s="67" t="str">
        <f>IFERROR(__xludf.DUMMYFUNCTION("if(H1248="""", """", SUM(split(H1248, "";"")))"),"")</f>
        <v/>
      </c>
      <c r="K1248" s="68"/>
      <c r="L1248" s="68"/>
      <c r="M1248" s="68"/>
      <c r="N1248" s="68"/>
      <c r="O1248" s="68"/>
      <c r="P1248" s="68"/>
      <c r="Q1248" s="68"/>
      <c r="R1248" s="68"/>
      <c r="S1248" s="68"/>
      <c r="T1248" s="68"/>
      <c r="U1248" s="68"/>
      <c r="V1248" s="68"/>
      <c r="W1248" s="68"/>
      <c r="X1248" s="68"/>
      <c r="Y1248" s="68"/>
      <c r="Z1248" s="68"/>
      <c r="AA1248" s="68"/>
    </row>
    <row r="1249" ht="26.25" customHeight="1">
      <c r="A1249" s="68"/>
      <c r="B1249" s="68"/>
      <c r="C1249" s="68"/>
      <c r="D1249" s="71"/>
      <c r="E1249" s="71"/>
      <c r="F1249" s="71"/>
      <c r="G1249" s="65"/>
      <c r="H1249" s="74"/>
      <c r="I1249" s="67" t="str">
        <f>IFERROR(__xludf.DUMMYFUNCTION("if($H1249="""", """", AVERAGE(split($H1249, "";"")))"),"")</f>
        <v/>
      </c>
      <c r="J1249" s="67" t="str">
        <f>IFERROR(__xludf.DUMMYFUNCTION("if(H1249="""", """", SUM(split(H1249, "";"")))"),"")</f>
        <v/>
      </c>
      <c r="K1249" s="68"/>
      <c r="L1249" s="68"/>
      <c r="M1249" s="68"/>
      <c r="N1249" s="68"/>
      <c r="O1249" s="68"/>
      <c r="P1249" s="68"/>
      <c r="Q1249" s="68"/>
      <c r="R1249" s="68"/>
      <c r="S1249" s="68"/>
      <c r="T1249" s="68"/>
      <c r="U1249" s="68"/>
      <c r="V1249" s="68"/>
      <c r="W1249" s="68"/>
      <c r="X1249" s="68"/>
      <c r="Y1249" s="68"/>
      <c r="Z1249" s="68"/>
      <c r="AA1249" s="68"/>
    </row>
    <row r="1250" ht="26.25" customHeight="1">
      <c r="A1250" s="68"/>
      <c r="B1250" s="68"/>
      <c r="C1250" s="68"/>
      <c r="D1250" s="71"/>
      <c r="E1250" s="71"/>
      <c r="F1250" s="71"/>
      <c r="G1250" s="65"/>
      <c r="H1250" s="74"/>
      <c r="I1250" s="67" t="str">
        <f>IFERROR(__xludf.DUMMYFUNCTION("if($H1250="""", """", AVERAGE(split($H1250, "";"")))"),"")</f>
        <v/>
      </c>
      <c r="J1250" s="67" t="str">
        <f>IFERROR(__xludf.DUMMYFUNCTION("if(H1250="""", """", SUM(split(H1250, "";"")))"),"")</f>
        <v/>
      </c>
      <c r="K1250" s="68"/>
      <c r="L1250" s="68"/>
      <c r="M1250" s="68"/>
      <c r="N1250" s="68"/>
      <c r="O1250" s="68"/>
      <c r="P1250" s="68"/>
      <c r="Q1250" s="68"/>
      <c r="R1250" s="68"/>
      <c r="S1250" s="68"/>
      <c r="T1250" s="68"/>
      <c r="U1250" s="68"/>
      <c r="V1250" s="68"/>
      <c r="W1250" s="68"/>
      <c r="X1250" s="68"/>
      <c r="Y1250" s="68"/>
      <c r="Z1250" s="68"/>
      <c r="AA1250" s="68"/>
    </row>
    <row r="1251" ht="26.25" customHeight="1">
      <c r="A1251" s="68"/>
      <c r="B1251" s="68"/>
      <c r="C1251" s="68"/>
      <c r="D1251" s="71"/>
      <c r="E1251" s="71"/>
      <c r="F1251" s="71"/>
      <c r="G1251" s="65"/>
      <c r="H1251" s="74"/>
      <c r="I1251" s="67" t="str">
        <f>IFERROR(__xludf.DUMMYFUNCTION("if($H1251="""", """", AVERAGE(split($H1251, "";"")))"),"")</f>
        <v/>
      </c>
      <c r="J1251" s="67" t="str">
        <f>IFERROR(__xludf.DUMMYFUNCTION("if(H1251="""", """", SUM(split(H1251, "";"")))"),"")</f>
        <v/>
      </c>
      <c r="K1251" s="68"/>
      <c r="L1251" s="68"/>
      <c r="M1251" s="68"/>
      <c r="N1251" s="68"/>
      <c r="O1251" s="68"/>
      <c r="P1251" s="68"/>
      <c r="Q1251" s="68"/>
      <c r="R1251" s="68"/>
      <c r="S1251" s="68"/>
      <c r="T1251" s="68"/>
      <c r="U1251" s="68"/>
      <c r="V1251" s="68"/>
      <c r="W1251" s="68"/>
      <c r="X1251" s="68"/>
      <c r="Y1251" s="68"/>
      <c r="Z1251" s="68"/>
      <c r="AA1251" s="68"/>
    </row>
    <row r="1252" ht="26.25" customHeight="1">
      <c r="A1252" s="68"/>
      <c r="B1252" s="68"/>
      <c r="C1252" s="68"/>
      <c r="D1252" s="71"/>
      <c r="E1252" s="71"/>
      <c r="F1252" s="71"/>
      <c r="G1252" s="65"/>
      <c r="H1252" s="74"/>
      <c r="I1252" s="67" t="str">
        <f>IFERROR(__xludf.DUMMYFUNCTION("if($H1252="""", """", AVERAGE(split($H1252, "";"")))"),"")</f>
        <v/>
      </c>
      <c r="J1252" s="67" t="str">
        <f>IFERROR(__xludf.DUMMYFUNCTION("if(H1252="""", """", SUM(split(H1252, "";"")))"),"")</f>
        <v/>
      </c>
      <c r="K1252" s="68"/>
      <c r="L1252" s="68"/>
      <c r="M1252" s="68"/>
      <c r="N1252" s="68"/>
      <c r="O1252" s="68"/>
      <c r="P1252" s="68"/>
      <c r="Q1252" s="68"/>
      <c r="R1252" s="68"/>
      <c r="S1252" s="68"/>
      <c r="T1252" s="68"/>
      <c r="U1252" s="68"/>
      <c r="V1252" s="68"/>
      <c r="W1252" s="68"/>
      <c r="X1252" s="68"/>
      <c r="Y1252" s="68"/>
      <c r="Z1252" s="68"/>
      <c r="AA1252" s="68"/>
    </row>
    <row r="1253" ht="26.25" customHeight="1">
      <c r="A1253" s="68"/>
      <c r="B1253" s="68"/>
      <c r="C1253" s="68"/>
      <c r="D1253" s="71"/>
      <c r="E1253" s="71"/>
      <c r="F1253" s="71"/>
      <c r="G1253" s="65"/>
      <c r="H1253" s="74"/>
      <c r="I1253" s="67" t="str">
        <f>IFERROR(__xludf.DUMMYFUNCTION("if($H1253="""", """", AVERAGE(split($H1253, "";"")))"),"")</f>
        <v/>
      </c>
      <c r="J1253" s="67" t="str">
        <f>IFERROR(__xludf.DUMMYFUNCTION("if(H1253="""", """", SUM(split(H1253, "";"")))"),"")</f>
        <v/>
      </c>
      <c r="K1253" s="68"/>
      <c r="L1253" s="68"/>
      <c r="M1253" s="68"/>
      <c r="N1253" s="68"/>
      <c r="O1253" s="68"/>
      <c r="P1253" s="68"/>
      <c r="Q1253" s="68"/>
      <c r="R1253" s="68"/>
      <c r="S1253" s="68"/>
      <c r="T1253" s="68"/>
      <c r="U1253" s="68"/>
      <c r="V1253" s="68"/>
      <c r="W1253" s="68"/>
      <c r="X1253" s="68"/>
      <c r="Y1253" s="68"/>
      <c r="Z1253" s="68"/>
      <c r="AA1253" s="68"/>
    </row>
    <row r="1254" ht="26.25" customHeight="1">
      <c r="A1254" s="68"/>
      <c r="B1254" s="68"/>
      <c r="C1254" s="68"/>
      <c r="D1254" s="71"/>
      <c r="E1254" s="71"/>
      <c r="F1254" s="71"/>
      <c r="G1254" s="65"/>
      <c r="H1254" s="74"/>
      <c r="I1254" s="67" t="str">
        <f>IFERROR(__xludf.DUMMYFUNCTION("if($H1254="""", """", AVERAGE(split($H1254, "";"")))"),"")</f>
        <v/>
      </c>
      <c r="J1254" s="67" t="str">
        <f>IFERROR(__xludf.DUMMYFUNCTION("if(H1254="""", """", SUM(split(H1254, "";"")))"),"")</f>
        <v/>
      </c>
      <c r="K1254" s="68"/>
      <c r="L1254" s="68"/>
      <c r="M1254" s="68"/>
      <c r="N1254" s="68"/>
      <c r="O1254" s="68"/>
      <c r="P1254" s="68"/>
      <c r="Q1254" s="68"/>
      <c r="R1254" s="68"/>
      <c r="S1254" s="68"/>
      <c r="T1254" s="68"/>
      <c r="U1254" s="68"/>
      <c r="V1254" s="68"/>
      <c r="W1254" s="68"/>
      <c r="X1254" s="68"/>
      <c r="Y1254" s="68"/>
      <c r="Z1254" s="68"/>
      <c r="AA1254" s="68"/>
    </row>
    <row r="1255" ht="26.25" customHeight="1">
      <c r="A1255" s="68"/>
      <c r="B1255" s="68"/>
      <c r="C1255" s="68"/>
      <c r="D1255" s="71"/>
      <c r="E1255" s="71"/>
      <c r="F1255" s="71"/>
      <c r="G1255" s="65"/>
      <c r="H1255" s="74"/>
      <c r="I1255" s="67" t="str">
        <f>IFERROR(__xludf.DUMMYFUNCTION("if($H1255="""", """", AVERAGE(split($H1255, "";"")))"),"")</f>
        <v/>
      </c>
      <c r="J1255" s="67" t="str">
        <f>IFERROR(__xludf.DUMMYFUNCTION("if(H1255="""", """", SUM(split(H1255, "";"")))"),"")</f>
        <v/>
      </c>
      <c r="K1255" s="68"/>
      <c r="L1255" s="68"/>
      <c r="M1255" s="68"/>
      <c r="N1255" s="68"/>
      <c r="O1255" s="68"/>
      <c r="P1255" s="68"/>
      <c r="Q1255" s="68"/>
      <c r="R1255" s="68"/>
      <c r="S1255" s="68"/>
      <c r="T1255" s="68"/>
      <c r="U1255" s="68"/>
      <c r="V1255" s="68"/>
      <c r="W1255" s="68"/>
      <c r="X1255" s="68"/>
      <c r="Y1255" s="68"/>
      <c r="Z1255" s="68"/>
      <c r="AA1255" s="68"/>
    </row>
    <row r="1256" ht="26.25" customHeight="1">
      <c r="A1256" s="68"/>
      <c r="B1256" s="68"/>
      <c r="C1256" s="68"/>
      <c r="D1256" s="71"/>
      <c r="E1256" s="71"/>
      <c r="F1256" s="71"/>
      <c r="G1256" s="65"/>
      <c r="H1256" s="74"/>
      <c r="I1256" s="67" t="str">
        <f>IFERROR(__xludf.DUMMYFUNCTION("if($H1256="""", """", AVERAGE(split($H1256, "";"")))"),"")</f>
        <v/>
      </c>
      <c r="J1256" s="67" t="str">
        <f>IFERROR(__xludf.DUMMYFUNCTION("if(H1256="""", """", SUM(split(H1256, "";"")))"),"")</f>
        <v/>
      </c>
      <c r="K1256" s="68"/>
      <c r="L1256" s="68"/>
      <c r="M1256" s="68"/>
      <c r="N1256" s="68"/>
      <c r="O1256" s="68"/>
      <c r="P1256" s="68"/>
      <c r="Q1256" s="68"/>
      <c r="R1256" s="68"/>
      <c r="S1256" s="68"/>
      <c r="T1256" s="68"/>
      <c r="U1256" s="68"/>
      <c r="V1256" s="68"/>
      <c r="W1256" s="68"/>
      <c r="X1256" s="68"/>
      <c r="Y1256" s="68"/>
      <c r="Z1256" s="68"/>
      <c r="AA1256" s="68"/>
    </row>
    <row r="1257" ht="26.25" customHeight="1">
      <c r="A1257" s="68"/>
      <c r="B1257" s="68"/>
      <c r="C1257" s="68"/>
      <c r="D1257" s="71"/>
      <c r="E1257" s="71"/>
      <c r="F1257" s="71"/>
      <c r="G1257" s="65"/>
      <c r="H1257" s="74"/>
      <c r="I1257" s="67" t="str">
        <f>IFERROR(__xludf.DUMMYFUNCTION("if($H1257="""", """", AVERAGE(split($H1257, "";"")))"),"")</f>
        <v/>
      </c>
      <c r="J1257" s="67" t="str">
        <f>IFERROR(__xludf.DUMMYFUNCTION("if(H1257="""", """", SUM(split(H1257, "";"")))"),"")</f>
        <v/>
      </c>
      <c r="K1257" s="68"/>
      <c r="L1257" s="68"/>
      <c r="M1257" s="68"/>
      <c r="N1257" s="68"/>
      <c r="O1257" s="68"/>
      <c r="P1257" s="68"/>
      <c r="Q1257" s="68"/>
      <c r="R1257" s="68"/>
      <c r="S1257" s="68"/>
      <c r="T1257" s="68"/>
      <c r="U1257" s="68"/>
      <c r="V1257" s="68"/>
      <c r="W1257" s="68"/>
      <c r="X1257" s="68"/>
      <c r="Y1257" s="68"/>
      <c r="Z1257" s="68"/>
      <c r="AA1257" s="68"/>
    </row>
    <row r="1258" ht="26.25" customHeight="1">
      <c r="A1258" s="68"/>
      <c r="B1258" s="68"/>
      <c r="C1258" s="68"/>
      <c r="D1258" s="71"/>
      <c r="E1258" s="71"/>
      <c r="F1258" s="71"/>
      <c r="G1258" s="65"/>
      <c r="H1258" s="74"/>
      <c r="I1258" s="67" t="str">
        <f>IFERROR(__xludf.DUMMYFUNCTION("if($H1258="""", """", AVERAGE(split($H1258, "";"")))"),"")</f>
        <v/>
      </c>
      <c r="J1258" s="67" t="str">
        <f>IFERROR(__xludf.DUMMYFUNCTION("if(H1258="""", """", SUM(split(H1258, "";"")))"),"")</f>
        <v/>
      </c>
      <c r="K1258" s="68"/>
      <c r="L1258" s="68"/>
      <c r="M1258" s="68"/>
      <c r="N1258" s="68"/>
      <c r="O1258" s="68"/>
      <c r="P1258" s="68"/>
      <c r="Q1258" s="68"/>
      <c r="R1258" s="68"/>
      <c r="S1258" s="68"/>
      <c r="T1258" s="68"/>
      <c r="U1258" s="68"/>
      <c r="V1258" s="68"/>
      <c r="W1258" s="68"/>
      <c r="X1258" s="68"/>
      <c r="Y1258" s="68"/>
      <c r="Z1258" s="68"/>
      <c r="AA1258" s="68"/>
    </row>
    <row r="1259" ht="26.25" customHeight="1">
      <c r="A1259" s="68"/>
      <c r="B1259" s="68"/>
      <c r="C1259" s="68"/>
      <c r="D1259" s="71"/>
      <c r="E1259" s="71"/>
      <c r="F1259" s="71"/>
      <c r="G1259" s="65"/>
      <c r="H1259" s="74"/>
      <c r="I1259" s="67" t="str">
        <f>IFERROR(__xludf.DUMMYFUNCTION("if($H1259="""", """", AVERAGE(split($H1259, "";"")))"),"")</f>
        <v/>
      </c>
      <c r="J1259" s="67" t="str">
        <f>IFERROR(__xludf.DUMMYFUNCTION("if(H1259="""", """", SUM(split(H1259, "";"")))"),"")</f>
        <v/>
      </c>
      <c r="K1259" s="68"/>
      <c r="L1259" s="68"/>
      <c r="M1259" s="68"/>
      <c r="N1259" s="68"/>
      <c r="O1259" s="68"/>
      <c r="P1259" s="68"/>
      <c r="Q1259" s="68"/>
      <c r="R1259" s="68"/>
      <c r="S1259" s="68"/>
      <c r="T1259" s="68"/>
      <c r="U1259" s="68"/>
      <c r="V1259" s="68"/>
      <c r="W1259" s="68"/>
      <c r="X1259" s="68"/>
      <c r="Y1259" s="68"/>
      <c r="Z1259" s="68"/>
      <c r="AA1259" s="68"/>
    </row>
    <row r="1260" ht="26.25" customHeight="1">
      <c r="A1260" s="68"/>
      <c r="B1260" s="68"/>
      <c r="C1260" s="68"/>
      <c r="D1260" s="71"/>
      <c r="E1260" s="71"/>
      <c r="F1260" s="71"/>
      <c r="G1260" s="65"/>
      <c r="H1260" s="74"/>
      <c r="I1260" s="67" t="str">
        <f>IFERROR(__xludf.DUMMYFUNCTION("if($H1260="""", """", AVERAGE(split($H1260, "";"")))"),"")</f>
        <v/>
      </c>
      <c r="J1260" s="67" t="str">
        <f>IFERROR(__xludf.DUMMYFUNCTION("if(H1260="""", """", SUM(split(H1260, "";"")))"),"")</f>
        <v/>
      </c>
      <c r="K1260" s="68"/>
      <c r="L1260" s="68"/>
      <c r="M1260" s="68"/>
      <c r="N1260" s="68"/>
      <c r="O1260" s="68"/>
      <c r="P1260" s="68"/>
      <c r="Q1260" s="68"/>
      <c r="R1260" s="68"/>
      <c r="S1260" s="68"/>
      <c r="T1260" s="68"/>
      <c r="U1260" s="68"/>
      <c r="V1260" s="68"/>
      <c r="W1260" s="68"/>
      <c r="X1260" s="68"/>
      <c r="Y1260" s="68"/>
      <c r="Z1260" s="68"/>
      <c r="AA1260" s="68"/>
    </row>
    <row r="1261" ht="26.25" customHeight="1">
      <c r="A1261" s="68"/>
      <c r="B1261" s="68"/>
      <c r="C1261" s="68"/>
      <c r="D1261" s="71"/>
      <c r="E1261" s="71"/>
      <c r="F1261" s="71"/>
      <c r="G1261" s="65"/>
      <c r="H1261" s="74"/>
      <c r="I1261" s="67" t="str">
        <f>IFERROR(__xludf.DUMMYFUNCTION("if($H1261="""", """", AVERAGE(split($H1261, "";"")))"),"")</f>
        <v/>
      </c>
      <c r="J1261" s="67" t="str">
        <f>IFERROR(__xludf.DUMMYFUNCTION("if(H1261="""", """", SUM(split(H1261, "";"")))"),"")</f>
        <v/>
      </c>
      <c r="K1261" s="68"/>
      <c r="L1261" s="68"/>
      <c r="M1261" s="68"/>
      <c r="N1261" s="68"/>
      <c r="O1261" s="68"/>
      <c r="P1261" s="68"/>
      <c r="Q1261" s="68"/>
      <c r="R1261" s="68"/>
      <c r="S1261" s="68"/>
      <c r="T1261" s="68"/>
      <c r="U1261" s="68"/>
      <c r="V1261" s="68"/>
      <c r="W1261" s="68"/>
      <c r="X1261" s="68"/>
      <c r="Y1261" s="68"/>
      <c r="Z1261" s="68"/>
      <c r="AA1261" s="68"/>
    </row>
    <row r="1262" ht="26.25" customHeight="1">
      <c r="A1262" s="68"/>
      <c r="B1262" s="68"/>
      <c r="C1262" s="68"/>
      <c r="D1262" s="71"/>
      <c r="E1262" s="71"/>
      <c r="F1262" s="71"/>
      <c r="G1262" s="65"/>
      <c r="H1262" s="74"/>
      <c r="I1262" s="67" t="str">
        <f>IFERROR(__xludf.DUMMYFUNCTION("if($H1262="""", """", AVERAGE(split($H1262, "";"")))"),"")</f>
        <v/>
      </c>
      <c r="J1262" s="67" t="str">
        <f>IFERROR(__xludf.DUMMYFUNCTION("if(H1262="""", """", SUM(split(H1262, "";"")))"),"")</f>
        <v/>
      </c>
      <c r="K1262" s="68"/>
      <c r="L1262" s="68"/>
      <c r="M1262" s="68"/>
      <c r="N1262" s="68"/>
      <c r="O1262" s="68"/>
      <c r="P1262" s="68"/>
      <c r="Q1262" s="68"/>
      <c r="R1262" s="68"/>
      <c r="S1262" s="68"/>
      <c r="T1262" s="68"/>
      <c r="U1262" s="68"/>
      <c r="V1262" s="68"/>
      <c r="W1262" s="68"/>
      <c r="X1262" s="68"/>
      <c r="Y1262" s="68"/>
      <c r="Z1262" s="68"/>
      <c r="AA1262" s="68"/>
    </row>
    <row r="1263" ht="26.25" customHeight="1">
      <c r="A1263" s="68"/>
      <c r="B1263" s="68"/>
      <c r="C1263" s="68"/>
      <c r="D1263" s="71"/>
      <c r="E1263" s="71"/>
      <c r="F1263" s="71"/>
      <c r="G1263" s="65"/>
      <c r="H1263" s="74"/>
      <c r="I1263" s="67" t="str">
        <f>IFERROR(__xludf.DUMMYFUNCTION("if($H1263="""", """", AVERAGE(split($H1263, "";"")))"),"")</f>
        <v/>
      </c>
      <c r="J1263" s="67" t="str">
        <f>IFERROR(__xludf.DUMMYFUNCTION("if(H1263="""", """", SUM(split(H1263, "";"")))"),"")</f>
        <v/>
      </c>
      <c r="K1263" s="68"/>
      <c r="L1263" s="68"/>
      <c r="M1263" s="68"/>
      <c r="N1263" s="68"/>
      <c r="O1263" s="68"/>
      <c r="P1263" s="68"/>
      <c r="Q1263" s="68"/>
      <c r="R1263" s="68"/>
      <c r="S1263" s="68"/>
      <c r="T1263" s="68"/>
      <c r="U1263" s="68"/>
      <c r="V1263" s="68"/>
      <c r="W1263" s="68"/>
      <c r="X1263" s="68"/>
      <c r="Y1263" s="68"/>
      <c r="Z1263" s="68"/>
      <c r="AA1263" s="68"/>
    </row>
    <row r="1264" ht="26.25" customHeight="1">
      <c r="A1264" s="68"/>
      <c r="B1264" s="68"/>
      <c r="C1264" s="68"/>
      <c r="D1264" s="71"/>
      <c r="E1264" s="71"/>
      <c r="F1264" s="71"/>
      <c r="G1264" s="65"/>
      <c r="H1264" s="74"/>
      <c r="I1264" s="67" t="str">
        <f>IFERROR(__xludf.DUMMYFUNCTION("if($H1264="""", """", AVERAGE(split($H1264, "";"")))"),"")</f>
        <v/>
      </c>
      <c r="J1264" s="67" t="str">
        <f>IFERROR(__xludf.DUMMYFUNCTION("if(H1264="""", """", SUM(split(H1264, "";"")))"),"")</f>
        <v/>
      </c>
      <c r="K1264" s="68"/>
      <c r="L1264" s="68"/>
      <c r="M1264" s="68"/>
      <c r="N1264" s="68"/>
      <c r="O1264" s="68"/>
      <c r="P1264" s="68"/>
      <c r="Q1264" s="68"/>
      <c r="R1264" s="68"/>
      <c r="S1264" s="68"/>
      <c r="T1264" s="68"/>
      <c r="U1264" s="68"/>
      <c r="V1264" s="68"/>
      <c r="W1264" s="68"/>
      <c r="X1264" s="68"/>
      <c r="Y1264" s="68"/>
      <c r="Z1264" s="68"/>
      <c r="AA1264" s="68"/>
    </row>
    <row r="1265" ht="26.25" customHeight="1">
      <c r="A1265" s="68"/>
      <c r="B1265" s="68"/>
      <c r="C1265" s="68"/>
      <c r="D1265" s="71"/>
      <c r="E1265" s="71"/>
      <c r="F1265" s="71"/>
      <c r="G1265" s="65"/>
      <c r="H1265" s="74"/>
      <c r="I1265" s="67" t="str">
        <f>IFERROR(__xludf.DUMMYFUNCTION("if($H1265="""", """", AVERAGE(split($H1265, "";"")))"),"")</f>
        <v/>
      </c>
      <c r="J1265" s="67" t="str">
        <f>IFERROR(__xludf.DUMMYFUNCTION("if(H1265="""", """", SUM(split(H1265, "";"")))"),"")</f>
        <v/>
      </c>
      <c r="K1265" s="68"/>
      <c r="L1265" s="68"/>
      <c r="M1265" s="68"/>
      <c r="N1265" s="68"/>
      <c r="O1265" s="68"/>
      <c r="P1265" s="68"/>
      <c r="Q1265" s="68"/>
      <c r="R1265" s="68"/>
      <c r="S1265" s="68"/>
      <c r="T1265" s="68"/>
      <c r="U1265" s="68"/>
      <c r="V1265" s="68"/>
      <c r="W1265" s="68"/>
      <c r="X1265" s="68"/>
      <c r="Y1265" s="68"/>
      <c r="Z1265" s="68"/>
      <c r="AA1265" s="68"/>
    </row>
    <row r="1266" ht="26.25" customHeight="1">
      <c r="A1266" s="68"/>
      <c r="B1266" s="68"/>
      <c r="C1266" s="68"/>
      <c r="D1266" s="71"/>
      <c r="E1266" s="71"/>
      <c r="F1266" s="71"/>
      <c r="G1266" s="65"/>
      <c r="H1266" s="74"/>
      <c r="I1266" s="67" t="str">
        <f>IFERROR(__xludf.DUMMYFUNCTION("if($H1266="""", """", AVERAGE(split($H1266, "";"")))"),"")</f>
        <v/>
      </c>
      <c r="J1266" s="67" t="str">
        <f>IFERROR(__xludf.DUMMYFUNCTION("if(H1266="""", """", SUM(split(H1266, "";"")))"),"")</f>
        <v/>
      </c>
      <c r="K1266" s="68"/>
      <c r="L1266" s="68"/>
      <c r="M1266" s="68"/>
      <c r="N1266" s="68"/>
      <c r="O1266" s="68"/>
      <c r="P1266" s="68"/>
      <c r="Q1266" s="68"/>
      <c r="R1266" s="68"/>
      <c r="S1266" s="68"/>
      <c r="T1266" s="68"/>
      <c r="U1266" s="68"/>
      <c r="V1266" s="68"/>
      <c r="W1266" s="68"/>
      <c r="X1266" s="68"/>
      <c r="Y1266" s="68"/>
      <c r="Z1266" s="68"/>
      <c r="AA1266" s="68"/>
    </row>
    <row r="1267" ht="26.25" customHeight="1">
      <c r="A1267" s="68"/>
      <c r="B1267" s="68"/>
      <c r="C1267" s="68"/>
      <c r="D1267" s="71"/>
      <c r="E1267" s="71"/>
      <c r="F1267" s="71"/>
      <c r="G1267" s="65"/>
      <c r="H1267" s="74"/>
      <c r="I1267" s="67" t="str">
        <f>IFERROR(__xludf.DUMMYFUNCTION("if($H1267="""", """", AVERAGE(split($H1267, "";"")))"),"")</f>
        <v/>
      </c>
      <c r="J1267" s="67" t="str">
        <f>IFERROR(__xludf.DUMMYFUNCTION("if(H1267="""", """", SUM(split(H1267, "";"")))"),"")</f>
        <v/>
      </c>
      <c r="K1267" s="68"/>
      <c r="L1267" s="68"/>
      <c r="M1267" s="68"/>
      <c r="N1267" s="68"/>
      <c r="O1267" s="68"/>
      <c r="P1267" s="68"/>
      <c r="Q1267" s="68"/>
      <c r="R1267" s="68"/>
      <c r="S1267" s="68"/>
      <c r="T1267" s="68"/>
      <c r="U1267" s="68"/>
      <c r="V1267" s="68"/>
      <c r="W1267" s="68"/>
      <c r="X1267" s="68"/>
      <c r="Y1267" s="68"/>
      <c r="Z1267" s="68"/>
      <c r="AA1267" s="68"/>
    </row>
    <row r="1268" ht="26.25" customHeight="1">
      <c r="A1268" s="68"/>
      <c r="B1268" s="68"/>
      <c r="C1268" s="68"/>
      <c r="D1268" s="71"/>
      <c r="E1268" s="71"/>
      <c r="F1268" s="71"/>
      <c r="G1268" s="65"/>
      <c r="H1268" s="74"/>
      <c r="I1268" s="67" t="str">
        <f>IFERROR(__xludf.DUMMYFUNCTION("if($H1268="""", """", AVERAGE(split($H1268, "";"")))"),"")</f>
        <v/>
      </c>
      <c r="J1268" s="67" t="str">
        <f>IFERROR(__xludf.DUMMYFUNCTION("if(H1268="""", """", SUM(split(H1268, "";"")))"),"")</f>
        <v/>
      </c>
      <c r="K1268" s="68"/>
      <c r="L1268" s="68"/>
      <c r="M1268" s="68"/>
      <c r="N1268" s="68"/>
      <c r="O1268" s="68"/>
      <c r="P1268" s="68"/>
      <c r="Q1268" s="68"/>
      <c r="R1268" s="68"/>
      <c r="S1268" s="68"/>
      <c r="T1268" s="68"/>
      <c r="U1268" s="68"/>
      <c r="V1268" s="68"/>
      <c r="W1268" s="68"/>
      <c r="X1268" s="68"/>
      <c r="Y1268" s="68"/>
      <c r="Z1268" s="68"/>
      <c r="AA1268" s="68"/>
    </row>
    <row r="1269" ht="26.25" customHeight="1">
      <c r="A1269" s="68"/>
      <c r="B1269" s="68"/>
      <c r="C1269" s="68"/>
      <c r="D1269" s="71"/>
      <c r="E1269" s="71"/>
      <c r="F1269" s="71"/>
      <c r="G1269" s="65"/>
      <c r="H1269" s="74"/>
      <c r="I1269" s="67" t="str">
        <f>IFERROR(__xludf.DUMMYFUNCTION("if($H1269="""", """", AVERAGE(split($H1269, "";"")))"),"")</f>
        <v/>
      </c>
      <c r="J1269" s="67" t="str">
        <f>IFERROR(__xludf.DUMMYFUNCTION("if(H1269="""", """", SUM(split(H1269, "";"")))"),"")</f>
        <v/>
      </c>
      <c r="K1269" s="68"/>
      <c r="L1269" s="68"/>
      <c r="M1269" s="68"/>
      <c r="N1269" s="68"/>
      <c r="O1269" s="68"/>
      <c r="P1269" s="68"/>
      <c r="Q1269" s="68"/>
      <c r="R1269" s="68"/>
      <c r="S1269" s="68"/>
      <c r="T1269" s="68"/>
      <c r="U1269" s="68"/>
      <c r="V1269" s="68"/>
      <c r="W1269" s="68"/>
      <c r="X1269" s="68"/>
      <c r="Y1269" s="68"/>
      <c r="Z1269" s="68"/>
      <c r="AA1269" s="68"/>
    </row>
    <row r="1270" ht="26.25" customHeight="1">
      <c r="A1270" s="68"/>
      <c r="B1270" s="68"/>
      <c r="C1270" s="68"/>
      <c r="D1270" s="71"/>
      <c r="E1270" s="71"/>
      <c r="F1270" s="71"/>
      <c r="G1270" s="65"/>
      <c r="H1270" s="74"/>
      <c r="I1270" s="67" t="str">
        <f>IFERROR(__xludf.DUMMYFUNCTION("if($H1270="""", """", AVERAGE(split($H1270, "";"")))"),"")</f>
        <v/>
      </c>
      <c r="J1270" s="67" t="str">
        <f>IFERROR(__xludf.DUMMYFUNCTION("if(H1270="""", """", SUM(split(H1270, "";"")))"),"")</f>
        <v/>
      </c>
      <c r="K1270" s="68"/>
      <c r="L1270" s="68"/>
      <c r="M1270" s="68"/>
      <c r="N1270" s="68"/>
      <c r="O1270" s="68"/>
      <c r="P1270" s="68"/>
      <c r="Q1270" s="68"/>
      <c r="R1270" s="68"/>
      <c r="S1270" s="68"/>
      <c r="T1270" s="68"/>
      <c r="U1270" s="68"/>
      <c r="V1270" s="68"/>
      <c r="W1270" s="68"/>
      <c r="X1270" s="68"/>
      <c r="Y1270" s="68"/>
      <c r="Z1270" s="68"/>
      <c r="AA1270" s="68"/>
    </row>
    <row r="1271" ht="26.25" customHeight="1">
      <c r="A1271" s="68"/>
      <c r="B1271" s="68"/>
      <c r="C1271" s="68"/>
      <c r="D1271" s="71"/>
      <c r="E1271" s="71"/>
      <c r="F1271" s="71"/>
      <c r="G1271" s="65"/>
      <c r="H1271" s="74"/>
      <c r="I1271" s="67" t="str">
        <f>IFERROR(__xludf.DUMMYFUNCTION("if($H1271="""", """", AVERAGE(split($H1271, "";"")))"),"")</f>
        <v/>
      </c>
      <c r="J1271" s="67" t="str">
        <f>IFERROR(__xludf.DUMMYFUNCTION("if(H1271="""", """", SUM(split(H1271, "";"")))"),"")</f>
        <v/>
      </c>
      <c r="K1271" s="68"/>
      <c r="L1271" s="68"/>
      <c r="M1271" s="68"/>
      <c r="N1271" s="68"/>
      <c r="O1271" s="68"/>
      <c r="P1271" s="68"/>
      <c r="Q1271" s="68"/>
      <c r="R1271" s="68"/>
      <c r="S1271" s="68"/>
      <c r="T1271" s="68"/>
      <c r="U1271" s="68"/>
      <c r="V1271" s="68"/>
      <c r="W1271" s="68"/>
      <c r="X1271" s="68"/>
      <c r="Y1271" s="68"/>
      <c r="Z1271" s="68"/>
      <c r="AA1271" s="68"/>
    </row>
    <row r="1272" ht="26.25" customHeight="1">
      <c r="A1272" s="68"/>
      <c r="B1272" s="68"/>
      <c r="C1272" s="68"/>
      <c r="D1272" s="71"/>
      <c r="E1272" s="71"/>
      <c r="F1272" s="71"/>
      <c r="G1272" s="65"/>
      <c r="H1272" s="74"/>
      <c r="I1272" s="67" t="str">
        <f>IFERROR(__xludf.DUMMYFUNCTION("if($H1272="""", """", AVERAGE(split($H1272, "";"")))"),"")</f>
        <v/>
      </c>
      <c r="J1272" s="67" t="str">
        <f>IFERROR(__xludf.DUMMYFUNCTION("if(H1272="""", """", SUM(split(H1272, "";"")))"),"")</f>
        <v/>
      </c>
      <c r="K1272" s="68"/>
      <c r="L1272" s="68"/>
      <c r="M1272" s="68"/>
      <c r="N1272" s="68"/>
      <c r="O1272" s="68"/>
      <c r="P1272" s="68"/>
      <c r="Q1272" s="68"/>
      <c r="R1272" s="68"/>
      <c r="S1272" s="68"/>
      <c r="T1272" s="68"/>
      <c r="U1272" s="68"/>
      <c r="V1272" s="68"/>
      <c r="W1272" s="68"/>
      <c r="X1272" s="68"/>
      <c r="Y1272" s="68"/>
      <c r="Z1272" s="68"/>
      <c r="AA1272" s="68"/>
    </row>
    <row r="1273" ht="26.25" customHeight="1">
      <c r="A1273" s="68"/>
      <c r="B1273" s="68"/>
      <c r="C1273" s="68"/>
      <c r="D1273" s="71"/>
      <c r="E1273" s="71"/>
      <c r="F1273" s="71"/>
      <c r="G1273" s="65"/>
      <c r="H1273" s="74"/>
      <c r="I1273" s="67" t="str">
        <f>IFERROR(__xludf.DUMMYFUNCTION("if($H1273="""", """", AVERAGE(split($H1273, "";"")))"),"")</f>
        <v/>
      </c>
      <c r="J1273" s="67" t="str">
        <f>IFERROR(__xludf.DUMMYFUNCTION("if(H1273="""", """", SUM(split(H1273, "";"")))"),"")</f>
        <v/>
      </c>
      <c r="K1273" s="68"/>
      <c r="L1273" s="68"/>
      <c r="M1273" s="68"/>
      <c r="N1273" s="68"/>
      <c r="O1273" s="68"/>
      <c r="P1273" s="68"/>
      <c r="Q1273" s="68"/>
      <c r="R1273" s="68"/>
      <c r="S1273" s="68"/>
      <c r="T1273" s="68"/>
      <c r="U1273" s="68"/>
      <c r="V1273" s="68"/>
      <c r="W1273" s="68"/>
      <c r="X1273" s="68"/>
      <c r="Y1273" s="68"/>
      <c r="Z1273" s="68"/>
      <c r="AA1273" s="68"/>
    </row>
    <row r="1274" ht="26.25" customHeight="1">
      <c r="A1274" s="68"/>
      <c r="B1274" s="68"/>
      <c r="C1274" s="68"/>
      <c r="D1274" s="71"/>
      <c r="E1274" s="71"/>
      <c r="F1274" s="71"/>
      <c r="G1274" s="65"/>
      <c r="H1274" s="74"/>
      <c r="I1274" s="67" t="str">
        <f>IFERROR(__xludf.DUMMYFUNCTION("if($H1274="""", """", AVERAGE(split($H1274, "";"")))"),"")</f>
        <v/>
      </c>
      <c r="J1274" s="67" t="str">
        <f>IFERROR(__xludf.DUMMYFUNCTION("if(H1274="""", """", SUM(split(H1274, "";"")))"),"")</f>
        <v/>
      </c>
      <c r="K1274" s="68"/>
      <c r="L1274" s="68"/>
      <c r="M1274" s="68"/>
      <c r="N1274" s="68"/>
      <c r="O1274" s="68"/>
      <c r="P1274" s="68"/>
      <c r="Q1274" s="68"/>
      <c r="R1274" s="68"/>
      <c r="S1274" s="68"/>
      <c r="T1274" s="68"/>
      <c r="U1274" s="68"/>
      <c r="V1274" s="68"/>
      <c r="W1274" s="68"/>
      <c r="X1274" s="68"/>
      <c r="Y1274" s="68"/>
      <c r="Z1274" s="68"/>
      <c r="AA1274" s="68"/>
    </row>
    <row r="1275" ht="26.25" customHeight="1">
      <c r="A1275" s="68"/>
      <c r="B1275" s="68"/>
      <c r="C1275" s="68"/>
      <c r="D1275" s="71"/>
      <c r="E1275" s="71"/>
      <c r="F1275" s="71"/>
      <c r="G1275" s="65"/>
      <c r="H1275" s="74"/>
      <c r="I1275" s="67" t="str">
        <f>IFERROR(__xludf.DUMMYFUNCTION("if($H1275="""", """", AVERAGE(split($H1275, "";"")))"),"")</f>
        <v/>
      </c>
      <c r="J1275" s="67" t="str">
        <f>IFERROR(__xludf.DUMMYFUNCTION("if(H1275="""", """", SUM(split(H1275, "";"")))"),"")</f>
        <v/>
      </c>
      <c r="K1275" s="68"/>
      <c r="L1275" s="68"/>
      <c r="M1275" s="68"/>
      <c r="N1275" s="68"/>
      <c r="O1275" s="68"/>
      <c r="P1275" s="68"/>
      <c r="Q1275" s="68"/>
      <c r="R1275" s="68"/>
      <c r="S1275" s="68"/>
      <c r="T1275" s="68"/>
      <c r="U1275" s="68"/>
      <c r="V1275" s="68"/>
      <c r="W1275" s="68"/>
      <c r="X1275" s="68"/>
      <c r="Y1275" s="68"/>
      <c r="Z1275" s="68"/>
      <c r="AA1275" s="68"/>
    </row>
    <row r="1276" ht="26.25" customHeight="1">
      <c r="A1276" s="68"/>
      <c r="B1276" s="68"/>
      <c r="C1276" s="68"/>
      <c r="D1276" s="71"/>
      <c r="E1276" s="71"/>
      <c r="F1276" s="71"/>
      <c r="G1276" s="65"/>
      <c r="H1276" s="74"/>
      <c r="I1276" s="67" t="str">
        <f>IFERROR(__xludf.DUMMYFUNCTION("if($H1276="""", """", AVERAGE(split($H1276, "";"")))"),"")</f>
        <v/>
      </c>
      <c r="J1276" s="67" t="str">
        <f>IFERROR(__xludf.DUMMYFUNCTION("if(H1276="""", """", SUM(split(H1276, "";"")))"),"")</f>
        <v/>
      </c>
      <c r="K1276" s="68"/>
      <c r="L1276" s="68"/>
      <c r="M1276" s="68"/>
      <c r="N1276" s="68"/>
      <c r="O1276" s="68"/>
      <c r="P1276" s="68"/>
      <c r="Q1276" s="68"/>
      <c r="R1276" s="68"/>
      <c r="S1276" s="68"/>
      <c r="T1276" s="68"/>
      <c r="U1276" s="68"/>
      <c r="V1276" s="68"/>
      <c r="W1276" s="68"/>
      <c r="X1276" s="68"/>
      <c r="Y1276" s="68"/>
      <c r="Z1276" s="68"/>
      <c r="AA1276" s="68"/>
    </row>
    <row r="1277" ht="26.25" customHeight="1">
      <c r="A1277" s="68"/>
      <c r="B1277" s="68"/>
      <c r="C1277" s="68"/>
      <c r="D1277" s="71"/>
      <c r="E1277" s="71"/>
      <c r="F1277" s="71"/>
      <c r="G1277" s="65"/>
      <c r="H1277" s="74"/>
      <c r="I1277" s="67" t="str">
        <f>IFERROR(__xludf.DUMMYFUNCTION("if($H1277="""", """", AVERAGE(split($H1277, "";"")))"),"")</f>
        <v/>
      </c>
      <c r="J1277" s="67" t="str">
        <f>IFERROR(__xludf.DUMMYFUNCTION("if(H1277="""", """", SUM(split(H1277, "";"")))"),"")</f>
        <v/>
      </c>
      <c r="K1277" s="68"/>
      <c r="L1277" s="68"/>
      <c r="M1277" s="68"/>
      <c r="N1277" s="68"/>
      <c r="O1277" s="68"/>
      <c r="P1277" s="68"/>
      <c r="Q1277" s="68"/>
      <c r="R1277" s="68"/>
      <c r="S1277" s="68"/>
      <c r="T1277" s="68"/>
      <c r="U1277" s="68"/>
      <c r="V1277" s="68"/>
      <c r="W1277" s="68"/>
      <c r="X1277" s="68"/>
      <c r="Y1277" s="68"/>
      <c r="Z1277" s="68"/>
      <c r="AA1277" s="68"/>
    </row>
    <row r="1278" ht="26.25" customHeight="1">
      <c r="A1278" s="68"/>
      <c r="B1278" s="68"/>
      <c r="C1278" s="68"/>
      <c r="D1278" s="71"/>
      <c r="E1278" s="71"/>
      <c r="F1278" s="71"/>
      <c r="G1278" s="65"/>
      <c r="H1278" s="74"/>
      <c r="I1278" s="67" t="str">
        <f>IFERROR(__xludf.DUMMYFUNCTION("if($H1278="""", """", AVERAGE(split($H1278, "";"")))"),"")</f>
        <v/>
      </c>
      <c r="J1278" s="67" t="str">
        <f>IFERROR(__xludf.DUMMYFUNCTION("if(H1278="""", """", SUM(split(H1278, "";"")))"),"")</f>
        <v/>
      </c>
      <c r="K1278" s="68"/>
      <c r="L1278" s="68"/>
      <c r="M1278" s="68"/>
      <c r="N1278" s="68"/>
      <c r="O1278" s="68"/>
      <c r="P1278" s="68"/>
      <c r="Q1278" s="68"/>
      <c r="R1278" s="68"/>
      <c r="S1278" s="68"/>
      <c r="T1278" s="68"/>
      <c r="U1278" s="68"/>
      <c r="V1278" s="68"/>
      <c r="W1278" s="68"/>
      <c r="X1278" s="68"/>
      <c r="Y1278" s="68"/>
      <c r="Z1278" s="68"/>
      <c r="AA1278" s="68"/>
    </row>
    <row r="1279" ht="26.25" customHeight="1">
      <c r="A1279" s="68"/>
      <c r="B1279" s="68"/>
      <c r="C1279" s="68"/>
      <c r="D1279" s="71"/>
      <c r="E1279" s="71"/>
      <c r="F1279" s="71"/>
      <c r="G1279" s="65"/>
      <c r="H1279" s="74"/>
      <c r="I1279" s="67" t="str">
        <f>IFERROR(__xludf.DUMMYFUNCTION("if($H1279="""", """", AVERAGE(split($H1279, "";"")))"),"")</f>
        <v/>
      </c>
      <c r="J1279" s="67" t="str">
        <f>IFERROR(__xludf.DUMMYFUNCTION("if(H1279="""", """", SUM(split(H1279, "";"")))"),"")</f>
        <v/>
      </c>
      <c r="K1279" s="68"/>
      <c r="L1279" s="68"/>
      <c r="M1279" s="68"/>
      <c r="N1279" s="68"/>
      <c r="O1279" s="68"/>
      <c r="P1279" s="68"/>
      <c r="Q1279" s="68"/>
      <c r="R1279" s="68"/>
      <c r="S1279" s="68"/>
      <c r="T1279" s="68"/>
      <c r="U1279" s="68"/>
      <c r="V1279" s="68"/>
      <c r="W1279" s="68"/>
      <c r="X1279" s="68"/>
      <c r="Y1279" s="68"/>
      <c r="Z1279" s="68"/>
      <c r="AA1279" s="68"/>
    </row>
    <row r="1280" ht="26.25" customHeight="1">
      <c r="A1280" s="68"/>
      <c r="B1280" s="68"/>
      <c r="C1280" s="68"/>
      <c r="D1280" s="71"/>
      <c r="E1280" s="71"/>
      <c r="F1280" s="71"/>
      <c r="G1280" s="65"/>
      <c r="H1280" s="74"/>
      <c r="I1280" s="67" t="str">
        <f>IFERROR(__xludf.DUMMYFUNCTION("if($H1280="""", """", AVERAGE(split($H1280, "";"")))"),"")</f>
        <v/>
      </c>
      <c r="J1280" s="67" t="str">
        <f>IFERROR(__xludf.DUMMYFUNCTION("if(H1280="""", """", SUM(split(H1280, "";"")))"),"")</f>
        <v/>
      </c>
      <c r="K1280" s="68"/>
      <c r="L1280" s="68"/>
      <c r="M1280" s="68"/>
      <c r="N1280" s="68"/>
      <c r="O1280" s="68"/>
      <c r="P1280" s="68"/>
      <c r="Q1280" s="68"/>
      <c r="R1280" s="68"/>
      <c r="S1280" s="68"/>
      <c r="T1280" s="68"/>
      <c r="U1280" s="68"/>
      <c r="V1280" s="68"/>
      <c r="W1280" s="68"/>
      <c r="X1280" s="68"/>
      <c r="Y1280" s="68"/>
      <c r="Z1280" s="68"/>
      <c r="AA1280" s="68"/>
    </row>
    <row r="1281" ht="26.25" customHeight="1">
      <c r="A1281" s="68"/>
      <c r="B1281" s="68"/>
      <c r="C1281" s="68"/>
      <c r="D1281" s="71"/>
      <c r="E1281" s="71"/>
      <c r="F1281" s="71"/>
      <c r="G1281" s="65"/>
      <c r="H1281" s="74"/>
      <c r="I1281" s="67" t="str">
        <f>IFERROR(__xludf.DUMMYFUNCTION("if($H1281="""", """", AVERAGE(split($H1281, "";"")))"),"")</f>
        <v/>
      </c>
      <c r="J1281" s="67" t="str">
        <f>IFERROR(__xludf.DUMMYFUNCTION("if(H1281="""", """", SUM(split(H1281, "";"")))"),"")</f>
        <v/>
      </c>
      <c r="K1281" s="68"/>
      <c r="L1281" s="68"/>
      <c r="M1281" s="68"/>
      <c r="N1281" s="68"/>
      <c r="O1281" s="68"/>
      <c r="P1281" s="68"/>
      <c r="Q1281" s="68"/>
      <c r="R1281" s="68"/>
      <c r="S1281" s="68"/>
      <c r="T1281" s="68"/>
      <c r="U1281" s="68"/>
      <c r="V1281" s="68"/>
      <c r="W1281" s="68"/>
      <c r="X1281" s="68"/>
      <c r="Y1281" s="68"/>
      <c r="Z1281" s="68"/>
      <c r="AA1281" s="68"/>
    </row>
    <row r="1282" ht="26.25" customHeight="1">
      <c r="A1282" s="68"/>
      <c r="B1282" s="68"/>
      <c r="C1282" s="68"/>
      <c r="D1282" s="71"/>
      <c r="E1282" s="71"/>
      <c r="F1282" s="71"/>
      <c r="G1282" s="65"/>
      <c r="H1282" s="74"/>
      <c r="I1282" s="67" t="str">
        <f>IFERROR(__xludf.DUMMYFUNCTION("if($H1282="""", """", AVERAGE(split($H1282, "";"")))"),"")</f>
        <v/>
      </c>
      <c r="J1282" s="67" t="str">
        <f>IFERROR(__xludf.DUMMYFUNCTION("if(H1282="""", """", SUM(split(H1282, "";"")))"),"")</f>
        <v/>
      </c>
      <c r="K1282" s="68"/>
      <c r="L1282" s="68"/>
      <c r="M1282" s="68"/>
      <c r="N1282" s="68"/>
      <c r="O1282" s="68"/>
      <c r="P1282" s="68"/>
      <c r="Q1282" s="68"/>
      <c r="R1282" s="68"/>
      <c r="S1282" s="68"/>
      <c r="T1282" s="68"/>
      <c r="U1282" s="68"/>
      <c r="V1282" s="68"/>
      <c r="W1282" s="68"/>
      <c r="X1282" s="68"/>
      <c r="Y1282" s="68"/>
      <c r="Z1282" s="68"/>
      <c r="AA1282" s="68"/>
    </row>
    <row r="1283" ht="26.25" customHeight="1">
      <c r="A1283" s="68"/>
      <c r="B1283" s="68"/>
      <c r="C1283" s="68"/>
      <c r="D1283" s="71"/>
      <c r="E1283" s="71"/>
      <c r="F1283" s="71"/>
      <c r="G1283" s="65"/>
      <c r="H1283" s="74"/>
      <c r="I1283" s="67" t="str">
        <f>IFERROR(__xludf.DUMMYFUNCTION("if($H1283="""", """", AVERAGE(split($H1283, "";"")))"),"")</f>
        <v/>
      </c>
      <c r="J1283" s="67" t="str">
        <f>IFERROR(__xludf.DUMMYFUNCTION("if(H1283="""", """", SUM(split(H1283, "";"")))"),"")</f>
        <v/>
      </c>
      <c r="K1283" s="68"/>
      <c r="L1283" s="68"/>
      <c r="M1283" s="68"/>
      <c r="N1283" s="68"/>
      <c r="O1283" s="68"/>
      <c r="P1283" s="68"/>
      <c r="Q1283" s="68"/>
      <c r="R1283" s="68"/>
      <c r="S1283" s="68"/>
      <c r="T1283" s="68"/>
      <c r="U1283" s="68"/>
      <c r="V1283" s="68"/>
      <c r="W1283" s="68"/>
      <c r="X1283" s="68"/>
      <c r="Y1283" s="68"/>
      <c r="Z1283" s="68"/>
      <c r="AA1283" s="68"/>
    </row>
    <row r="1284" ht="26.25" customHeight="1">
      <c r="A1284" s="68"/>
      <c r="B1284" s="68"/>
      <c r="C1284" s="68"/>
      <c r="D1284" s="71"/>
      <c r="E1284" s="71"/>
      <c r="F1284" s="71"/>
      <c r="G1284" s="65"/>
      <c r="H1284" s="74"/>
      <c r="I1284" s="67" t="str">
        <f>IFERROR(__xludf.DUMMYFUNCTION("if($H1284="""", """", AVERAGE(split($H1284, "";"")))"),"")</f>
        <v/>
      </c>
      <c r="J1284" s="67" t="str">
        <f>IFERROR(__xludf.DUMMYFUNCTION("if(H1284="""", """", SUM(split(H1284, "";"")))"),"")</f>
        <v/>
      </c>
      <c r="K1284" s="68"/>
      <c r="L1284" s="68"/>
      <c r="M1284" s="68"/>
      <c r="N1284" s="68"/>
      <c r="O1284" s="68"/>
      <c r="P1284" s="68"/>
      <c r="Q1284" s="68"/>
      <c r="R1284" s="68"/>
      <c r="S1284" s="68"/>
      <c r="T1284" s="68"/>
      <c r="U1284" s="68"/>
      <c r="V1284" s="68"/>
      <c r="W1284" s="68"/>
      <c r="X1284" s="68"/>
      <c r="Y1284" s="68"/>
      <c r="Z1284" s="68"/>
      <c r="AA1284" s="68"/>
    </row>
    <row r="1285" ht="26.25" customHeight="1">
      <c r="A1285" s="68"/>
      <c r="B1285" s="68"/>
      <c r="C1285" s="68"/>
      <c r="D1285" s="71"/>
      <c r="E1285" s="71"/>
      <c r="F1285" s="71"/>
      <c r="G1285" s="65"/>
      <c r="H1285" s="74"/>
      <c r="I1285" s="67" t="str">
        <f>IFERROR(__xludf.DUMMYFUNCTION("if($H1285="""", """", AVERAGE(split($H1285, "";"")))"),"")</f>
        <v/>
      </c>
      <c r="J1285" s="67" t="str">
        <f>IFERROR(__xludf.DUMMYFUNCTION("if(H1285="""", """", SUM(split(H1285, "";"")))"),"")</f>
        <v/>
      </c>
      <c r="K1285" s="68"/>
      <c r="L1285" s="68"/>
      <c r="M1285" s="68"/>
      <c r="N1285" s="68"/>
      <c r="O1285" s="68"/>
      <c r="P1285" s="68"/>
      <c r="Q1285" s="68"/>
      <c r="R1285" s="68"/>
      <c r="S1285" s="68"/>
      <c r="T1285" s="68"/>
      <c r="U1285" s="68"/>
      <c r="V1285" s="68"/>
      <c r="W1285" s="68"/>
      <c r="X1285" s="68"/>
      <c r="Y1285" s="68"/>
      <c r="Z1285" s="68"/>
      <c r="AA1285" s="68"/>
    </row>
    <row r="1286" ht="26.25" customHeight="1">
      <c r="A1286" s="68"/>
      <c r="B1286" s="68"/>
      <c r="C1286" s="68"/>
      <c r="D1286" s="71"/>
      <c r="E1286" s="71"/>
      <c r="F1286" s="71"/>
      <c r="G1286" s="65"/>
      <c r="H1286" s="74"/>
      <c r="I1286" s="67" t="str">
        <f>IFERROR(__xludf.DUMMYFUNCTION("if($H1286="""", """", AVERAGE(split($H1286, "";"")))"),"")</f>
        <v/>
      </c>
      <c r="J1286" s="67" t="str">
        <f>IFERROR(__xludf.DUMMYFUNCTION("if(H1286="""", """", SUM(split(H1286, "";"")))"),"")</f>
        <v/>
      </c>
      <c r="K1286" s="68"/>
      <c r="L1286" s="68"/>
      <c r="M1286" s="68"/>
      <c r="N1286" s="68"/>
      <c r="O1286" s="68"/>
      <c r="P1286" s="68"/>
      <c r="Q1286" s="68"/>
      <c r="R1286" s="68"/>
      <c r="S1286" s="68"/>
      <c r="T1286" s="68"/>
      <c r="U1286" s="68"/>
      <c r="V1286" s="68"/>
      <c r="W1286" s="68"/>
      <c r="X1286" s="68"/>
      <c r="Y1286" s="68"/>
      <c r="Z1286" s="68"/>
      <c r="AA1286" s="68"/>
    </row>
    <row r="1287" ht="26.25" customHeight="1">
      <c r="A1287" s="68"/>
      <c r="B1287" s="68"/>
      <c r="C1287" s="68"/>
      <c r="D1287" s="71"/>
      <c r="E1287" s="71"/>
      <c r="F1287" s="71"/>
      <c r="G1287" s="65"/>
      <c r="H1287" s="74"/>
      <c r="I1287" s="67" t="str">
        <f>IFERROR(__xludf.DUMMYFUNCTION("if($H1287="""", """", AVERAGE(split($H1287, "";"")))"),"")</f>
        <v/>
      </c>
      <c r="J1287" s="67" t="str">
        <f>IFERROR(__xludf.DUMMYFUNCTION("if(H1287="""", """", SUM(split(H1287, "";"")))"),"")</f>
        <v/>
      </c>
      <c r="K1287" s="68"/>
      <c r="L1287" s="68"/>
      <c r="M1287" s="68"/>
      <c r="N1287" s="68"/>
      <c r="O1287" s="68"/>
      <c r="P1287" s="68"/>
      <c r="Q1287" s="68"/>
      <c r="R1287" s="68"/>
      <c r="S1287" s="68"/>
      <c r="T1287" s="68"/>
      <c r="U1287" s="68"/>
      <c r="V1287" s="68"/>
      <c r="W1287" s="68"/>
      <c r="X1287" s="68"/>
      <c r="Y1287" s="68"/>
      <c r="Z1287" s="68"/>
      <c r="AA1287" s="68"/>
    </row>
    <row r="1288" ht="26.25" customHeight="1">
      <c r="A1288" s="68"/>
      <c r="B1288" s="68"/>
      <c r="C1288" s="68"/>
      <c r="D1288" s="71"/>
      <c r="E1288" s="71"/>
      <c r="F1288" s="71"/>
      <c r="G1288" s="65"/>
      <c r="H1288" s="74"/>
      <c r="I1288" s="67" t="str">
        <f>IFERROR(__xludf.DUMMYFUNCTION("if($H1288="""", """", AVERAGE(split($H1288, "";"")))"),"")</f>
        <v/>
      </c>
      <c r="J1288" s="67" t="str">
        <f>IFERROR(__xludf.DUMMYFUNCTION("if(H1288="""", """", SUM(split(H1288, "";"")))"),"")</f>
        <v/>
      </c>
      <c r="K1288" s="68"/>
      <c r="L1288" s="68"/>
      <c r="M1288" s="68"/>
      <c r="N1288" s="68"/>
      <c r="O1288" s="68"/>
      <c r="P1288" s="68"/>
      <c r="Q1288" s="68"/>
      <c r="R1288" s="68"/>
      <c r="S1288" s="68"/>
      <c r="T1288" s="68"/>
      <c r="U1288" s="68"/>
      <c r="V1288" s="68"/>
      <c r="W1288" s="68"/>
      <c r="X1288" s="68"/>
      <c r="Y1288" s="68"/>
      <c r="Z1288" s="68"/>
      <c r="AA1288" s="68"/>
    </row>
    <row r="1289" ht="26.25" customHeight="1">
      <c r="A1289" s="68"/>
      <c r="B1289" s="68"/>
      <c r="C1289" s="68"/>
      <c r="D1289" s="71"/>
      <c r="E1289" s="71"/>
      <c r="F1289" s="71"/>
      <c r="G1289" s="65"/>
      <c r="H1289" s="74"/>
      <c r="I1289" s="67" t="str">
        <f>IFERROR(__xludf.DUMMYFUNCTION("if($H1289="""", """", AVERAGE(split($H1289, "";"")))"),"")</f>
        <v/>
      </c>
      <c r="J1289" s="67" t="str">
        <f>IFERROR(__xludf.DUMMYFUNCTION("if(H1289="""", """", SUM(split(H1289, "";"")))"),"")</f>
        <v/>
      </c>
      <c r="K1289" s="68"/>
      <c r="L1289" s="68"/>
      <c r="M1289" s="68"/>
      <c r="N1289" s="68"/>
      <c r="O1289" s="68"/>
      <c r="P1289" s="68"/>
      <c r="Q1289" s="68"/>
      <c r="R1289" s="68"/>
      <c r="S1289" s="68"/>
      <c r="T1289" s="68"/>
      <c r="U1289" s="68"/>
      <c r="V1289" s="68"/>
      <c r="W1289" s="68"/>
      <c r="X1289" s="68"/>
      <c r="Y1289" s="68"/>
      <c r="Z1289" s="68"/>
      <c r="AA1289" s="68"/>
    </row>
    <row r="1290" ht="26.25" customHeight="1">
      <c r="A1290" s="68"/>
      <c r="B1290" s="68"/>
      <c r="C1290" s="68"/>
      <c r="D1290" s="71"/>
      <c r="E1290" s="71"/>
      <c r="F1290" s="71"/>
      <c r="G1290" s="65"/>
      <c r="H1290" s="74"/>
      <c r="I1290" s="67" t="str">
        <f>IFERROR(__xludf.DUMMYFUNCTION("if($H1290="""", """", AVERAGE(split($H1290, "";"")))"),"")</f>
        <v/>
      </c>
      <c r="J1290" s="67" t="str">
        <f>IFERROR(__xludf.DUMMYFUNCTION("if(H1290="""", """", SUM(split(H1290, "";"")))"),"")</f>
        <v/>
      </c>
      <c r="K1290" s="68"/>
      <c r="L1290" s="68"/>
      <c r="M1290" s="68"/>
      <c r="N1290" s="68"/>
      <c r="O1290" s="68"/>
      <c r="P1290" s="68"/>
      <c r="Q1290" s="68"/>
      <c r="R1290" s="68"/>
      <c r="S1290" s="68"/>
      <c r="T1290" s="68"/>
      <c r="U1290" s="68"/>
      <c r="V1290" s="68"/>
      <c r="W1290" s="68"/>
      <c r="X1290" s="68"/>
      <c r="Y1290" s="68"/>
      <c r="Z1290" s="68"/>
      <c r="AA1290" s="68"/>
    </row>
    <row r="1291" ht="26.25" customHeight="1">
      <c r="A1291" s="68"/>
      <c r="B1291" s="68"/>
      <c r="C1291" s="68"/>
      <c r="D1291" s="71"/>
      <c r="E1291" s="71"/>
      <c r="F1291" s="71"/>
      <c r="G1291" s="65"/>
      <c r="H1291" s="74"/>
      <c r="I1291" s="67" t="str">
        <f>IFERROR(__xludf.DUMMYFUNCTION("if($H1291="""", """", AVERAGE(split($H1291, "";"")))"),"")</f>
        <v/>
      </c>
      <c r="J1291" s="67" t="str">
        <f>IFERROR(__xludf.DUMMYFUNCTION("if(H1291="""", """", SUM(split(H1291, "";"")))"),"")</f>
        <v/>
      </c>
      <c r="K1291" s="68"/>
      <c r="L1291" s="68"/>
      <c r="M1291" s="68"/>
      <c r="N1291" s="68"/>
      <c r="O1291" s="68"/>
      <c r="P1291" s="68"/>
      <c r="Q1291" s="68"/>
      <c r="R1291" s="68"/>
      <c r="S1291" s="68"/>
      <c r="T1291" s="68"/>
      <c r="U1291" s="68"/>
      <c r="V1291" s="68"/>
      <c r="W1291" s="68"/>
      <c r="X1291" s="68"/>
      <c r="Y1291" s="68"/>
      <c r="Z1291" s="68"/>
      <c r="AA1291" s="68"/>
    </row>
    <row r="1292" ht="26.25" customHeight="1">
      <c r="A1292" s="68"/>
      <c r="B1292" s="68"/>
      <c r="C1292" s="68"/>
      <c r="D1292" s="71"/>
      <c r="E1292" s="71"/>
      <c r="F1292" s="71"/>
      <c r="G1292" s="65"/>
      <c r="H1292" s="74"/>
      <c r="I1292" s="67" t="str">
        <f>IFERROR(__xludf.DUMMYFUNCTION("if($H1292="""", """", AVERAGE(split($H1292, "";"")))"),"")</f>
        <v/>
      </c>
      <c r="J1292" s="67" t="str">
        <f>IFERROR(__xludf.DUMMYFUNCTION("if(H1292="""", """", SUM(split(H1292, "";"")))"),"")</f>
        <v/>
      </c>
      <c r="K1292" s="68"/>
      <c r="L1292" s="68"/>
      <c r="M1292" s="68"/>
      <c r="N1292" s="68"/>
      <c r="O1292" s="68"/>
      <c r="P1292" s="68"/>
      <c r="Q1292" s="68"/>
      <c r="R1292" s="68"/>
      <c r="S1292" s="68"/>
      <c r="T1292" s="68"/>
      <c r="U1292" s="68"/>
      <c r="V1292" s="68"/>
      <c r="W1292" s="68"/>
      <c r="X1292" s="68"/>
      <c r="Y1292" s="68"/>
      <c r="Z1292" s="68"/>
      <c r="AA1292" s="68"/>
    </row>
    <row r="1293" ht="26.25" customHeight="1">
      <c r="A1293" s="68"/>
      <c r="B1293" s="68"/>
      <c r="C1293" s="68"/>
      <c r="D1293" s="71"/>
      <c r="E1293" s="71"/>
      <c r="F1293" s="71"/>
      <c r="G1293" s="65"/>
      <c r="H1293" s="74"/>
      <c r="I1293" s="67" t="str">
        <f>IFERROR(__xludf.DUMMYFUNCTION("if($H1293="""", """", AVERAGE(split($H1293, "";"")))"),"")</f>
        <v/>
      </c>
      <c r="J1293" s="67" t="str">
        <f>IFERROR(__xludf.DUMMYFUNCTION("if(H1293="""", """", SUM(split(H1293, "";"")))"),"")</f>
        <v/>
      </c>
      <c r="K1293" s="68"/>
      <c r="L1293" s="68"/>
      <c r="M1293" s="68"/>
      <c r="N1293" s="68"/>
      <c r="O1293" s="68"/>
      <c r="P1293" s="68"/>
      <c r="Q1293" s="68"/>
      <c r="R1293" s="68"/>
      <c r="S1293" s="68"/>
      <c r="T1293" s="68"/>
      <c r="U1293" s="68"/>
      <c r="V1293" s="68"/>
      <c r="W1293" s="68"/>
      <c r="X1293" s="68"/>
      <c r="Y1293" s="68"/>
      <c r="Z1293" s="68"/>
      <c r="AA1293" s="68"/>
    </row>
    <row r="1294" ht="26.25" customHeight="1">
      <c r="A1294" s="68"/>
      <c r="B1294" s="68"/>
      <c r="C1294" s="68"/>
      <c r="D1294" s="71"/>
      <c r="E1294" s="71"/>
      <c r="F1294" s="71"/>
      <c r="G1294" s="65"/>
      <c r="H1294" s="74"/>
      <c r="I1294" s="67" t="str">
        <f>IFERROR(__xludf.DUMMYFUNCTION("if($H1294="""", """", AVERAGE(split($H1294, "";"")))"),"")</f>
        <v/>
      </c>
      <c r="J1294" s="67" t="str">
        <f>IFERROR(__xludf.DUMMYFUNCTION("if(H1294="""", """", SUM(split(H1294, "";"")))"),"")</f>
        <v/>
      </c>
      <c r="K1294" s="68"/>
      <c r="L1294" s="68"/>
      <c r="M1294" s="68"/>
      <c r="N1294" s="68"/>
      <c r="O1294" s="68"/>
      <c r="P1294" s="68"/>
      <c r="Q1294" s="68"/>
      <c r="R1294" s="68"/>
      <c r="S1294" s="68"/>
      <c r="T1294" s="68"/>
      <c r="U1294" s="68"/>
      <c r="V1294" s="68"/>
      <c r="W1294" s="68"/>
      <c r="X1294" s="68"/>
      <c r="Y1294" s="68"/>
      <c r="Z1294" s="68"/>
      <c r="AA1294" s="68"/>
    </row>
    <row r="1295" ht="26.25" customHeight="1">
      <c r="A1295" s="68"/>
      <c r="B1295" s="68"/>
      <c r="C1295" s="68"/>
      <c r="D1295" s="71"/>
      <c r="E1295" s="71"/>
      <c r="F1295" s="71"/>
      <c r="G1295" s="65"/>
      <c r="H1295" s="74"/>
      <c r="I1295" s="67" t="str">
        <f>IFERROR(__xludf.DUMMYFUNCTION("if($H1295="""", """", AVERAGE(split($H1295, "";"")))"),"")</f>
        <v/>
      </c>
      <c r="J1295" s="67" t="str">
        <f>IFERROR(__xludf.DUMMYFUNCTION("if(H1295="""", """", SUM(split(H1295, "";"")))"),"")</f>
        <v/>
      </c>
      <c r="K1295" s="68"/>
      <c r="L1295" s="68"/>
      <c r="M1295" s="68"/>
      <c r="N1295" s="68"/>
      <c r="O1295" s="68"/>
      <c r="P1295" s="68"/>
      <c r="Q1295" s="68"/>
      <c r="R1295" s="68"/>
      <c r="S1295" s="68"/>
      <c r="T1295" s="68"/>
      <c r="U1295" s="68"/>
      <c r="V1295" s="68"/>
      <c r="W1295" s="68"/>
      <c r="X1295" s="68"/>
      <c r="Y1295" s="68"/>
      <c r="Z1295" s="68"/>
      <c r="AA1295" s="68"/>
    </row>
    <row r="1296" ht="26.25" customHeight="1">
      <c r="A1296" s="68"/>
      <c r="B1296" s="68"/>
      <c r="C1296" s="68"/>
      <c r="D1296" s="71"/>
      <c r="E1296" s="71"/>
      <c r="F1296" s="71"/>
      <c r="G1296" s="65"/>
      <c r="H1296" s="74"/>
      <c r="I1296" s="67" t="str">
        <f>IFERROR(__xludf.DUMMYFUNCTION("if($H1296="""", """", AVERAGE(split($H1296, "";"")))"),"")</f>
        <v/>
      </c>
      <c r="J1296" s="67" t="str">
        <f>IFERROR(__xludf.DUMMYFUNCTION("if(H1296="""", """", SUM(split(H1296, "";"")))"),"")</f>
        <v/>
      </c>
      <c r="K1296" s="68"/>
      <c r="L1296" s="68"/>
      <c r="M1296" s="68"/>
      <c r="N1296" s="68"/>
      <c r="O1296" s="68"/>
      <c r="P1296" s="68"/>
      <c r="Q1296" s="68"/>
      <c r="R1296" s="68"/>
      <c r="S1296" s="68"/>
      <c r="T1296" s="68"/>
      <c r="U1296" s="68"/>
      <c r="V1296" s="68"/>
      <c r="W1296" s="68"/>
      <c r="X1296" s="68"/>
      <c r="Y1296" s="68"/>
      <c r="Z1296" s="68"/>
      <c r="AA1296" s="68"/>
    </row>
    <row r="1297" ht="26.25" customHeight="1">
      <c r="A1297" s="68"/>
      <c r="B1297" s="68"/>
      <c r="C1297" s="68"/>
      <c r="D1297" s="71"/>
      <c r="E1297" s="71"/>
      <c r="F1297" s="71"/>
      <c r="G1297" s="65"/>
      <c r="H1297" s="74"/>
      <c r="I1297" s="67" t="str">
        <f>IFERROR(__xludf.DUMMYFUNCTION("if($H1297="""", """", AVERAGE(split($H1297, "";"")))"),"")</f>
        <v/>
      </c>
      <c r="J1297" s="67" t="str">
        <f>IFERROR(__xludf.DUMMYFUNCTION("if(H1297="""", """", SUM(split(H1297, "";"")))"),"")</f>
        <v/>
      </c>
      <c r="K1297" s="68"/>
      <c r="L1297" s="68"/>
      <c r="M1297" s="68"/>
      <c r="N1297" s="68"/>
      <c r="O1297" s="68"/>
      <c r="P1297" s="68"/>
      <c r="Q1297" s="68"/>
      <c r="R1297" s="68"/>
      <c r="S1297" s="68"/>
      <c r="T1297" s="68"/>
      <c r="U1297" s="68"/>
      <c r="V1297" s="68"/>
      <c r="W1297" s="68"/>
      <c r="X1297" s="68"/>
      <c r="Y1297" s="68"/>
      <c r="Z1297" s="68"/>
      <c r="AA1297" s="68"/>
    </row>
    <row r="1298" ht="26.25" customHeight="1">
      <c r="A1298" s="68"/>
      <c r="B1298" s="68"/>
      <c r="C1298" s="68"/>
      <c r="D1298" s="71"/>
      <c r="E1298" s="71"/>
      <c r="F1298" s="71"/>
      <c r="G1298" s="65"/>
      <c r="H1298" s="74"/>
      <c r="I1298" s="67" t="str">
        <f>IFERROR(__xludf.DUMMYFUNCTION("if($H1298="""", """", AVERAGE(split($H1298, "";"")))"),"")</f>
        <v/>
      </c>
      <c r="J1298" s="67" t="str">
        <f>IFERROR(__xludf.DUMMYFUNCTION("if(H1298="""", """", SUM(split(H1298, "";"")))"),"")</f>
        <v/>
      </c>
      <c r="K1298" s="68"/>
      <c r="L1298" s="68"/>
      <c r="M1298" s="68"/>
      <c r="N1298" s="68"/>
      <c r="O1298" s="68"/>
      <c r="P1298" s="68"/>
      <c r="Q1298" s="68"/>
      <c r="R1298" s="68"/>
      <c r="S1298" s="68"/>
      <c r="T1298" s="68"/>
      <c r="U1298" s="68"/>
      <c r="V1298" s="68"/>
      <c r="W1298" s="68"/>
      <c r="X1298" s="68"/>
      <c r="Y1298" s="68"/>
      <c r="Z1298" s="68"/>
      <c r="AA1298" s="68"/>
    </row>
    <row r="1299" ht="26.25" customHeight="1">
      <c r="A1299" s="68"/>
      <c r="B1299" s="68"/>
      <c r="C1299" s="68"/>
      <c r="D1299" s="71"/>
      <c r="E1299" s="71"/>
      <c r="F1299" s="71"/>
      <c r="G1299" s="65"/>
      <c r="H1299" s="74"/>
      <c r="I1299" s="67" t="str">
        <f>IFERROR(__xludf.DUMMYFUNCTION("if($H1299="""", """", AVERAGE(split($H1299, "";"")))"),"")</f>
        <v/>
      </c>
      <c r="J1299" s="67" t="str">
        <f>IFERROR(__xludf.DUMMYFUNCTION("if(H1299="""", """", SUM(split(H1299, "";"")))"),"")</f>
        <v/>
      </c>
      <c r="K1299" s="68"/>
      <c r="L1299" s="68"/>
      <c r="M1299" s="68"/>
      <c r="N1299" s="68"/>
      <c r="O1299" s="68"/>
      <c r="P1299" s="68"/>
      <c r="Q1299" s="68"/>
      <c r="R1299" s="68"/>
      <c r="S1299" s="68"/>
      <c r="T1299" s="68"/>
      <c r="U1299" s="68"/>
      <c r="V1299" s="68"/>
      <c r="W1299" s="68"/>
      <c r="X1299" s="68"/>
      <c r="Y1299" s="68"/>
      <c r="Z1299" s="68"/>
      <c r="AA1299" s="68"/>
    </row>
    <row r="1300" ht="26.25" customHeight="1">
      <c r="A1300" s="68"/>
      <c r="B1300" s="68"/>
      <c r="C1300" s="68"/>
      <c r="D1300" s="71"/>
      <c r="E1300" s="71"/>
      <c r="F1300" s="71"/>
      <c r="G1300" s="65"/>
      <c r="H1300" s="74"/>
      <c r="I1300" s="67" t="str">
        <f>IFERROR(__xludf.DUMMYFUNCTION("if($H1300="""", """", AVERAGE(split($H1300, "";"")))"),"")</f>
        <v/>
      </c>
      <c r="J1300" s="67" t="str">
        <f>IFERROR(__xludf.DUMMYFUNCTION("if(H1300="""", """", SUM(split(H1300, "";"")))"),"")</f>
        <v/>
      </c>
      <c r="K1300" s="68"/>
      <c r="L1300" s="68"/>
      <c r="M1300" s="68"/>
      <c r="N1300" s="68"/>
      <c r="O1300" s="68"/>
      <c r="P1300" s="68"/>
      <c r="Q1300" s="68"/>
      <c r="R1300" s="68"/>
      <c r="S1300" s="68"/>
      <c r="T1300" s="68"/>
      <c r="U1300" s="68"/>
      <c r="V1300" s="68"/>
      <c r="W1300" s="68"/>
      <c r="X1300" s="68"/>
      <c r="Y1300" s="68"/>
      <c r="Z1300" s="68"/>
      <c r="AA1300" s="68"/>
    </row>
    <row r="1301" ht="26.25" customHeight="1">
      <c r="A1301" s="68"/>
      <c r="B1301" s="68"/>
      <c r="C1301" s="68"/>
      <c r="D1301" s="71"/>
      <c r="E1301" s="71"/>
      <c r="F1301" s="71"/>
      <c r="G1301" s="65"/>
      <c r="H1301" s="74"/>
      <c r="I1301" s="67" t="str">
        <f>IFERROR(__xludf.DUMMYFUNCTION("if($H1301="""", """", AVERAGE(split($H1301, "";"")))"),"")</f>
        <v/>
      </c>
      <c r="J1301" s="67" t="str">
        <f>IFERROR(__xludf.DUMMYFUNCTION("if(H1301="""", """", SUM(split(H1301, "";"")))"),"")</f>
        <v/>
      </c>
      <c r="K1301" s="68"/>
      <c r="L1301" s="68"/>
      <c r="M1301" s="68"/>
      <c r="N1301" s="68"/>
      <c r="O1301" s="68"/>
      <c r="P1301" s="68"/>
      <c r="Q1301" s="68"/>
      <c r="R1301" s="68"/>
      <c r="S1301" s="68"/>
      <c r="T1301" s="68"/>
      <c r="U1301" s="68"/>
      <c r="V1301" s="68"/>
      <c r="W1301" s="68"/>
      <c r="X1301" s="68"/>
      <c r="Y1301" s="68"/>
      <c r="Z1301" s="68"/>
      <c r="AA1301" s="68"/>
    </row>
    <row r="1302" ht="26.25" customHeight="1">
      <c r="A1302" s="68"/>
      <c r="B1302" s="68"/>
      <c r="C1302" s="68"/>
      <c r="D1302" s="71"/>
      <c r="E1302" s="71"/>
      <c r="F1302" s="71"/>
      <c r="G1302" s="65"/>
      <c r="H1302" s="74"/>
      <c r="I1302" s="67" t="str">
        <f>IFERROR(__xludf.DUMMYFUNCTION("if($H1302="""", """", AVERAGE(split($H1302, "";"")))"),"")</f>
        <v/>
      </c>
      <c r="J1302" s="67" t="str">
        <f>IFERROR(__xludf.DUMMYFUNCTION("if(H1302="""", """", SUM(split(H1302, "";"")))"),"")</f>
        <v/>
      </c>
      <c r="K1302" s="68"/>
      <c r="L1302" s="68"/>
      <c r="M1302" s="68"/>
      <c r="N1302" s="68"/>
      <c r="O1302" s="68"/>
      <c r="P1302" s="68"/>
      <c r="Q1302" s="68"/>
      <c r="R1302" s="68"/>
      <c r="S1302" s="68"/>
      <c r="T1302" s="68"/>
      <c r="U1302" s="68"/>
      <c r="V1302" s="68"/>
      <c r="W1302" s="68"/>
      <c r="X1302" s="68"/>
      <c r="Y1302" s="68"/>
      <c r="Z1302" s="68"/>
      <c r="AA1302" s="68"/>
    </row>
    <row r="1303" ht="26.25" customHeight="1">
      <c r="A1303" s="68"/>
      <c r="B1303" s="68"/>
      <c r="C1303" s="68"/>
      <c r="D1303" s="71"/>
      <c r="E1303" s="71"/>
      <c r="F1303" s="71"/>
      <c r="G1303" s="65"/>
      <c r="H1303" s="74"/>
      <c r="I1303" s="67" t="str">
        <f>IFERROR(__xludf.DUMMYFUNCTION("if($H1303="""", """", AVERAGE(split($H1303, "";"")))"),"")</f>
        <v/>
      </c>
      <c r="J1303" s="67" t="str">
        <f>IFERROR(__xludf.DUMMYFUNCTION("if(H1303="""", """", SUM(split(H1303, "";"")))"),"")</f>
        <v/>
      </c>
      <c r="K1303" s="68"/>
      <c r="L1303" s="68"/>
      <c r="M1303" s="68"/>
      <c r="N1303" s="68"/>
      <c r="O1303" s="68"/>
      <c r="P1303" s="68"/>
      <c r="Q1303" s="68"/>
      <c r="R1303" s="68"/>
      <c r="S1303" s="68"/>
      <c r="T1303" s="68"/>
      <c r="U1303" s="68"/>
      <c r="V1303" s="68"/>
      <c r="W1303" s="68"/>
      <c r="X1303" s="68"/>
      <c r="Y1303" s="68"/>
      <c r="Z1303" s="68"/>
      <c r="AA1303" s="68"/>
    </row>
    <row r="1304" ht="26.25" customHeight="1">
      <c r="A1304" s="68"/>
      <c r="B1304" s="68"/>
      <c r="C1304" s="68"/>
      <c r="D1304" s="71"/>
      <c r="E1304" s="71"/>
      <c r="F1304" s="71"/>
      <c r="G1304" s="65"/>
      <c r="H1304" s="74"/>
      <c r="I1304" s="67" t="str">
        <f>IFERROR(__xludf.DUMMYFUNCTION("if($H1304="""", """", AVERAGE(split($H1304, "";"")))"),"")</f>
        <v/>
      </c>
      <c r="J1304" s="67" t="str">
        <f>IFERROR(__xludf.DUMMYFUNCTION("if(H1304="""", """", SUM(split(H1304, "";"")))"),"")</f>
        <v/>
      </c>
      <c r="K1304" s="68"/>
      <c r="L1304" s="68"/>
      <c r="M1304" s="68"/>
      <c r="N1304" s="68"/>
      <c r="O1304" s="68"/>
      <c r="P1304" s="68"/>
      <c r="Q1304" s="68"/>
      <c r="R1304" s="68"/>
      <c r="S1304" s="68"/>
      <c r="T1304" s="68"/>
      <c r="U1304" s="68"/>
      <c r="V1304" s="68"/>
      <c r="W1304" s="68"/>
      <c r="X1304" s="68"/>
      <c r="Y1304" s="68"/>
      <c r="Z1304" s="68"/>
      <c r="AA1304" s="68"/>
    </row>
    <row r="1305" ht="26.25" customHeight="1">
      <c r="A1305" s="68"/>
      <c r="B1305" s="68"/>
      <c r="C1305" s="68"/>
      <c r="D1305" s="71"/>
      <c r="E1305" s="71"/>
      <c r="F1305" s="71"/>
      <c r="G1305" s="65"/>
      <c r="H1305" s="74"/>
      <c r="I1305" s="67" t="str">
        <f>IFERROR(__xludf.DUMMYFUNCTION("if($H1305="""", """", AVERAGE(split($H1305, "";"")))"),"")</f>
        <v/>
      </c>
      <c r="J1305" s="67" t="str">
        <f>IFERROR(__xludf.DUMMYFUNCTION("if(H1305="""", """", SUM(split(H1305, "";"")))"),"")</f>
        <v/>
      </c>
      <c r="K1305" s="68"/>
      <c r="L1305" s="68"/>
      <c r="M1305" s="68"/>
      <c r="N1305" s="68"/>
      <c r="O1305" s="68"/>
      <c r="P1305" s="68"/>
      <c r="Q1305" s="68"/>
      <c r="R1305" s="68"/>
      <c r="S1305" s="68"/>
      <c r="T1305" s="68"/>
      <c r="U1305" s="68"/>
      <c r="V1305" s="68"/>
      <c r="W1305" s="68"/>
      <c r="X1305" s="68"/>
      <c r="Y1305" s="68"/>
      <c r="Z1305" s="68"/>
      <c r="AA1305" s="68"/>
    </row>
    <row r="1306" ht="26.25" customHeight="1">
      <c r="A1306" s="68"/>
      <c r="B1306" s="68"/>
      <c r="C1306" s="68"/>
      <c r="D1306" s="71"/>
      <c r="E1306" s="71"/>
      <c r="F1306" s="71"/>
      <c r="G1306" s="65"/>
      <c r="H1306" s="74"/>
      <c r="I1306" s="67" t="str">
        <f>IFERROR(__xludf.DUMMYFUNCTION("if($H1306="""", """", AVERAGE(split($H1306, "";"")))"),"")</f>
        <v/>
      </c>
      <c r="J1306" s="67" t="str">
        <f>IFERROR(__xludf.DUMMYFUNCTION("if(H1306="""", """", SUM(split(H1306, "";"")))"),"")</f>
        <v/>
      </c>
      <c r="K1306" s="68"/>
      <c r="L1306" s="68"/>
      <c r="M1306" s="68"/>
      <c r="N1306" s="68"/>
      <c r="O1306" s="68"/>
      <c r="P1306" s="68"/>
      <c r="Q1306" s="68"/>
      <c r="R1306" s="68"/>
      <c r="S1306" s="68"/>
      <c r="T1306" s="68"/>
      <c r="U1306" s="68"/>
      <c r="V1306" s="68"/>
      <c r="W1306" s="68"/>
      <c r="X1306" s="68"/>
      <c r="Y1306" s="68"/>
      <c r="Z1306" s="68"/>
      <c r="AA1306" s="68"/>
    </row>
    <row r="1307" ht="26.25" customHeight="1">
      <c r="A1307" s="68"/>
      <c r="B1307" s="68"/>
      <c r="C1307" s="68"/>
      <c r="D1307" s="71"/>
      <c r="E1307" s="71"/>
      <c r="F1307" s="71"/>
      <c r="G1307" s="65"/>
      <c r="H1307" s="74"/>
      <c r="I1307" s="67" t="str">
        <f>IFERROR(__xludf.DUMMYFUNCTION("if($H1307="""", """", AVERAGE(split($H1307, "";"")))"),"")</f>
        <v/>
      </c>
      <c r="J1307" s="67" t="str">
        <f>IFERROR(__xludf.DUMMYFUNCTION("if(H1307="""", """", SUM(split(H1307, "";"")))"),"")</f>
        <v/>
      </c>
      <c r="K1307" s="68"/>
      <c r="L1307" s="68"/>
      <c r="M1307" s="68"/>
      <c r="N1307" s="68"/>
      <c r="O1307" s="68"/>
      <c r="P1307" s="68"/>
      <c r="Q1307" s="68"/>
      <c r="R1307" s="68"/>
      <c r="S1307" s="68"/>
      <c r="T1307" s="68"/>
      <c r="U1307" s="68"/>
      <c r="V1307" s="68"/>
      <c r="W1307" s="68"/>
      <c r="X1307" s="68"/>
      <c r="Y1307" s="68"/>
      <c r="Z1307" s="68"/>
      <c r="AA1307" s="68"/>
    </row>
    <row r="1308" ht="26.25" customHeight="1">
      <c r="A1308" s="68"/>
      <c r="B1308" s="68"/>
      <c r="C1308" s="68"/>
      <c r="D1308" s="71"/>
      <c r="E1308" s="71"/>
      <c r="F1308" s="71"/>
      <c r="G1308" s="65"/>
      <c r="H1308" s="74"/>
      <c r="I1308" s="67" t="str">
        <f>IFERROR(__xludf.DUMMYFUNCTION("if($H1308="""", """", AVERAGE(split($H1308, "";"")))"),"")</f>
        <v/>
      </c>
      <c r="J1308" s="67" t="str">
        <f>IFERROR(__xludf.DUMMYFUNCTION("if(H1308="""", """", SUM(split(H1308, "";"")))"),"")</f>
        <v/>
      </c>
      <c r="K1308" s="68"/>
      <c r="L1308" s="68"/>
      <c r="M1308" s="68"/>
      <c r="N1308" s="68"/>
      <c r="O1308" s="68"/>
      <c r="P1308" s="68"/>
      <c r="Q1308" s="68"/>
      <c r="R1308" s="68"/>
      <c r="S1308" s="68"/>
      <c r="T1308" s="68"/>
      <c r="U1308" s="68"/>
      <c r="V1308" s="68"/>
      <c r="W1308" s="68"/>
      <c r="X1308" s="68"/>
      <c r="Y1308" s="68"/>
      <c r="Z1308" s="68"/>
      <c r="AA1308" s="68"/>
    </row>
    <row r="1309" ht="26.25" customHeight="1">
      <c r="A1309" s="68"/>
      <c r="B1309" s="68"/>
      <c r="C1309" s="68"/>
      <c r="D1309" s="71"/>
      <c r="E1309" s="71"/>
      <c r="F1309" s="71"/>
      <c r="G1309" s="65"/>
      <c r="H1309" s="74"/>
      <c r="I1309" s="67" t="str">
        <f>IFERROR(__xludf.DUMMYFUNCTION("if($H1309="""", """", AVERAGE(split($H1309, "";"")))"),"")</f>
        <v/>
      </c>
      <c r="J1309" s="67" t="str">
        <f>IFERROR(__xludf.DUMMYFUNCTION("if(H1309="""", """", SUM(split(H1309, "";"")))"),"")</f>
        <v/>
      </c>
      <c r="K1309" s="68"/>
      <c r="L1309" s="68"/>
      <c r="M1309" s="68"/>
      <c r="N1309" s="68"/>
      <c r="O1309" s="68"/>
      <c r="P1309" s="68"/>
      <c r="Q1309" s="68"/>
      <c r="R1309" s="68"/>
      <c r="S1309" s="68"/>
      <c r="T1309" s="68"/>
      <c r="U1309" s="68"/>
      <c r="V1309" s="68"/>
      <c r="W1309" s="68"/>
      <c r="X1309" s="68"/>
      <c r="Y1309" s="68"/>
      <c r="Z1309" s="68"/>
      <c r="AA1309" s="68"/>
    </row>
    <row r="1310" ht="26.25" customHeight="1">
      <c r="A1310" s="68"/>
      <c r="B1310" s="68"/>
      <c r="C1310" s="68"/>
      <c r="D1310" s="71"/>
      <c r="E1310" s="71"/>
      <c r="F1310" s="71"/>
      <c r="G1310" s="65"/>
      <c r="H1310" s="74"/>
      <c r="I1310" s="67" t="str">
        <f>IFERROR(__xludf.DUMMYFUNCTION("if($H1310="""", """", AVERAGE(split($H1310, "";"")))"),"")</f>
        <v/>
      </c>
      <c r="J1310" s="67" t="str">
        <f>IFERROR(__xludf.DUMMYFUNCTION("if(H1310="""", """", SUM(split(H1310, "";"")))"),"")</f>
        <v/>
      </c>
      <c r="K1310" s="68"/>
      <c r="L1310" s="68"/>
      <c r="M1310" s="68"/>
      <c r="N1310" s="68"/>
      <c r="O1310" s="68"/>
      <c r="P1310" s="68"/>
      <c r="Q1310" s="68"/>
      <c r="R1310" s="68"/>
      <c r="S1310" s="68"/>
      <c r="T1310" s="68"/>
      <c r="U1310" s="68"/>
      <c r="V1310" s="68"/>
      <c r="W1310" s="68"/>
      <c r="X1310" s="68"/>
      <c r="Y1310" s="68"/>
      <c r="Z1310" s="68"/>
      <c r="AA1310" s="68"/>
    </row>
    <row r="1311" ht="26.25" customHeight="1">
      <c r="A1311" s="68"/>
      <c r="B1311" s="68"/>
      <c r="C1311" s="68"/>
      <c r="D1311" s="71"/>
      <c r="E1311" s="71"/>
      <c r="F1311" s="71"/>
      <c r="G1311" s="65"/>
      <c r="H1311" s="74"/>
      <c r="I1311" s="67" t="str">
        <f>IFERROR(__xludf.DUMMYFUNCTION("if($H1311="""", """", AVERAGE(split($H1311, "";"")))"),"")</f>
        <v/>
      </c>
      <c r="J1311" s="67" t="str">
        <f>IFERROR(__xludf.DUMMYFUNCTION("if(H1311="""", """", SUM(split(H1311, "";"")))"),"")</f>
        <v/>
      </c>
      <c r="K1311" s="68"/>
      <c r="L1311" s="68"/>
      <c r="M1311" s="68"/>
      <c r="N1311" s="68"/>
      <c r="O1311" s="68"/>
      <c r="P1311" s="68"/>
      <c r="Q1311" s="68"/>
      <c r="R1311" s="68"/>
      <c r="S1311" s="68"/>
      <c r="T1311" s="68"/>
      <c r="U1311" s="68"/>
      <c r="V1311" s="68"/>
      <c r="W1311" s="68"/>
      <c r="X1311" s="68"/>
      <c r="Y1311" s="68"/>
      <c r="Z1311" s="68"/>
      <c r="AA1311" s="68"/>
    </row>
    <row r="1312" ht="26.25" customHeight="1">
      <c r="A1312" s="68"/>
      <c r="B1312" s="68"/>
      <c r="C1312" s="68"/>
      <c r="D1312" s="71"/>
      <c r="E1312" s="71"/>
      <c r="F1312" s="71"/>
      <c r="G1312" s="65"/>
      <c r="H1312" s="74"/>
      <c r="I1312" s="67" t="str">
        <f>IFERROR(__xludf.DUMMYFUNCTION("if($H1312="""", """", AVERAGE(split($H1312, "";"")))"),"")</f>
        <v/>
      </c>
      <c r="J1312" s="67" t="str">
        <f>IFERROR(__xludf.DUMMYFUNCTION("if(H1312="""", """", SUM(split(H1312, "";"")))"),"")</f>
        <v/>
      </c>
      <c r="K1312" s="68"/>
      <c r="L1312" s="68"/>
      <c r="M1312" s="68"/>
      <c r="N1312" s="68"/>
      <c r="O1312" s="68"/>
      <c r="P1312" s="68"/>
      <c r="Q1312" s="68"/>
      <c r="R1312" s="68"/>
      <c r="S1312" s="68"/>
      <c r="T1312" s="68"/>
      <c r="U1312" s="68"/>
      <c r="V1312" s="68"/>
      <c r="W1312" s="68"/>
      <c r="X1312" s="68"/>
      <c r="Y1312" s="68"/>
      <c r="Z1312" s="68"/>
      <c r="AA1312" s="68"/>
    </row>
    <row r="1313" ht="26.25" customHeight="1">
      <c r="A1313" s="68"/>
      <c r="B1313" s="68"/>
      <c r="C1313" s="68"/>
      <c r="D1313" s="71"/>
      <c r="E1313" s="71"/>
      <c r="F1313" s="71"/>
      <c r="G1313" s="65"/>
      <c r="H1313" s="74"/>
      <c r="I1313" s="67" t="str">
        <f>IFERROR(__xludf.DUMMYFUNCTION("if($H1313="""", """", AVERAGE(split($H1313, "";"")))"),"")</f>
        <v/>
      </c>
      <c r="J1313" s="67" t="str">
        <f>IFERROR(__xludf.DUMMYFUNCTION("if(H1313="""", """", SUM(split(H1313, "";"")))"),"")</f>
        <v/>
      </c>
      <c r="K1313" s="68"/>
      <c r="L1313" s="68"/>
      <c r="M1313" s="68"/>
      <c r="N1313" s="68"/>
      <c r="O1313" s="68"/>
      <c r="P1313" s="68"/>
      <c r="Q1313" s="68"/>
      <c r="R1313" s="68"/>
      <c r="S1313" s="68"/>
      <c r="T1313" s="68"/>
      <c r="U1313" s="68"/>
      <c r="V1313" s="68"/>
      <c r="W1313" s="68"/>
      <c r="X1313" s="68"/>
      <c r="Y1313" s="68"/>
      <c r="Z1313" s="68"/>
      <c r="AA1313" s="68"/>
    </row>
    <row r="1314" ht="26.25" customHeight="1">
      <c r="A1314" s="68"/>
      <c r="B1314" s="68"/>
      <c r="C1314" s="68"/>
      <c r="D1314" s="71"/>
      <c r="E1314" s="71"/>
      <c r="F1314" s="71"/>
      <c r="G1314" s="65"/>
      <c r="H1314" s="74"/>
      <c r="I1314" s="67" t="str">
        <f>IFERROR(__xludf.DUMMYFUNCTION("if($H1314="""", """", AVERAGE(split($H1314, "";"")))"),"")</f>
        <v/>
      </c>
      <c r="J1314" s="67" t="str">
        <f>IFERROR(__xludf.DUMMYFUNCTION("if(H1314="""", """", SUM(split(H1314, "";"")))"),"")</f>
        <v/>
      </c>
      <c r="K1314" s="68"/>
      <c r="L1314" s="68"/>
      <c r="M1314" s="68"/>
      <c r="N1314" s="68"/>
      <c r="O1314" s="68"/>
      <c r="P1314" s="68"/>
      <c r="Q1314" s="68"/>
      <c r="R1314" s="68"/>
      <c r="S1314" s="68"/>
      <c r="T1314" s="68"/>
      <c r="U1314" s="68"/>
      <c r="V1314" s="68"/>
      <c r="W1314" s="68"/>
      <c r="X1314" s="68"/>
      <c r="Y1314" s="68"/>
      <c r="Z1314" s="68"/>
      <c r="AA1314" s="68"/>
    </row>
    <row r="1315" ht="26.25" customHeight="1">
      <c r="A1315" s="68"/>
      <c r="B1315" s="68"/>
      <c r="C1315" s="68"/>
      <c r="D1315" s="71"/>
      <c r="E1315" s="71"/>
      <c r="F1315" s="71"/>
      <c r="G1315" s="65"/>
      <c r="H1315" s="74"/>
      <c r="I1315" s="67" t="str">
        <f>IFERROR(__xludf.DUMMYFUNCTION("if($H1315="""", """", AVERAGE(split($H1315, "";"")))"),"")</f>
        <v/>
      </c>
      <c r="J1315" s="67" t="str">
        <f>IFERROR(__xludf.DUMMYFUNCTION("if(H1315="""", """", SUM(split(H1315, "";"")))"),"")</f>
        <v/>
      </c>
      <c r="K1315" s="68"/>
      <c r="L1315" s="68"/>
      <c r="M1315" s="68"/>
      <c r="N1315" s="68"/>
      <c r="O1315" s="68"/>
      <c r="P1315" s="68"/>
      <c r="Q1315" s="68"/>
      <c r="R1315" s="68"/>
      <c r="S1315" s="68"/>
      <c r="T1315" s="68"/>
      <c r="U1315" s="68"/>
      <c r="V1315" s="68"/>
      <c r="W1315" s="68"/>
      <c r="X1315" s="68"/>
      <c r="Y1315" s="68"/>
      <c r="Z1315" s="68"/>
      <c r="AA1315" s="68"/>
    </row>
    <row r="1316" ht="26.25" customHeight="1">
      <c r="A1316" s="68"/>
      <c r="B1316" s="68"/>
      <c r="C1316" s="68"/>
      <c r="D1316" s="71"/>
      <c r="E1316" s="71"/>
      <c r="F1316" s="71"/>
      <c r="G1316" s="65"/>
      <c r="H1316" s="74"/>
      <c r="I1316" s="67" t="str">
        <f>IFERROR(__xludf.DUMMYFUNCTION("if($H1316="""", """", AVERAGE(split($H1316, "";"")))"),"")</f>
        <v/>
      </c>
      <c r="J1316" s="67" t="str">
        <f>IFERROR(__xludf.DUMMYFUNCTION("if(H1316="""", """", SUM(split(H1316, "";"")))"),"")</f>
        <v/>
      </c>
      <c r="K1316" s="68"/>
      <c r="L1316" s="68"/>
      <c r="M1316" s="68"/>
      <c r="N1316" s="68"/>
      <c r="O1316" s="68"/>
      <c r="P1316" s="68"/>
      <c r="Q1316" s="68"/>
      <c r="R1316" s="68"/>
      <c r="S1316" s="68"/>
      <c r="T1316" s="68"/>
      <c r="U1316" s="68"/>
      <c r="V1316" s="68"/>
      <c r="W1316" s="68"/>
      <c r="X1316" s="68"/>
      <c r="Y1316" s="68"/>
      <c r="Z1316" s="68"/>
      <c r="AA1316" s="68"/>
    </row>
    <row r="1317" ht="26.25" customHeight="1">
      <c r="A1317" s="68"/>
      <c r="B1317" s="68"/>
      <c r="C1317" s="68"/>
      <c r="D1317" s="71"/>
      <c r="E1317" s="71"/>
      <c r="F1317" s="71"/>
      <c r="G1317" s="65"/>
      <c r="H1317" s="74"/>
      <c r="I1317" s="67" t="str">
        <f>IFERROR(__xludf.DUMMYFUNCTION("if($H1317="""", """", AVERAGE(split($H1317, "";"")))"),"")</f>
        <v/>
      </c>
      <c r="J1317" s="67" t="str">
        <f>IFERROR(__xludf.DUMMYFUNCTION("if(H1317="""", """", SUM(split(H1317, "";"")))"),"")</f>
        <v/>
      </c>
      <c r="K1317" s="68"/>
      <c r="L1317" s="68"/>
      <c r="M1317" s="68"/>
      <c r="N1317" s="68"/>
      <c r="O1317" s="68"/>
      <c r="P1317" s="68"/>
      <c r="Q1317" s="68"/>
      <c r="R1317" s="68"/>
      <c r="S1317" s="68"/>
      <c r="T1317" s="68"/>
      <c r="U1317" s="68"/>
      <c r="V1317" s="68"/>
      <c r="W1317" s="68"/>
      <c r="X1317" s="68"/>
      <c r="Y1317" s="68"/>
      <c r="Z1317" s="68"/>
      <c r="AA1317" s="68"/>
    </row>
    <row r="1318" ht="26.25" customHeight="1">
      <c r="A1318" s="68"/>
      <c r="B1318" s="68"/>
      <c r="C1318" s="68"/>
      <c r="D1318" s="71"/>
      <c r="E1318" s="71"/>
      <c r="F1318" s="71"/>
      <c r="G1318" s="65"/>
      <c r="H1318" s="74"/>
      <c r="I1318" s="67" t="str">
        <f>IFERROR(__xludf.DUMMYFUNCTION("if($H1318="""", """", AVERAGE(split($H1318, "";"")))"),"")</f>
        <v/>
      </c>
      <c r="J1318" s="67" t="str">
        <f>IFERROR(__xludf.DUMMYFUNCTION("if(H1318="""", """", SUM(split(H1318, "";"")))"),"")</f>
        <v/>
      </c>
      <c r="K1318" s="68"/>
      <c r="L1318" s="68"/>
      <c r="M1318" s="68"/>
      <c r="N1318" s="68"/>
      <c r="O1318" s="68"/>
      <c r="P1318" s="68"/>
      <c r="Q1318" s="68"/>
      <c r="R1318" s="68"/>
      <c r="S1318" s="68"/>
      <c r="T1318" s="68"/>
      <c r="U1318" s="68"/>
      <c r="V1318" s="68"/>
      <c r="W1318" s="68"/>
      <c r="X1318" s="68"/>
      <c r="Y1318" s="68"/>
      <c r="Z1318" s="68"/>
      <c r="AA1318" s="68"/>
    </row>
    <row r="1319" ht="26.25" customHeight="1">
      <c r="A1319" s="68"/>
      <c r="B1319" s="68"/>
      <c r="C1319" s="68"/>
      <c r="D1319" s="71"/>
      <c r="E1319" s="71"/>
      <c r="F1319" s="71"/>
      <c r="G1319" s="65"/>
      <c r="H1319" s="74"/>
      <c r="I1319" s="67" t="str">
        <f>IFERROR(__xludf.DUMMYFUNCTION("if($H1319="""", """", AVERAGE(split($H1319, "";"")))"),"")</f>
        <v/>
      </c>
      <c r="J1319" s="67" t="str">
        <f>IFERROR(__xludf.DUMMYFUNCTION("if(H1319="""", """", SUM(split(H1319, "";"")))"),"")</f>
        <v/>
      </c>
      <c r="K1319" s="68"/>
      <c r="L1319" s="68"/>
      <c r="M1319" s="68"/>
      <c r="N1319" s="68"/>
      <c r="O1319" s="68"/>
      <c r="P1319" s="68"/>
      <c r="Q1319" s="68"/>
      <c r="R1319" s="68"/>
      <c r="S1319" s="68"/>
      <c r="T1319" s="68"/>
      <c r="U1319" s="68"/>
      <c r="V1319" s="68"/>
      <c r="W1319" s="68"/>
      <c r="X1319" s="68"/>
      <c r="Y1319" s="68"/>
      <c r="Z1319" s="68"/>
      <c r="AA1319" s="68"/>
    </row>
    <row r="1320" ht="26.25" customHeight="1">
      <c r="A1320" s="68"/>
      <c r="B1320" s="68"/>
      <c r="C1320" s="68"/>
      <c r="D1320" s="71"/>
      <c r="E1320" s="71"/>
      <c r="F1320" s="71"/>
      <c r="G1320" s="65"/>
      <c r="H1320" s="74"/>
      <c r="I1320" s="67" t="str">
        <f>IFERROR(__xludf.DUMMYFUNCTION("if($H1320="""", """", AVERAGE(split($H1320, "";"")))"),"")</f>
        <v/>
      </c>
      <c r="J1320" s="67" t="str">
        <f>IFERROR(__xludf.DUMMYFUNCTION("if(H1320="""", """", SUM(split(H1320, "";"")))"),"")</f>
        <v/>
      </c>
      <c r="K1320" s="68"/>
      <c r="L1320" s="68"/>
      <c r="M1320" s="68"/>
      <c r="N1320" s="68"/>
      <c r="O1320" s="68"/>
      <c r="P1320" s="68"/>
      <c r="Q1320" s="68"/>
      <c r="R1320" s="68"/>
      <c r="S1320" s="68"/>
      <c r="T1320" s="68"/>
      <c r="U1320" s="68"/>
      <c r="V1320" s="68"/>
      <c r="W1320" s="68"/>
      <c r="X1320" s="68"/>
      <c r="Y1320" s="68"/>
      <c r="Z1320" s="68"/>
      <c r="AA1320" s="68"/>
    </row>
    <row r="1321" ht="26.25" customHeight="1">
      <c r="A1321" s="68"/>
      <c r="B1321" s="68"/>
      <c r="C1321" s="68"/>
      <c r="D1321" s="71"/>
      <c r="E1321" s="71"/>
      <c r="F1321" s="71"/>
      <c r="G1321" s="65"/>
      <c r="H1321" s="74"/>
      <c r="I1321" s="67" t="str">
        <f>IFERROR(__xludf.DUMMYFUNCTION("if($H1321="""", """", AVERAGE(split($H1321, "";"")))"),"")</f>
        <v/>
      </c>
      <c r="J1321" s="67" t="str">
        <f>IFERROR(__xludf.DUMMYFUNCTION("if(H1321="""", """", SUM(split(H1321, "";"")))"),"")</f>
        <v/>
      </c>
      <c r="K1321" s="68"/>
      <c r="L1321" s="68"/>
      <c r="M1321" s="68"/>
      <c r="N1321" s="68"/>
      <c r="O1321" s="68"/>
      <c r="P1321" s="68"/>
      <c r="Q1321" s="68"/>
      <c r="R1321" s="68"/>
      <c r="S1321" s="68"/>
      <c r="T1321" s="68"/>
      <c r="U1321" s="68"/>
      <c r="V1321" s="68"/>
      <c r="W1321" s="68"/>
      <c r="X1321" s="68"/>
      <c r="Y1321" s="68"/>
      <c r="Z1321" s="68"/>
      <c r="AA1321" s="68"/>
    </row>
    <row r="1322" ht="26.25" customHeight="1">
      <c r="A1322" s="68"/>
      <c r="B1322" s="68"/>
      <c r="C1322" s="68"/>
      <c r="D1322" s="71"/>
      <c r="E1322" s="71"/>
      <c r="F1322" s="71"/>
      <c r="G1322" s="65"/>
      <c r="H1322" s="74"/>
      <c r="I1322" s="67" t="str">
        <f>IFERROR(__xludf.DUMMYFUNCTION("if($H1322="""", """", AVERAGE(split($H1322, "";"")))"),"")</f>
        <v/>
      </c>
      <c r="J1322" s="67" t="str">
        <f>IFERROR(__xludf.DUMMYFUNCTION("if(H1322="""", """", SUM(split(H1322, "";"")))"),"")</f>
        <v/>
      </c>
      <c r="K1322" s="68"/>
      <c r="L1322" s="68"/>
      <c r="M1322" s="68"/>
      <c r="N1322" s="68"/>
      <c r="O1322" s="68"/>
      <c r="P1322" s="68"/>
      <c r="Q1322" s="68"/>
      <c r="R1322" s="68"/>
      <c r="S1322" s="68"/>
      <c r="T1322" s="68"/>
      <c r="U1322" s="68"/>
      <c r="V1322" s="68"/>
      <c r="W1322" s="68"/>
      <c r="X1322" s="68"/>
      <c r="Y1322" s="68"/>
      <c r="Z1322" s="68"/>
      <c r="AA1322" s="68"/>
    </row>
    <row r="1323" ht="26.25" customHeight="1">
      <c r="A1323" s="68"/>
      <c r="B1323" s="68"/>
      <c r="C1323" s="68"/>
      <c r="D1323" s="71"/>
      <c r="E1323" s="71"/>
      <c r="F1323" s="71"/>
      <c r="G1323" s="65"/>
      <c r="H1323" s="74"/>
      <c r="I1323" s="67" t="str">
        <f>IFERROR(__xludf.DUMMYFUNCTION("if($H1323="""", """", AVERAGE(split($H1323, "";"")))"),"")</f>
        <v/>
      </c>
      <c r="J1323" s="67" t="str">
        <f>IFERROR(__xludf.DUMMYFUNCTION("if(H1323="""", """", SUM(split(H1323, "";"")))"),"")</f>
        <v/>
      </c>
      <c r="K1323" s="68"/>
      <c r="L1323" s="68"/>
      <c r="M1323" s="68"/>
      <c r="N1323" s="68"/>
      <c r="O1323" s="68"/>
      <c r="P1323" s="68"/>
      <c r="Q1323" s="68"/>
      <c r="R1323" s="68"/>
      <c r="S1323" s="68"/>
      <c r="T1323" s="68"/>
      <c r="U1323" s="68"/>
      <c r="V1323" s="68"/>
      <c r="W1323" s="68"/>
      <c r="X1323" s="68"/>
      <c r="Y1323" s="68"/>
      <c r="Z1323" s="68"/>
      <c r="AA1323" s="68"/>
    </row>
    <row r="1324" ht="26.25" customHeight="1">
      <c r="A1324" s="68"/>
      <c r="B1324" s="68"/>
      <c r="C1324" s="68"/>
      <c r="D1324" s="71"/>
      <c r="E1324" s="71"/>
      <c r="F1324" s="71"/>
      <c r="G1324" s="65"/>
      <c r="H1324" s="74"/>
      <c r="I1324" s="67" t="str">
        <f>IFERROR(__xludf.DUMMYFUNCTION("if($H1324="""", """", AVERAGE(split($H1324, "";"")))"),"")</f>
        <v/>
      </c>
      <c r="J1324" s="67" t="str">
        <f>IFERROR(__xludf.DUMMYFUNCTION("if(H1324="""", """", SUM(split(H1324, "";"")))"),"")</f>
        <v/>
      </c>
      <c r="K1324" s="68"/>
      <c r="L1324" s="68"/>
      <c r="M1324" s="68"/>
      <c r="N1324" s="68"/>
      <c r="O1324" s="68"/>
      <c r="P1324" s="68"/>
      <c r="Q1324" s="68"/>
      <c r="R1324" s="68"/>
      <c r="S1324" s="68"/>
      <c r="T1324" s="68"/>
      <c r="U1324" s="68"/>
      <c r="V1324" s="68"/>
      <c r="W1324" s="68"/>
      <c r="X1324" s="68"/>
      <c r="Y1324" s="68"/>
      <c r="Z1324" s="68"/>
      <c r="AA1324" s="68"/>
    </row>
    <row r="1325" ht="26.25" customHeight="1">
      <c r="A1325" s="68"/>
      <c r="B1325" s="68"/>
      <c r="C1325" s="68"/>
      <c r="D1325" s="71"/>
      <c r="E1325" s="71"/>
      <c r="F1325" s="71"/>
      <c r="G1325" s="65"/>
      <c r="H1325" s="74"/>
      <c r="I1325" s="67" t="str">
        <f>IFERROR(__xludf.DUMMYFUNCTION("if($H1325="""", """", AVERAGE(split($H1325, "";"")))"),"")</f>
        <v/>
      </c>
      <c r="J1325" s="67" t="str">
        <f>IFERROR(__xludf.DUMMYFUNCTION("if(H1325="""", """", SUM(split(H1325, "";"")))"),"")</f>
        <v/>
      </c>
      <c r="K1325" s="68"/>
      <c r="L1325" s="68"/>
      <c r="M1325" s="68"/>
      <c r="N1325" s="68"/>
      <c r="O1325" s="68"/>
      <c r="P1325" s="68"/>
      <c r="Q1325" s="68"/>
      <c r="R1325" s="68"/>
      <c r="S1325" s="68"/>
      <c r="T1325" s="68"/>
      <c r="U1325" s="68"/>
      <c r="V1325" s="68"/>
      <c r="W1325" s="68"/>
      <c r="X1325" s="68"/>
      <c r="Y1325" s="68"/>
      <c r="Z1325" s="68"/>
      <c r="AA1325" s="68"/>
    </row>
    <row r="1326" ht="26.25" customHeight="1">
      <c r="A1326" s="68"/>
      <c r="B1326" s="68"/>
      <c r="C1326" s="68"/>
      <c r="D1326" s="71"/>
      <c r="E1326" s="71"/>
      <c r="F1326" s="71"/>
      <c r="G1326" s="65"/>
      <c r="H1326" s="74"/>
      <c r="I1326" s="67" t="str">
        <f>IFERROR(__xludf.DUMMYFUNCTION("if($H1326="""", """", AVERAGE(split($H1326, "";"")))"),"")</f>
        <v/>
      </c>
      <c r="J1326" s="67" t="str">
        <f>IFERROR(__xludf.DUMMYFUNCTION("if(H1326="""", """", SUM(split(H1326, "";"")))"),"")</f>
        <v/>
      </c>
      <c r="K1326" s="68"/>
      <c r="L1326" s="68"/>
      <c r="M1326" s="68"/>
      <c r="N1326" s="68"/>
      <c r="O1326" s="68"/>
      <c r="P1326" s="68"/>
      <c r="Q1326" s="68"/>
      <c r="R1326" s="68"/>
      <c r="S1326" s="68"/>
      <c r="T1326" s="68"/>
      <c r="U1326" s="68"/>
      <c r="V1326" s="68"/>
      <c r="W1326" s="68"/>
      <c r="X1326" s="68"/>
      <c r="Y1326" s="68"/>
      <c r="Z1326" s="68"/>
      <c r="AA1326" s="68"/>
    </row>
    <row r="1327" ht="26.25" customHeight="1">
      <c r="A1327" s="68"/>
      <c r="B1327" s="68"/>
      <c r="C1327" s="68"/>
      <c r="D1327" s="71"/>
      <c r="E1327" s="71"/>
      <c r="F1327" s="71"/>
      <c r="G1327" s="65"/>
      <c r="H1327" s="74"/>
      <c r="I1327" s="67" t="str">
        <f>IFERROR(__xludf.DUMMYFUNCTION("if($H1327="""", """", AVERAGE(split($H1327, "";"")))"),"")</f>
        <v/>
      </c>
      <c r="J1327" s="67" t="str">
        <f>IFERROR(__xludf.DUMMYFUNCTION("if(H1327="""", """", SUM(split(H1327, "";"")))"),"")</f>
        <v/>
      </c>
      <c r="K1327" s="68"/>
      <c r="L1327" s="68"/>
      <c r="M1327" s="68"/>
      <c r="N1327" s="68"/>
      <c r="O1327" s="68"/>
      <c r="P1327" s="68"/>
      <c r="Q1327" s="68"/>
      <c r="R1327" s="68"/>
      <c r="S1327" s="68"/>
      <c r="T1327" s="68"/>
      <c r="U1327" s="68"/>
      <c r="V1327" s="68"/>
      <c r="W1327" s="68"/>
      <c r="X1327" s="68"/>
      <c r="Y1327" s="68"/>
      <c r="Z1327" s="68"/>
      <c r="AA1327" s="68"/>
    </row>
    <row r="1328" ht="26.25" customHeight="1">
      <c r="A1328" s="68"/>
      <c r="B1328" s="68"/>
      <c r="C1328" s="68"/>
      <c r="D1328" s="71"/>
      <c r="E1328" s="71"/>
      <c r="F1328" s="71"/>
      <c r="G1328" s="65"/>
      <c r="H1328" s="74"/>
      <c r="I1328" s="67" t="str">
        <f>IFERROR(__xludf.DUMMYFUNCTION("if($H1328="""", """", AVERAGE(split($H1328, "";"")))"),"")</f>
        <v/>
      </c>
      <c r="J1328" s="67" t="str">
        <f>IFERROR(__xludf.DUMMYFUNCTION("if(H1328="""", """", SUM(split(H1328, "";"")))"),"")</f>
        <v/>
      </c>
      <c r="K1328" s="68"/>
      <c r="L1328" s="68"/>
      <c r="M1328" s="68"/>
      <c r="N1328" s="68"/>
      <c r="O1328" s="68"/>
      <c r="P1328" s="68"/>
      <c r="Q1328" s="68"/>
      <c r="R1328" s="68"/>
      <c r="S1328" s="68"/>
      <c r="T1328" s="68"/>
      <c r="U1328" s="68"/>
      <c r="V1328" s="68"/>
      <c r="W1328" s="68"/>
      <c r="X1328" s="68"/>
      <c r="Y1328" s="68"/>
      <c r="Z1328" s="68"/>
      <c r="AA1328" s="68"/>
    </row>
    <row r="1329" ht="26.25" customHeight="1">
      <c r="A1329" s="68"/>
      <c r="B1329" s="68"/>
      <c r="C1329" s="68"/>
      <c r="D1329" s="71"/>
      <c r="E1329" s="71"/>
      <c r="F1329" s="71"/>
      <c r="G1329" s="65"/>
      <c r="H1329" s="74"/>
      <c r="I1329" s="67" t="str">
        <f>IFERROR(__xludf.DUMMYFUNCTION("if($H1329="""", """", AVERAGE(split($H1329, "";"")))"),"")</f>
        <v/>
      </c>
      <c r="J1329" s="67" t="str">
        <f>IFERROR(__xludf.DUMMYFUNCTION("if(H1329="""", """", SUM(split(H1329, "";"")))"),"")</f>
        <v/>
      </c>
      <c r="K1329" s="68"/>
      <c r="L1329" s="68"/>
      <c r="M1329" s="68"/>
      <c r="N1329" s="68"/>
      <c r="O1329" s="68"/>
      <c r="P1329" s="68"/>
      <c r="Q1329" s="68"/>
      <c r="R1329" s="68"/>
      <c r="S1329" s="68"/>
      <c r="T1329" s="68"/>
      <c r="U1329" s="68"/>
      <c r="V1329" s="68"/>
      <c r="W1329" s="68"/>
      <c r="X1329" s="68"/>
      <c r="Y1329" s="68"/>
      <c r="Z1329" s="68"/>
      <c r="AA1329" s="68"/>
    </row>
    <row r="1330" ht="26.25" customHeight="1">
      <c r="A1330" s="68"/>
      <c r="B1330" s="68"/>
      <c r="C1330" s="68"/>
      <c r="D1330" s="71"/>
      <c r="E1330" s="71"/>
      <c r="F1330" s="71"/>
      <c r="G1330" s="65"/>
      <c r="H1330" s="74"/>
      <c r="I1330" s="67" t="str">
        <f>IFERROR(__xludf.DUMMYFUNCTION("if($H1330="""", """", AVERAGE(split($H1330, "";"")))"),"")</f>
        <v/>
      </c>
      <c r="J1330" s="67" t="str">
        <f>IFERROR(__xludf.DUMMYFUNCTION("if(H1330="""", """", SUM(split(H1330, "";"")))"),"")</f>
        <v/>
      </c>
      <c r="K1330" s="68"/>
      <c r="L1330" s="68"/>
      <c r="M1330" s="68"/>
      <c r="N1330" s="68"/>
      <c r="O1330" s="68"/>
      <c r="P1330" s="68"/>
      <c r="Q1330" s="68"/>
      <c r="R1330" s="68"/>
      <c r="S1330" s="68"/>
      <c r="T1330" s="68"/>
      <c r="U1330" s="68"/>
      <c r="V1330" s="68"/>
      <c r="W1330" s="68"/>
      <c r="X1330" s="68"/>
      <c r="Y1330" s="68"/>
      <c r="Z1330" s="68"/>
      <c r="AA1330" s="68"/>
    </row>
    <row r="1331" ht="26.25" customHeight="1">
      <c r="A1331" s="68"/>
      <c r="B1331" s="68"/>
      <c r="C1331" s="68"/>
      <c r="D1331" s="71"/>
      <c r="E1331" s="71"/>
      <c r="F1331" s="71"/>
      <c r="G1331" s="65"/>
      <c r="H1331" s="74"/>
      <c r="I1331" s="67" t="str">
        <f>IFERROR(__xludf.DUMMYFUNCTION("if($H1331="""", """", AVERAGE(split($H1331, "";"")))"),"")</f>
        <v/>
      </c>
      <c r="J1331" s="67" t="str">
        <f>IFERROR(__xludf.DUMMYFUNCTION("if(H1331="""", """", SUM(split(H1331, "";"")))"),"")</f>
        <v/>
      </c>
      <c r="K1331" s="68"/>
      <c r="L1331" s="68"/>
      <c r="M1331" s="68"/>
      <c r="N1331" s="68"/>
      <c r="O1331" s="68"/>
      <c r="P1331" s="68"/>
      <c r="Q1331" s="68"/>
      <c r="R1331" s="68"/>
      <c r="S1331" s="68"/>
      <c r="T1331" s="68"/>
      <c r="U1331" s="68"/>
      <c r="V1331" s="68"/>
      <c r="W1331" s="68"/>
      <c r="X1331" s="68"/>
      <c r="Y1331" s="68"/>
      <c r="Z1331" s="68"/>
      <c r="AA1331" s="68"/>
    </row>
    <row r="1332" ht="26.25" customHeight="1">
      <c r="A1332" s="68"/>
      <c r="B1332" s="68"/>
      <c r="C1332" s="68"/>
      <c r="D1332" s="71"/>
      <c r="E1332" s="71"/>
      <c r="F1332" s="71"/>
      <c r="G1332" s="65"/>
      <c r="H1332" s="74"/>
      <c r="I1332" s="67" t="str">
        <f>IFERROR(__xludf.DUMMYFUNCTION("if($H1332="""", """", AVERAGE(split($H1332, "";"")))"),"")</f>
        <v/>
      </c>
      <c r="J1332" s="67" t="str">
        <f>IFERROR(__xludf.DUMMYFUNCTION("if(H1332="""", """", SUM(split(H1332, "";"")))"),"")</f>
        <v/>
      </c>
      <c r="K1332" s="68"/>
      <c r="L1332" s="68"/>
      <c r="M1332" s="68"/>
      <c r="N1332" s="68"/>
      <c r="O1332" s="68"/>
      <c r="P1332" s="68"/>
      <c r="Q1332" s="68"/>
      <c r="R1332" s="68"/>
      <c r="S1332" s="68"/>
      <c r="T1332" s="68"/>
      <c r="U1332" s="68"/>
      <c r="V1332" s="68"/>
      <c r="W1332" s="68"/>
      <c r="X1332" s="68"/>
      <c r="Y1332" s="68"/>
      <c r="Z1332" s="68"/>
      <c r="AA1332" s="68"/>
    </row>
    <row r="1333" ht="26.25" customHeight="1">
      <c r="A1333" s="68"/>
      <c r="B1333" s="68"/>
      <c r="C1333" s="68"/>
      <c r="D1333" s="71"/>
      <c r="E1333" s="71"/>
      <c r="F1333" s="71"/>
      <c r="G1333" s="65"/>
      <c r="H1333" s="74"/>
      <c r="I1333" s="67" t="str">
        <f>IFERROR(__xludf.DUMMYFUNCTION("if($H1333="""", """", AVERAGE(split($H1333, "";"")))"),"")</f>
        <v/>
      </c>
      <c r="J1333" s="67" t="str">
        <f>IFERROR(__xludf.DUMMYFUNCTION("if(H1333="""", """", SUM(split(H1333, "";"")))"),"")</f>
        <v/>
      </c>
      <c r="K1333" s="68"/>
      <c r="L1333" s="68"/>
      <c r="M1333" s="68"/>
      <c r="N1333" s="68"/>
      <c r="O1333" s="68"/>
      <c r="P1333" s="68"/>
      <c r="Q1333" s="68"/>
      <c r="R1333" s="68"/>
      <c r="S1333" s="68"/>
      <c r="T1333" s="68"/>
      <c r="U1333" s="68"/>
      <c r="V1333" s="68"/>
      <c r="W1333" s="68"/>
      <c r="X1333" s="68"/>
      <c r="Y1333" s="68"/>
      <c r="Z1333" s="68"/>
      <c r="AA1333" s="68"/>
    </row>
    <row r="1334" ht="26.25" customHeight="1">
      <c r="A1334" s="68"/>
      <c r="B1334" s="68"/>
      <c r="C1334" s="68"/>
      <c r="D1334" s="71"/>
      <c r="E1334" s="71"/>
      <c r="F1334" s="71"/>
      <c r="G1334" s="65"/>
      <c r="H1334" s="74"/>
      <c r="I1334" s="67" t="str">
        <f>IFERROR(__xludf.DUMMYFUNCTION("if($H1334="""", """", AVERAGE(split($H1334, "";"")))"),"")</f>
        <v/>
      </c>
      <c r="J1334" s="67" t="str">
        <f>IFERROR(__xludf.DUMMYFUNCTION("if(H1334="""", """", SUM(split(H1334, "";"")))"),"")</f>
        <v/>
      </c>
      <c r="K1334" s="68"/>
      <c r="L1334" s="68"/>
      <c r="M1334" s="68"/>
      <c r="N1334" s="68"/>
      <c r="O1334" s="68"/>
      <c r="P1334" s="68"/>
      <c r="Q1334" s="68"/>
      <c r="R1334" s="68"/>
      <c r="S1334" s="68"/>
      <c r="T1334" s="68"/>
      <c r="U1334" s="68"/>
      <c r="V1334" s="68"/>
      <c r="W1334" s="68"/>
      <c r="X1334" s="68"/>
      <c r="Y1334" s="68"/>
      <c r="Z1334" s="68"/>
      <c r="AA1334" s="68"/>
    </row>
    <row r="1335" ht="26.25" customHeight="1">
      <c r="A1335" s="68"/>
      <c r="B1335" s="68"/>
      <c r="C1335" s="68"/>
      <c r="D1335" s="71"/>
      <c r="E1335" s="71"/>
      <c r="F1335" s="71"/>
      <c r="G1335" s="65"/>
      <c r="H1335" s="74"/>
      <c r="I1335" s="67" t="str">
        <f>IFERROR(__xludf.DUMMYFUNCTION("if($H1335="""", """", AVERAGE(split($H1335, "";"")))"),"")</f>
        <v/>
      </c>
      <c r="J1335" s="67" t="str">
        <f>IFERROR(__xludf.DUMMYFUNCTION("if(H1335="""", """", SUM(split(H1335, "";"")))"),"")</f>
        <v/>
      </c>
      <c r="K1335" s="68"/>
      <c r="L1335" s="68"/>
      <c r="M1335" s="68"/>
      <c r="N1335" s="68"/>
      <c r="O1335" s="68"/>
      <c r="P1335" s="68"/>
      <c r="Q1335" s="68"/>
      <c r="R1335" s="68"/>
      <c r="S1335" s="68"/>
      <c r="T1335" s="68"/>
      <c r="U1335" s="68"/>
      <c r="V1335" s="68"/>
      <c r="W1335" s="68"/>
      <c r="X1335" s="68"/>
      <c r="Y1335" s="68"/>
      <c r="Z1335" s="68"/>
      <c r="AA1335" s="68"/>
    </row>
    <row r="1336" ht="26.25" customHeight="1">
      <c r="A1336" s="68"/>
      <c r="B1336" s="68"/>
      <c r="C1336" s="68"/>
      <c r="D1336" s="71"/>
      <c r="E1336" s="71"/>
      <c r="F1336" s="71"/>
      <c r="G1336" s="65"/>
      <c r="H1336" s="74"/>
      <c r="I1336" s="67" t="str">
        <f>IFERROR(__xludf.DUMMYFUNCTION("if($H1336="""", """", AVERAGE(split($H1336, "";"")))"),"")</f>
        <v/>
      </c>
      <c r="J1336" s="67" t="str">
        <f>IFERROR(__xludf.DUMMYFUNCTION("if(H1336="""", """", SUM(split(H1336, "";"")))"),"")</f>
        <v/>
      </c>
      <c r="K1336" s="68"/>
      <c r="L1336" s="68"/>
      <c r="M1336" s="68"/>
      <c r="N1336" s="68"/>
      <c r="O1336" s="68"/>
      <c r="P1336" s="68"/>
      <c r="Q1336" s="68"/>
      <c r="R1336" s="68"/>
      <c r="S1336" s="68"/>
      <c r="T1336" s="68"/>
      <c r="U1336" s="68"/>
      <c r="V1336" s="68"/>
      <c r="W1336" s="68"/>
      <c r="X1336" s="68"/>
      <c r="Y1336" s="68"/>
      <c r="Z1336" s="68"/>
      <c r="AA1336" s="68"/>
    </row>
    <row r="1337" ht="26.25" customHeight="1">
      <c r="A1337" s="68"/>
      <c r="B1337" s="68"/>
      <c r="C1337" s="68"/>
      <c r="D1337" s="71"/>
      <c r="E1337" s="71"/>
      <c r="F1337" s="71"/>
      <c r="G1337" s="65"/>
      <c r="H1337" s="74"/>
      <c r="I1337" s="67" t="str">
        <f>IFERROR(__xludf.DUMMYFUNCTION("if($H1337="""", """", AVERAGE(split($H1337, "";"")))"),"")</f>
        <v/>
      </c>
      <c r="J1337" s="67" t="str">
        <f>IFERROR(__xludf.DUMMYFUNCTION("if(H1337="""", """", SUM(split(H1337, "";"")))"),"")</f>
        <v/>
      </c>
      <c r="K1337" s="68"/>
      <c r="L1337" s="68"/>
      <c r="M1337" s="68"/>
      <c r="N1337" s="68"/>
      <c r="O1337" s="68"/>
      <c r="P1337" s="68"/>
      <c r="Q1337" s="68"/>
      <c r="R1337" s="68"/>
      <c r="S1337" s="68"/>
      <c r="T1337" s="68"/>
      <c r="U1337" s="68"/>
      <c r="V1337" s="68"/>
      <c r="W1337" s="68"/>
      <c r="X1337" s="68"/>
      <c r="Y1337" s="68"/>
      <c r="Z1337" s="68"/>
      <c r="AA1337" s="68"/>
    </row>
    <row r="1338" ht="26.25" customHeight="1">
      <c r="A1338" s="68"/>
      <c r="B1338" s="68"/>
      <c r="C1338" s="68"/>
      <c r="D1338" s="71"/>
      <c r="E1338" s="71"/>
      <c r="F1338" s="71"/>
      <c r="G1338" s="65"/>
      <c r="H1338" s="74"/>
      <c r="I1338" s="67" t="str">
        <f>IFERROR(__xludf.DUMMYFUNCTION("if($H1338="""", """", AVERAGE(split($H1338, "";"")))"),"")</f>
        <v/>
      </c>
      <c r="J1338" s="67" t="str">
        <f>IFERROR(__xludf.DUMMYFUNCTION("if(H1338="""", """", SUM(split(H1338, "";"")))"),"")</f>
        <v/>
      </c>
      <c r="K1338" s="68"/>
      <c r="L1338" s="68"/>
      <c r="M1338" s="68"/>
      <c r="N1338" s="68"/>
      <c r="O1338" s="68"/>
      <c r="P1338" s="68"/>
      <c r="Q1338" s="68"/>
      <c r="R1338" s="68"/>
      <c r="S1338" s="68"/>
      <c r="T1338" s="68"/>
      <c r="U1338" s="68"/>
      <c r="V1338" s="68"/>
      <c r="W1338" s="68"/>
      <c r="X1338" s="68"/>
      <c r="Y1338" s="68"/>
      <c r="Z1338" s="68"/>
      <c r="AA1338" s="68"/>
    </row>
    <row r="1339" ht="26.25" customHeight="1">
      <c r="A1339" s="68"/>
      <c r="B1339" s="68"/>
      <c r="C1339" s="68"/>
      <c r="D1339" s="71"/>
      <c r="E1339" s="71"/>
      <c r="F1339" s="71"/>
      <c r="G1339" s="65"/>
      <c r="H1339" s="74"/>
      <c r="I1339" s="67" t="str">
        <f>IFERROR(__xludf.DUMMYFUNCTION("if($H1339="""", """", AVERAGE(split($H1339, "";"")))"),"")</f>
        <v/>
      </c>
      <c r="J1339" s="67" t="str">
        <f>IFERROR(__xludf.DUMMYFUNCTION("if(H1339="""", """", SUM(split(H1339, "";"")))"),"")</f>
        <v/>
      </c>
      <c r="K1339" s="68"/>
      <c r="L1339" s="68"/>
      <c r="M1339" s="68"/>
      <c r="N1339" s="68"/>
      <c r="O1339" s="68"/>
      <c r="P1339" s="68"/>
      <c r="Q1339" s="68"/>
      <c r="R1339" s="68"/>
      <c r="S1339" s="68"/>
      <c r="T1339" s="68"/>
      <c r="U1339" s="68"/>
      <c r="V1339" s="68"/>
      <c r="W1339" s="68"/>
      <c r="X1339" s="68"/>
      <c r="Y1339" s="68"/>
      <c r="Z1339" s="68"/>
      <c r="AA1339" s="68"/>
    </row>
    <row r="1340" ht="26.25" customHeight="1">
      <c r="A1340" s="68"/>
      <c r="B1340" s="68"/>
      <c r="C1340" s="68"/>
      <c r="D1340" s="71"/>
      <c r="E1340" s="71"/>
      <c r="F1340" s="71"/>
      <c r="G1340" s="65"/>
      <c r="H1340" s="74"/>
      <c r="I1340" s="67" t="str">
        <f>IFERROR(__xludf.DUMMYFUNCTION("if($H1340="""", """", AVERAGE(split($H1340, "";"")))"),"")</f>
        <v/>
      </c>
      <c r="J1340" s="67" t="str">
        <f>IFERROR(__xludf.DUMMYFUNCTION("if(H1340="""", """", SUM(split(H1340, "";"")))"),"")</f>
        <v/>
      </c>
      <c r="K1340" s="68"/>
      <c r="L1340" s="68"/>
      <c r="M1340" s="68"/>
      <c r="N1340" s="68"/>
      <c r="O1340" s="68"/>
      <c r="P1340" s="68"/>
      <c r="Q1340" s="68"/>
      <c r="R1340" s="68"/>
      <c r="S1340" s="68"/>
      <c r="T1340" s="68"/>
      <c r="U1340" s="68"/>
      <c r="V1340" s="68"/>
      <c r="W1340" s="68"/>
      <c r="X1340" s="68"/>
      <c r="Y1340" s="68"/>
      <c r="Z1340" s="68"/>
      <c r="AA1340" s="68"/>
    </row>
    <row r="1341" ht="26.25" customHeight="1">
      <c r="A1341" s="68"/>
      <c r="B1341" s="68"/>
      <c r="C1341" s="68"/>
      <c r="D1341" s="71"/>
      <c r="E1341" s="71"/>
      <c r="F1341" s="71"/>
      <c r="G1341" s="65"/>
      <c r="H1341" s="74"/>
      <c r="I1341" s="67" t="str">
        <f>IFERROR(__xludf.DUMMYFUNCTION("if($H1341="""", """", AVERAGE(split($H1341, "";"")))"),"")</f>
        <v/>
      </c>
      <c r="J1341" s="67" t="str">
        <f>IFERROR(__xludf.DUMMYFUNCTION("if(H1341="""", """", SUM(split(H1341, "";"")))"),"")</f>
        <v/>
      </c>
      <c r="K1341" s="68"/>
      <c r="L1341" s="68"/>
      <c r="M1341" s="68"/>
      <c r="N1341" s="68"/>
      <c r="O1341" s="68"/>
      <c r="P1341" s="68"/>
      <c r="Q1341" s="68"/>
      <c r="R1341" s="68"/>
      <c r="S1341" s="68"/>
      <c r="T1341" s="68"/>
      <c r="U1341" s="68"/>
      <c r="V1341" s="68"/>
      <c r="W1341" s="68"/>
      <c r="X1341" s="68"/>
      <c r="Y1341" s="68"/>
      <c r="Z1341" s="68"/>
      <c r="AA1341" s="68"/>
    </row>
    <row r="1342" ht="26.25" customHeight="1">
      <c r="A1342" s="68"/>
      <c r="B1342" s="68"/>
      <c r="C1342" s="68"/>
      <c r="D1342" s="71"/>
      <c r="E1342" s="71"/>
      <c r="F1342" s="71"/>
      <c r="G1342" s="65"/>
      <c r="H1342" s="74"/>
      <c r="I1342" s="67" t="str">
        <f>IFERROR(__xludf.DUMMYFUNCTION("if($H1342="""", """", AVERAGE(split($H1342, "";"")))"),"")</f>
        <v/>
      </c>
      <c r="J1342" s="67" t="str">
        <f>IFERROR(__xludf.DUMMYFUNCTION("if(H1342="""", """", SUM(split(H1342, "";"")))"),"")</f>
        <v/>
      </c>
      <c r="K1342" s="68"/>
      <c r="L1342" s="68"/>
      <c r="M1342" s="68"/>
      <c r="N1342" s="68"/>
      <c r="O1342" s="68"/>
      <c r="P1342" s="68"/>
      <c r="Q1342" s="68"/>
      <c r="R1342" s="68"/>
      <c r="S1342" s="68"/>
      <c r="T1342" s="68"/>
      <c r="U1342" s="68"/>
      <c r="V1342" s="68"/>
      <c r="W1342" s="68"/>
      <c r="X1342" s="68"/>
      <c r="Y1342" s="68"/>
      <c r="Z1342" s="68"/>
      <c r="AA1342" s="68"/>
    </row>
    <row r="1343" ht="26.25" customHeight="1">
      <c r="A1343" s="68"/>
      <c r="B1343" s="68"/>
      <c r="C1343" s="68"/>
      <c r="D1343" s="71"/>
      <c r="E1343" s="71"/>
      <c r="F1343" s="71"/>
      <c r="G1343" s="65"/>
      <c r="H1343" s="74"/>
      <c r="I1343" s="67" t="str">
        <f>IFERROR(__xludf.DUMMYFUNCTION("if($H1343="""", """", AVERAGE(split($H1343, "";"")))"),"")</f>
        <v/>
      </c>
      <c r="J1343" s="67" t="str">
        <f>IFERROR(__xludf.DUMMYFUNCTION("if(H1343="""", """", SUM(split(H1343, "";"")))"),"")</f>
        <v/>
      </c>
      <c r="K1343" s="68"/>
      <c r="L1343" s="68"/>
      <c r="M1343" s="68"/>
      <c r="N1343" s="68"/>
      <c r="O1343" s="68"/>
      <c r="P1343" s="68"/>
      <c r="Q1343" s="68"/>
      <c r="R1343" s="68"/>
      <c r="S1343" s="68"/>
      <c r="T1343" s="68"/>
      <c r="U1343" s="68"/>
      <c r="V1343" s="68"/>
      <c r="W1343" s="68"/>
      <c r="X1343" s="68"/>
      <c r="Y1343" s="68"/>
      <c r="Z1343" s="68"/>
      <c r="AA1343" s="68"/>
    </row>
    <row r="1344" ht="26.25" customHeight="1">
      <c r="A1344" s="68"/>
      <c r="B1344" s="68"/>
      <c r="C1344" s="68"/>
      <c r="D1344" s="71"/>
      <c r="E1344" s="71"/>
      <c r="F1344" s="71"/>
      <c r="G1344" s="65"/>
      <c r="H1344" s="74"/>
      <c r="I1344" s="67" t="str">
        <f>IFERROR(__xludf.DUMMYFUNCTION("if($H1344="""", """", AVERAGE(split($H1344, "";"")))"),"")</f>
        <v/>
      </c>
      <c r="J1344" s="67" t="str">
        <f>IFERROR(__xludf.DUMMYFUNCTION("if(H1344="""", """", SUM(split(H1344, "";"")))"),"")</f>
        <v/>
      </c>
      <c r="K1344" s="68"/>
      <c r="L1344" s="68"/>
      <c r="M1344" s="68"/>
      <c r="N1344" s="68"/>
      <c r="O1344" s="68"/>
      <c r="P1344" s="68"/>
      <c r="Q1344" s="68"/>
      <c r="R1344" s="68"/>
      <c r="S1344" s="68"/>
      <c r="T1344" s="68"/>
      <c r="U1344" s="68"/>
      <c r="V1344" s="68"/>
      <c r="W1344" s="68"/>
      <c r="X1344" s="68"/>
      <c r="Y1344" s="68"/>
      <c r="Z1344" s="68"/>
      <c r="AA1344" s="68"/>
    </row>
    <row r="1345" ht="26.25" customHeight="1">
      <c r="A1345" s="68"/>
      <c r="B1345" s="68"/>
      <c r="C1345" s="68"/>
      <c r="D1345" s="71"/>
      <c r="E1345" s="71"/>
      <c r="F1345" s="71"/>
      <c r="G1345" s="65"/>
      <c r="H1345" s="74"/>
      <c r="I1345" s="67" t="str">
        <f>IFERROR(__xludf.DUMMYFUNCTION("if($H1345="""", """", AVERAGE(split($H1345, "";"")))"),"")</f>
        <v/>
      </c>
      <c r="J1345" s="67" t="str">
        <f>IFERROR(__xludf.DUMMYFUNCTION("if(H1345="""", """", SUM(split(H1345, "";"")))"),"")</f>
        <v/>
      </c>
      <c r="K1345" s="68"/>
      <c r="L1345" s="68"/>
      <c r="M1345" s="68"/>
      <c r="N1345" s="68"/>
      <c r="O1345" s="68"/>
      <c r="P1345" s="68"/>
      <c r="Q1345" s="68"/>
      <c r="R1345" s="68"/>
      <c r="S1345" s="68"/>
      <c r="T1345" s="68"/>
      <c r="U1345" s="68"/>
      <c r="V1345" s="68"/>
      <c r="W1345" s="68"/>
      <c r="X1345" s="68"/>
      <c r="Y1345" s="68"/>
      <c r="Z1345" s="68"/>
      <c r="AA1345" s="68"/>
    </row>
    <row r="1346" ht="26.25" customHeight="1">
      <c r="A1346" s="68"/>
      <c r="B1346" s="68"/>
      <c r="C1346" s="68"/>
      <c r="D1346" s="71"/>
      <c r="E1346" s="71"/>
      <c r="F1346" s="71"/>
      <c r="G1346" s="65"/>
      <c r="H1346" s="74"/>
      <c r="I1346" s="67" t="str">
        <f>IFERROR(__xludf.DUMMYFUNCTION("if($H1346="""", """", AVERAGE(split($H1346, "";"")))"),"")</f>
        <v/>
      </c>
      <c r="J1346" s="67" t="str">
        <f>IFERROR(__xludf.DUMMYFUNCTION("if(H1346="""", """", SUM(split(H1346, "";"")))"),"")</f>
        <v/>
      </c>
      <c r="K1346" s="68"/>
      <c r="L1346" s="68"/>
      <c r="M1346" s="68"/>
      <c r="N1346" s="68"/>
      <c r="O1346" s="68"/>
      <c r="P1346" s="68"/>
      <c r="Q1346" s="68"/>
      <c r="R1346" s="68"/>
      <c r="S1346" s="68"/>
      <c r="T1346" s="68"/>
      <c r="U1346" s="68"/>
      <c r="V1346" s="68"/>
      <c r="W1346" s="68"/>
      <c r="X1346" s="68"/>
      <c r="Y1346" s="68"/>
      <c r="Z1346" s="68"/>
      <c r="AA1346" s="68"/>
    </row>
    <row r="1347" ht="26.25" customHeight="1">
      <c r="A1347" s="68"/>
      <c r="B1347" s="68"/>
      <c r="C1347" s="68"/>
      <c r="D1347" s="71"/>
      <c r="E1347" s="71"/>
      <c r="F1347" s="71"/>
      <c r="G1347" s="65"/>
      <c r="H1347" s="74"/>
      <c r="I1347" s="67" t="str">
        <f>IFERROR(__xludf.DUMMYFUNCTION("if($H1347="""", """", AVERAGE(split($H1347, "";"")))"),"")</f>
        <v/>
      </c>
      <c r="J1347" s="67" t="str">
        <f>IFERROR(__xludf.DUMMYFUNCTION("if(H1347="""", """", SUM(split(H1347, "";"")))"),"")</f>
        <v/>
      </c>
      <c r="K1347" s="68"/>
      <c r="L1347" s="68"/>
      <c r="M1347" s="68"/>
      <c r="N1347" s="68"/>
      <c r="O1347" s="68"/>
      <c r="P1347" s="68"/>
      <c r="Q1347" s="68"/>
      <c r="R1347" s="68"/>
      <c r="S1347" s="68"/>
      <c r="T1347" s="68"/>
      <c r="U1347" s="68"/>
      <c r="V1347" s="68"/>
      <c r="W1347" s="68"/>
      <c r="X1347" s="68"/>
      <c r="Y1347" s="68"/>
      <c r="Z1347" s="68"/>
      <c r="AA1347" s="68"/>
    </row>
    <row r="1348" ht="26.25" customHeight="1">
      <c r="A1348" s="68"/>
      <c r="B1348" s="68"/>
      <c r="C1348" s="68"/>
      <c r="D1348" s="71"/>
      <c r="E1348" s="71"/>
      <c r="F1348" s="71"/>
      <c r="G1348" s="65"/>
      <c r="H1348" s="74"/>
      <c r="I1348" s="67" t="str">
        <f>IFERROR(__xludf.DUMMYFUNCTION("if($H1348="""", """", AVERAGE(split($H1348, "";"")))"),"")</f>
        <v/>
      </c>
      <c r="J1348" s="67" t="str">
        <f>IFERROR(__xludf.DUMMYFUNCTION("if(H1348="""", """", SUM(split(H1348, "";"")))"),"")</f>
        <v/>
      </c>
      <c r="K1348" s="68"/>
      <c r="L1348" s="68"/>
      <c r="M1348" s="68"/>
      <c r="N1348" s="68"/>
      <c r="O1348" s="68"/>
      <c r="P1348" s="68"/>
      <c r="Q1348" s="68"/>
      <c r="R1348" s="68"/>
      <c r="S1348" s="68"/>
      <c r="T1348" s="68"/>
      <c r="U1348" s="68"/>
      <c r="V1348" s="68"/>
      <c r="W1348" s="68"/>
      <c r="X1348" s="68"/>
      <c r="Y1348" s="68"/>
      <c r="Z1348" s="68"/>
      <c r="AA1348" s="68"/>
    </row>
    <row r="1349" ht="26.25" customHeight="1">
      <c r="A1349" s="68"/>
      <c r="B1349" s="68"/>
      <c r="C1349" s="68"/>
      <c r="D1349" s="71"/>
      <c r="E1349" s="71"/>
      <c r="F1349" s="71"/>
      <c r="G1349" s="65"/>
      <c r="H1349" s="74"/>
      <c r="I1349" s="67" t="str">
        <f>IFERROR(__xludf.DUMMYFUNCTION("if($H1349="""", """", AVERAGE(split($H1349, "";"")))"),"")</f>
        <v/>
      </c>
      <c r="J1349" s="67" t="str">
        <f>IFERROR(__xludf.DUMMYFUNCTION("if(H1349="""", """", SUM(split(H1349, "";"")))"),"")</f>
        <v/>
      </c>
      <c r="K1349" s="68"/>
      <c r="L1349" s="68"/>
      <c r="M1349" s="68"/>
      <c r="N1349" s="68"/>
      <c r="O1349" s="68"/>
      <c r="P1349" s="68"/>
      <c r="Q1349" s="68"/>
      <c r="R1349" s="68"/>
      <c r="S1349" s="68"/>
      <c r="T1349" s="68"/>
      <c r="U1349" s="68"/>
      <c r="V1349" s="68"/>
      <c r="W1349" s="68"/>
      <c r="X1349" s="68"/>
      <c r="Y1349" s="68"/>
      <c r="Z1349" s="68"/>
      <c r="AA1349" s="68"/>
    </row>
    <row r="1350" ht="26.25" customHeight="1">
      <c r="A1350" s="68"/>
      <c r="B1350" s="68"/>
      <c r="C1350" s="68"/>
      <c r="D1350" s="71"/>
      <c r="E1350" s="71"/>
      <c r="F1350" s="71"/>
      <c r="G1350" s="65"/>
      <c r="H1350" s="74"/>
      <c r="I1350" s="67" t="str">
        <f>IFERROR(__xludf.DUMMYFUNCTION("if($H1350="""", """", AVERAGE(split($H1350, "";"")))"),"")</f>
        <v/>
      </c>
      <c r="J1350" s="67" t="str">
        <f>IFERROR(__xludf.DUMMYFUNCTION("if(H1350="""", """", SUM(split(H1350, "";"")))"),"")</f>
        <v/>
      </c>
      <c r="K1350" s="68"/>
      <c r="L1350" s="68"/>
      <c r="M1350" s="68"/>
      <c r="N1350" s="68"/>
      <c r="O1350" s="68"/>
      <c r="P1350" s="68"/>
      <c r="Q1350" s="68"/>
      <c r="R1350" s="68"/>
      <c r="S1350" s="68"/>
      <c r="T1350" s="68"/>
      <c r="U1350" s="68"/>
      <c r="V1350" s="68"/>
      <c r="W1350" s="68"/>
      <c r="X1350" s="68"/>
      <c r="Y1350" s="68"/>
      <c r="Z1350" s="68"/>
      <c r="AA1350" s="68"/>
    </row>
    <row r="1351" ht="26.25" customHeight="1">
      <c r="A1351" s="68"/>
      <c r="B1351" s="68"/>
      <c r="C1351" s="68"/>
      <c r="D1351" s="71"/>
      <c r="E1351" s="71"/>
      <c r="F1351" s="71"/>
      <c r="G1351" s="65"/>
      <c r="H1351" s="74"/>
      <c r="I1351" s="67" t="str">
        <f>IFERROR(__xludf.DUMMYFUNCTION("if($H1351="""", """", AVERAGE(split($H1351, "";"")))"),"")</f>
        <v/>
      </c>
      <c r="J1351" s="67" t="str">
        <f>IFERROR(__xludf.DUMMYFUNCTION("if(H1351="""", """", SUM(split(H1351, "";"")))"),"")</f>
        <v/>
      </c>
      <c r="K1351" s="68"/>
      <c r="L1351" s="68"/>
      <c r="M1351" s="68"/>
      <c r="N1351" s="68"/>
      <c r="O1351" s="68"/>
      <c r="P1351" s="68"/>
      <c r="Q1351" s="68"/>
      <c r="R1351" s="68"/>
      <c r="S1351" s="68"/>
      <c r="T1351" s="68"/>
      <c r="U1351" s="68"/>
      <c r="V1351" s="68"/>
      <c r="W1351" s="68"/>
      <c r="X1351" s="68"/>
      <c r="Y1351" s="68"/>
      <c r="Z1351" s="68"/>
      <c r="AA1351" s="68"/>
    </row>
    <row r="1352" ht="26.25" customHeight="1">
      <c r="A1352" s="68"/>
      <c r="B1352" s="68"/>
      <c r="C1352" s="68"/>
      <c r="D1352" s="71"/>
      <c r="E1352" s="71"/>
      <c r="F1352" s="71"/>
      <c r="G1352" s="65"/>
      <c r="H1352" s="74"/>
      <c r="I1352" s="67" t="str">
        <f>IFERROR(__xludf.DUMMYFUNCTION("if($H1352="""", """", AVERAGE(split($H1352, "";"")))"),"")</f>
        <v/>
      </c>
      <c r="J1352" s="67" t="str">
        <f>IFERROR(__xludf.DUMMYFUNCTION("if(H1352="""", """", SUM(split(H1352, "";"")))"),"")</f>
        <v/>
      </c>
      <c r="K1352" s="68"/>
      <c r="L1352" s="68"/>
      <c r="M1352" s="68"/>
      <c r="N1352" s="68"/>
      <c r="O1352" s="68"/>
      <c r="P1352" s="68"/>
      <c r="Q1352" s="68"/>
      <c r="R1352" s="68"/>
      <c r="S1352" s="68"/>
      <c r="T1352" s="68"/>
      <c r="U1352" s="68"/>
      <c r="V1352" s="68"/>
      <c r="W1352" s="68"/>
      <c r="X1352" s="68"/>
      <c r="Y1352" s="68"/>
      <c r="Z1352" s="68"/>
      <c r="AA1352" s="68"/>
    </row>
    <row r="1353" ht="26.25" customHeight="1">
      <c r="A1353" s="68"/>
      <c r="B1353" s="68"/>
      <c r="C1353" s="68"/>
      <c r="D1353" s="71"/>
      <c r="E1353" s="71"/>
      <c r="F1353" s="71"/>
      <c r="G1353" s="65"/>
      <c r="H1353" s="74"/>
      <c r="I1353" s="67" t="str">
        <f>IFERROR(__xludf.DUMMYFUNCTION("if($H1353="""", """", AVERAGE(split($H1353, "";"")))"),"")</f>
        <v/>
      </c>
      <c r="J1353" s="67" t="str">
        <f>IFERROR(__xludf.DUMMYFUNCTION("if(H1353="""", """", SUM(split(H1353, "";"")))"),"")</f>
        <v/>
      </c>
      <c r="K1353" s="68"/>
      <c r="L1353" s="68"/>
      <c r="M1353" s="68"/>
      <c r="N1353" s="68"/>
      <c r="O1353" s="68"/>
      <c r="P1353" s="68"/>
      <c r="Q1353" s="68"/>
      <c r="R1353" s="68"/>
      <c r="S1353" s="68"/>
      <c r="T1353" s="68"/>
      <c r="U1353" s="68"/>
      <c r="V1353" s="68"/>
      <c r="W1353" s="68"/>
      <c r="X1353" s="68"/>
      <c r="Y1353" s="68"/>
      <c r="Z1353" s="68"/>
      <c r="AA1353" s="68"/>
    </row>
    <row r="1354" ht="26.25" customHeight="1">
      <c r="A1354" s="68"/>
      <c r="B1354" s="68"/>
      <c r="C1354" s="68"/>
      <c r="D1354" s="71"/>
      <c r="E1354" s="71"/>
      <c r="F1354" s="71"/>
      <c r="G1354" s="65"/>
      <c r="H1354" s="74"/>
      <c r="I1354" s="67" t="str">
        <f>IFERROR(__xludf.DUMMYFUNCTION("if($H1354="""", """", AVERAGE(split($H1354, "";"")))"),"")</f>
        <v/>
      </c>
      <c r="J1354" s="67" t="str">
        <f>IFERROR(__xludf.DUMMYFUNCTION("if(H1354="""", """", SUM(split(H1354, "";"")))"),"")</f>
        <v/>
      </c>
      <c r="K1354" s="68"/>
      <c r="L1354" s="68"/>
      <c r="M1354" s="68"/>
      <c r="N1354" s="68"/>
      <c r="O1354" s="68"/>
      <c r="P1354" s="68"/>
      <c r="Q1354" s="68"/>
      <c r="R1354" s="68"/>
      <c r="S1354" s="68"/>
      <c r="T1354" s="68"/>
      <c r="U1354" s="68"/>
      <c r="V1354" s="68"/>
      <c r="W1354" s="68"/>
      <c r="X1354" s="68"/>
      <c r="Y1354" s="68"/>
      <c r="Z1354" s="68"/>
      <c r="AA1354" s="68"/>
    </row>
    <row r="1355" ht="26.25" customHeight="1">
      <c r="A1355" s="68"/>
      <c r="B1355" s="68"/>
      <c r="C1355" s="68"/>
      <c r="D1355" s="71"/>
      <c r="E1355" s="71"/>
      <c r="F1355" s="71"/>
      <c r="G1355" s="65"/>
      <c r="H1355" s="74"/>
      <c r="I1355" s="67" t="str">
        <f>IFERROR(__xludf.DUMMYFUNCTION("if($H1355="""", """", AVERAGE(split($H1355, "";"")))"),"")</f>
        <v/>
      </c>
      <c r="J1355" s="67" t="str">
        <f>IFERROR(__xludf.DUMMYFUNCTION("if(H1355="""", """", SUM(split(H1355, "";"")))"),"")</f>
        <v/>
      </c>
      <c r="K1355" s="68"/>
      <c r="L1355" s="68"/>
      <c r="M1355" s="68"/>
      <c r="N1355" s="68"/>
      <c r="O1355" s="68"/>
      <c r="P1355" s="68"/>
      <c r="Q1355" s="68"/>
      <c r="R1355" s="68"/>
      <c r="S1355" s="68"/>
      <c r="T1355" s="68"/>
      <c r="U1355" s="68"/>
      <c r="V1355" s="68"/>
      <c r="W1355" s="68"/>
      <c r="X1355" s="68"/>
      <c r="Y1355" s="68"/>
      <c r="Z1355" s="68"/>
      <c r="AA1355" s="68"/>
    </row>
    <row r="1356" ht="26.25" customHeight="1">
      <c r="A1356" s="68"/>
      <c r="B1356" s="68"/>
      <c r="C1356" s="68"/>
      <c r="D1356" s="71"/>
      <c r="E1356" s="71"/>
      <c r="F1356" s="71"/>
      <c r="G1356" s="65"/>
      <c r="H1356" s="74"/>
      <c r="I1356" s="67" t="str">
        <f>IFERROR(__xludf.DUMMYFUNCTION("if($H1356="""", """", AVERAGE(split($H1356, "";"")))"),"")</f>
        <v/>
      </c>
      <c r="J1356" s="67" t="str">
        <f>IFERROR(__xludf.DUMMYFUNCTION("if(H1356="""", """", SUM(split(H1356, "";"")))"),"")</f>
        <v/>
      </c>
      <c r="K1356" s="68"/>
      <c r="L1356" s="68"/>
      <c r="M1356" s="68"/>
      <c r="N1356" s="68"/>
      <c r="O1356" s="68"/>
      <c r="P1356" s="68"/>
      <c r="Q1356" s="68"/>
      <c r="R1356" s="68"/>
      <c r="S1356" s="68"/>
      <c r="T1356" s="68"/>
      <c r="U1356" s="68"/>
      <c r="V1356" s="68"/>
      <c r="W1356" s="68"/>
      <c r="X1356" s="68"/>
      <c r="Y1356" s="68"/>
      <c r="Z1356" s="68"/>
      <c r="AA1356" s="68"/>
    </row>
    <row r="1357" ht="26.25" customHeight="1">
      <c r="A1357" s="68"/>
      <c r="B1357" s="68"/>
      <c r="C1357" s="68"/>
      <c r="D1357" s="71"/>
      <c r="E1357" s="71"/>
      <c r="F1357" s="71"/>
      <c r="G1357" s="65"/>
      <c r="H1357" s="74"/>
      <c r="I1357" s="67" t="str">
        <f>IFERROR(__xludf.DUMMYFUNCTION("if($H1357="""", """", AVERAGE(split($H1357, "";"")))"),"")</f>
        <v/>
      </c>
      <c r="J1357" s="67" t="str">
        <f>IFERROR(__xludf.DUMMYFUNCTION("if(H1357="""", """", SUM(split(H1357, "";"")))"),"")</f>
        <v/>
      </c>
      <c r="K1357" s="68"/>
      <c r="L1357" s="68"/>
      <c r="M1357" s="68"/>
      <c r="N1357" s="68"/>
      <c r="O1357" s="68"/>
      <c r="P1357" s="68"/>
      <c r="Q1357" s="68"/>
      <c r="R1357" s="68"/>
      <c r="S1357" s="68"/>
      <c r="T1357" s="68"/>
      <c r="U1357" s="68"/>
      <c r="V1357" s="68"/>
      <c r="W1357" s="68"/>
      <c r="X1357" s="68"/>
      <c r="Y1357" s="68"/>
      <c r="Z1357" s="68"/>
      <c r="AA1357" s="68"/>
    </row>
    <row r="1358" ht="26.25" customHeight="1">
      <c r="A1358" s="68"/>
      <c r="B1358" s="68"/>
      <c r="C1358" s="68"/>
      <c r="D1358" s="71"/>
      <c r="E1358" s="71"/>
      <c r="F1358" s="71"/>
      <c r="G1358" s="65"/>
      <c r="H1358" s="74"/>
      <c r="I1358" s="67" t="str">
        <f>IFERROR(__xludf.DUMMYFUNCTION("if($H1358="""", """", AVERAGE(split($H1358, "";"")))"),"")</f>
        <v/>
      </c>
      <c r="J1358" s="67" t="str">
        <f>IFERROR(__xludf.DUMMYFUNCTION("if(H1358="""", """", SUM(split(H1358, "";"")))"),"")</f>
        <v/>
      </c>
      <c r="K1358" s="68"/>
      <c r="L1358" s="68"/>
      <c r="M1358" s="68"/>
      <c r="N1358" s="68"/>
      <c r="O1358" s="68"/>
      <c r="P1358" s="68"/>
      <c r="Q1358" s="68"/>
      <c r="R1358" s="68"/>
      <c r="S1358" s="68"/>
      <c r="T1358" s="68"/>
      <c r="U1358" s="68"/>
      <c r="V1358" s="68"/>
      <c r="W1358" s="68"/>
      <c r="X1358" s="68"/>
      <c r="Y1358" s="68"/>
      <c r="Z1358" s="68"/>
      <c r="AA1358" s="68"/>
    </row>
    <row r="1359" ht="26.25" customHeight="1">
      <c r="A1359" s="68"/>
      <c r="B1359" s="68"/>
      <c r="C1359" s="68"/>
      <c r="D1359" s="71"/>
      <c r="E1359" s="71"/>
      <c r="F1359" s="71"/>
      <c r="G1359" s="65"/>
      <c r="H1359" s="74"/>
      <c r="I1359" s="67" t="str">
        <f>IFERROR(__xludf.DUMMYFUNCTION("if($H1359="""", """", AVERAGE(split($H1359, "";"")))"),"")</f>
        <v/>
      </c>
      <c r="J1359" s="67" t="str">
        <f>IFERROR(__xludf.DUMMYFUNCTION("if(H1359="""", """", SUM(split(H1359, "";"")))"),"")</f>
        <v/>
      </c>
      <c r="K1359" s="68"/>
      <c r="L1359" s="68"/>
      <c r="M1359" s="68"/>
      <c r="N1359" s="68"/>
      <c r="O1359" s="68"/>
      <c r="P1359" s="68"/>
      <c r="Q1359" s="68"/>
      <c r="R1359" s="68"/>
      <c r="S1359" s="68"/>
      <c r="T1359" s="68"/>
      <c r="U1359" s="68"/>
      <c r="V1359" s="68"/>
      <c r="W1359" s="68"/>
      <c r="X1359" s="68"/>
      <c r="Y1359" s="68"/>
      <c r="Z1359" s="68"/>
      <c r="AA1359" s="68"/>
    </row>
    <row r="1360" ht="26.25" customHeight="1">
      <c r="A1360" s="68"/>
      <c r="B1360" s="68"/>
      <c r="C1360" s="68"/>
      <c r="D1360" s="71"/>
      <c r="E1360" s="71"/>
      <c r="F1360" s="71"/>
      <c r="G1360" s="65"/>
      <c r="H1360" s="74"/>
      <c r="I1360" s="67" t="str">
        <f>IFERROR(__xludf.DUMMYFUNCTION("if($H1360="""", """", AVERAGE(split($H1360, "";"")))"),"")</f>
        <v/>
      </c>
      <c r="J1360" s="67" t="str">
        <f>IFERROR(__xludf.DUMMYFUNCTION("if(H1360="""", """", SUM(split(H1360, "";"")))"),"")</f>
        <v/>
      </c>
      <c r="K1360" s="68"/>
      <c r="L1360" s="68"/>
      <c r="M1360" s="68"/>
      <c r="N1360" s="68"/>
      <c r="O1360" s="68"/>
      <c r="P1360" s="68"/>
      <c r="Q1360" s="68"/>
      <c r="R1360" s="68"/>
      <c r="S1360" s="68"/>
      <c r="T1360" s="68"/>
      <c r="U1360" s="68"/>
      <c r="V1360" s="68"/>
      <c r="W1360" s="68"/>
      <c r="X1360" s="68"/>
      <c r="Y1360" s="68"/>
      <c r="Z1360" s="68"/>
      <c r="AA1360" s="68"/>
    </row>
    <row r="1361" ht="26.25" customHeight="1">
      <c r="A1361" s="68"/>
      <c r="B1361" s="68"/>
      <c r="C1361" s="68"/>
      <c r="D1361" s="71"/>
      <c r="E1361" s="71"/>
      <c r="F1361" s="71"/>
      <c r="G1361" s="65"/>
      <c r="H1361" s="74"/>
      <c r="I1361" s="67" t="str">
        <f>IFERROR(__xludf.DUMMYFUNCTION("if($H1361="""", """", AVERAGE(split($H1361, "";"")))"),"")</f>
        <v/>
      </c>
      <c r="J1361" s="67" t="str">
        <f>IFERROR(__xludf.DUMMYFUNCTION("if(H1361="""", """", SUM(split(H1361, "";"")))"),"")</f>
        <v/>
      </c>
      <c r="K1361" s="68"/>
      <c r="L1361" s="68"/>
      <c r="M1361" s="68"/>
      <c r="N1361" s="68"/>
      <c r="O1361" s="68"/>
      <c r="P1361" s="68"/>
      <c r="Q1361" s="68"/>
      <c r="R1361" s="68"/>
      <c r="S1361" s="68"/>
      <c r="T1361" s="68"/>
      <c r="U1361" s="68"/>
      <c r="V1361" s="68"/>
      <c r="W1361" s="68"/>
      <c r="X1361" s="68"/>
      <c r="Y1361" s="68"/>
      <c r="Z1361" s="68"/>
      <c r="AA1361" s="68"/>
    </row>
    <row r="1362" ht="26.25" customHeight="1">
      <c r="A1362" s="68"/>
      <c r="B1362" s="68"/>
      <c r="C1362" s="68"/>
      <c r="D1362" s="71"/>
      <c r="E1362" s="71"/>
      <c r="F1362" s="71"/>
      <c r="G1362" s="65"/>
      <c r="H1362" s="74"/>
      <c r="I1362" s="67" t="str">
        <f>IFERROR(__xludf.DUMMYFUNCTION("if($H1362="""", """", AVERAGE(split($H1362, "";"")))"),"")</f>
        <v/>
      </c>
      <c r="J1362" s="67" t="str">
        <f>IFERROR(__xludf.DUMMYFUNCTION("if(H1362="""", """", SUM(split(H1362, "";"")))"),"")</f>
        <v/>
      </c>
      <c r="K1362" s="68"/>
      <c r="L1362" s="68"/>
      <c r="M1362" s="68"/>
      <c r="N1362" s="68"/>
      <c r="O1362" s="68"/>
      <c r="P1362" s="68"/>
      <c r="Q1362" s="68"/>
      <c r="R1362" s="68"/>
      <c r="S1362" s="68"/>
      <c r="T1362" s="68"/>
      <c r="U1362" s="68"/>
      <c r="V1362" s="68"/>
      <c r="W1362" s="68"/>
      <c r="X1362" s="68"/>
      <c r="Y1362" s="68"/>
      <c r="Z1362" s="68"/>
      <c r="AA1362" s="68"/>
    </row>
    <row r="1363" ht="26.25" customHeight="1">
      <c r="A1363" s="68"/>
      <c r="B1363" s="68"/>
      <c r="C1363" s="68"/>
      <c r="D1363" s="71"/>
      <c r="E1363" s="71"/>
      <c r="F1363" s="71"/>
      <c r="G1363" s="65"/>
      <c r="H1363" s="74"/>
      <c r="I1363" s="67" t="str">
        <f>IFERROR(__xludf.DUMMYFUNCTION("if($H1363="""", """", AVERAGE(split($H1363, "";"")))"),"")</f>
        <v/>
      </c>
      <c r="J1363" s="67" t="str">
        <f>IFERROR(__xludf.DUMMYFUNCTION("if(H1363="""", """", SUM(split(H1363, "";"")))"),"")</f>
        <v/>
      </c>
      <c r="K1363" s="68"/>
      <c r="L1363" s="68"/>
      <c r="M1363" s="68"/>
      <c r="N1363" s="68"/>
      <c r="O1363" s="68"/>
      <c r="P1363" s="68"/>
      <c r="Q1363" s="68"/>
      <c r="R1363" s="68"/>
      <c r="S1363" s="68"/>
      <c r="T1363" s="68"/>
      <c r="U1363" s="68"/>
      <c r="V1363" s="68"/>
      <c r="W1363" s="68"/>
      <c r="X1363" s="68"/>
      <c r="Y1363" s="68"/>
      <c r="Z1363" s="68"/>
      <c r="AA1363" s="68"/>
    </row>
    <row r="1364" ht="26.25" customHeight="1">
      <c r="A1364" s="68"/>
      <c r="B1364" s="68"/>
      <c r="C1364" s="68"/>
      <c r="D1364" s="71"/>
      <c r="E1364" s="71"/>
      <c r="F1364" s="71"/>
      <c r="G1364" s="65"/>
      <c r="H1364" s="74"/>
      <c r="I1364" s="67" t="str">
        <f>IFERROR(__xludf.DUMMYFUNCTION("if($H1364="""", """", AVERAGE(split($H1364, "";"")))"),"")</f>
        <v/>
      </c>
      <c r="J1364" s="67" t="str">
        <f>IFERROR(__xludf.DUMMYFUNCTION("if(H1364="""", """", SUM(split(H1364, "";"")))"),"")</f>
        <v/>
      </c>
      <c r="K1364" s="68"/>
      <c r="L1364" s="68"/>
      <c r="M1364" s="68"/>
      <c r="N1364" s="68"/>
      <c r="O1364" s="68"/>
      <c r="P1364" s="68"/>
      <c r="Q1364" s="68"/>
      <c r="R1364" s="68"/>
      <c r="S1364" s="68"/>
      <c r="T1364" s="68"/>
      <c r="U1364" s="68"/>
      <c r="V1364" s="68"/>
      <c r="W1364" s="68"/>
      <c r="X1364" s="68"/>
      <c r="Y1364" s="68"/>
      <c r="Z1364" s="68"/>
      <c r="AA1364" s="68"/>
    </row>
    <row r="1365" ht="26.25" customHeight="1">
      <c r="A1365" s="68"/>
      <c r="B1365" s="68"/>
      <c r="C1365" s="68"/>
      <c r="D1365" s="71"/>
      <c r="E1365" s="71"/>
      <c r="F1365" s="71"/>
      <c r="G1365" s="65"/>
      <c r="H1365" s="74"/>
      <c r="I1365" s="67" t="str">
        <f>IFERROR(__xludf.DUMMYFUNCTION("if($H1365="""", """", AVERAGE(split($H1365, "";"")))"),"")</f>
        <v/>
      </c>
      <c r="J1365" s="67" t="str">
        <f>IFERROR(__xludf.DUMMYFUNCTION("if(H1365="""", """", SUM(split(H1365, "";"")))"),"")</f>
        <v/>
      </c>
      <c r="K1365" s="68"/>
      <c r="L1365" s="68"/>
      <c r="M1365" s="68"/>
      <c r="N1365" s="68"/>
      <c r="O1365" s="68"/>
      <c r="P1365" s="68"/>
      <c r="Q1365" s="68"/>
      <c r="R1365" s="68"/>
      <c r="S1365" s="68"/>
      <c r="T1365" s="68"/>
      <c r="U1365" s="68"/>
      <c r="V1365" s="68"/>
      <c r="W1365" s="68"/>
      <c r="X1365" s="68"/>
      <c r="Y1365" s="68"/>
      <c r="Z1365" s="68"/>
      <c r="AA1365" s="68"/>
    </row>
    <row r="1366" ht="26.25" customHeight="1">
      <c r="A1366" s="68"/>
      <c r="B1366" s="68"/>
      <c r="C1366" s="68"/>
      <c r="D1366" s="71"/>
      <c r="E1366" s="71"/>
      <c r="F1366" s="71"/>
      <c r="G1366" s="65"/>
      <c r="H1366" s="74"/>
      <c r="I1366" s="67" t="str">
        <f>IFERROR(__xludf.DUMMYFUNCTION("if($H1366="""", """", AVERAGE(split($H1366, "";"")))"),"")</f>
        <v/>
      </c>
      <c r="J1366" s="67" t="str">
        <f>IFERROR(__xludf.DUMMYFUNCTION("if(H1366="""", """", SUM(split(H1366, "";"")))"),"")</f>
        <v/>
      </c>
      <c r="K1366" s="68"/>
      <c r="L1366" s="68"/>
      <c r="M1366" s="68"/>
      <c r="N1366" s="68"/>
      <c r="O1366" s="68"/>
      <c r="P1366" s="68"/>
      <c r="Q1366" s="68"/>
      <c r="R1366" s="68"/>
      <c r="S1366" s="68"/>
      <c r="T1366" s="68"/>
      <c r="U1366" s="68"/>
      <c r="V1366" s="68"/>
      <c r="W1366" s="68"/>
      <c r="X1366" s="68"/>
      <c r="Y1366" s="68"/>
      <c r="Z1366" s="68"/>
      <c r="AA1366" s="68"/>
    </row>
    <row r="1367" ht="26.25" customHeight="1">
      <c r="A1367" s="68"/>
      <c r="B1367" s="68"/>
      <c r="C1367" s="68"/>
      <c r="D1367" s="71"/>
      <c r="E1367" s="71"/>
      <c r="F1367" s="71"/>
      <c r="G1367" s="65"/>
      <c r="H1367" s="74"/>
      <c r="I1367" s="67" t="str">
        <f>IFERROR(__xludf.DUMMYFUNCTION("if($H1367="""", """", AVERAGE(split($H1367, "";"")))"),"")</f>
        <v/>
      </c>
      <c r="J1367" s="67" t="str">
        <f>IFERROR(__xludf.DUMMYFUNCTION("if(H1367="""", """", SUM(split(H1367, "";"")))"),"")</f>
        <v/>
      </c>
      <c r="K1367" s="68"/>
      <c r="L1367" s="68"/>
      <c r="M1367" s="68"/>
      <c r="N1367" s="68"/>
      <c r="O1367" s="68"/>
      <c r="P1367" s="68"/>
      <c r="Q1367" s="68"/>
      <c r="R1367" s="68"/>
      <c r="S1367" s="68"/>
      <c r="T1367" s="68"/>
      <c r="U1367" s="68"/>
      <c r="V1367" s="68"/>
      <c r="W1367" s="68"/>
      <c r="X1367" s="68"/>
      <c r="Y1367" s="68"/>
      <c r="Z1367" s="68"/>
      <c r="AA1367" s="68"/>
    </row>
    <row r="1368" ht="26.25" customHeight="1">
      <c r="A1368" s="68"/>
      <c r="B1368" s="68"/>
      <c r="C1368" s="68"/>
      <c r="D1368" s="71"/>
      <c r="E1368" s="71"/>
      <c r="F1368" s="71"/>
      <c r="G1368" s="65"/>
      <c r="H1368" s="74"/>
      <c r="I1368" s="67" t="str">
        <f>IFERROR(__xludf.DUMMYFUNCTION("if($H1368="""", """", AVERAGE(split($H1368, "";"")))"),"")</f>
        <v/>
      </c>
      <c r="J1368" s="67" t="str">
        <f>IFERROR(__xludf.DUMMYFUNCTION("if(H1368="""", """", SUM(split(H1368, "";"")))"),"")</f>
        <v/>
      </c>
      <c r="K1368" s="68"/>
      <c r="L1368" s="68"/>
      <c r="M1368" s="68"/>
      <c r="N1368" s="68"/>
      <c r="O1368" s="68"/>
      <c r="P1368" s="68"/>
      <c r="Q1368" s="68"/>
      <c r="R1368" s="68"/>
      <c r="S1368" s="68"/>
      <c r="T1368" s="68"/>
      <c r="U1368" s="68"/>
      <c r="V1368" s="68"/>
      <c r="W1368" s="68"/>
      <c r="X1368" s="68"/>
      <c r="Y1368" s="68"/>
      <c r="Z1368" s="68"/>
      <c r="AA1368" s="68"/>
    </row>
    <row r="1369" ht="26.25" customHeight="1">
      <c r="A1369" s="68"/>
      <c r="B1369" s="68"/>
      <c r="C1369" s="68"/>
      <c r="D1369" s="71"/>
      <c r="E1369" s="71"/>
      <c r="F1369" s="71"/>
      <c r="G1369" s="65"/>
      <c r="H1369" s="74"/>
      <c r="I1369" s="67" t="str">
        <f>IFERROR(__xludf.DUMMYFUNCTION("if($H1369="""", """", AVERAGE(split($H1369, "";"")))"),"")</f>
        <v/>
      </c>
      <c r="J1369" s="67" t="str">
        <f>IFERROR(__xludf.DUMMYFUNCTION("if(H1369="""", """", SUM(split(H1369, "";"")))"),"")</f>
        <v/>
      </c>
      <c r="K1369" s="68"/>
      <c r="L1369" s="68"/>
      <c r="M1369" s="68"/>
      <c r="N1369" s="68"/>
      <c r="O1369" s="68"/>
      <c r="P1369" s="68"/>
      <c r="Q1369" s="68"/>
      <c r="R1369" s="68"/>
      <c r="S1369" s="68"/>
      <c r="T1369" s="68"/>
      <c r="U1369" s="68"/>
      <c r="V1369" s="68"/>
      <c r="W1369" s="68"/>
      <c r="X1369" s="68"/>
      <c r="Y1369" s="68"/>
      <c r="Z1369" s="68"/>
      <c r="AA1369" s="68"/>
    </row>
    <row r="1370" ht="26.25" customHeight="1">
      <c r="A1370" s="68"/>
      <c r="B1370" s="68"/>
      <c r="C1370" s="68"/>
      <c r="D1370" s="71"/>
      <c r="E1370" s="71"/>
      <c r="F1370" s="71"/>
      <c r="G1370" s="65"/>
      <c r="H1370" s="74"/>
      <c r="I1370" s="67" t="str">
        <f>IFERROR(__xludf.DUMMYFUNCTION("if($H1370="""", """", AVERAGE(split($H1370, "";"")))"),"")</f>
        <v/>
      </c>
      <c r="J1370" s="67" t="str">
        <f>IFERROR(__xludf.DUMMYFUNCTION("if(H1370="""", """", SUM(split(H1370, "";"")))"),"")</f>
        <v/>
      </c>
      <c r="K1370" s="68"/>
      <c r="L1370" s="68"/>
      <c r="M1370" s="68"/>
      <c r="N1370" s="68"/>
      <c r="O1370" s="68"/>
      <c r="P1370" s="68"/>
      <c r="Q1370" s="68"/>
      <c r="R1370" s="68"/>
      <c r="S1370" s="68"/>
      <c r="T1370" s="68"/>
      <c r="U1370" s="68"/>
      <c r="V1370" s="68"/>
      <c r="W1370" s="68"/>
      <c r="X1370" s="68"/>
      <c r="Y1370" s="68"/>
      <c r="Z1370" s="68"/>
      <c r="AA1370" s="68"/>
    </row>
    <row r="1371" ht="26.25" customHeight="1">
      <c r="A1371" s="68"/>
      <c r="B1371" s="68"/>
      <c r="C1371" s="68"/>
      <c r="D1371" s="71"/>
      <c r="E1371" s="71"/>
      <c r="F1371" s="71"/>
      <c r="G1371" s="65"/>
      <c r="H1371" s="74"/>
      <c r="I1371" s="67" t="str">
        <f>IFERROR(__xludf.DUMMYFUNCTION("if($H1371="""", """", AVERAGE(split($H1371, "";"")))"),"")</f>
        <v/>
      </c>
      <c r="J1371" s="67" t="str">
        <f>IFERROR(__xludf.DUMMYFUNCTION("if(H1371="""", """", SUM(split(H1371, "";"")))"),"")</f>
        <v/>
      </c>
      <c r="K1371" s="68"/>
      <c r="L1371" s="68"/>
      <c r="M1371" s="68"/>
      <c r="N1371" s="68"/>
      <c r="O1371" s="68"/>
      <c r="P1371" s="68"/>
      <c r="Q1371" s="68"/>
      <c r="R1371" s="68"/>
      <c r="S1371" s="68"/>
      <c r="T1371" s="68"/>
      <c r="U1371" s="68"/>
      <c r="V1371" s="68"/>
      <c r="W1371" s="68"/>
      <c r="X1371" s="68"/>
      <c r="Y1371" s="68"/>
      <c r="Z1371" s="68"/>
      <c r="AA1371" s="68"/>
    </row>
    <row r="1372" ht="26.25" customHeight="1">
      <c r="A1372" s="68"/>
      <c r="B1372" s="68"/>
      <c r="C1372" s="68"/>
      <c r="D1372" s="71"/>
      <c r="E1372" s="71"/>
      <c r="F1372" s="71"/>
      <c r="G1372" s="65"/>
      <c r="H1372" s="74"/>
      <c r="I1372" s="67" t="str">
        <f>IFERROR(__xludf.DUMMYFUNCTION("if($H1372="""", """", AVERAGE(split($H1372, "";"")))"),"")</f>
        <v/>
      </c>
      <c r="J1372" s="67" t="str">
        <f>IFERROR(__xludf.DUMMYFUNCTION("if(H1372="""", """", SUM(split(H1372, "";"")))"),"")</f>
        <v/>
      </c>
      <c r="K1372" s="68"/>
      <c r="L1372" s="68"/>
      <c r="M1372" s="68"/>
      <c r="N1372" s="68"/>
      <c r="O1372" s="68"/>
      <c r="P1372" s="68"/>
      <c r="Q1372" s="68"/>
      <c r="R1372" s="68"/>
      <c r="S1372" s="68"/>
      <c r="T1372" s="68"/>
      <c r="U1372" s="68"/>
      <c r="V1372" s="68"/>
      <c r="W1372" s="68"/>
      <c r="X1372" s="68"/>
      <c r="Y1372" s="68"/>
      <c r="Z1372" s="68"/>
      <c r="AA1372" s="68"/>
    </row>
    <row r="1373" ht="26.25" customHeight="1">
      <c r="A1373" s="68"/>
      <c r="B1373" s="68"/>
      <c r="C1373" s="68"/>
      <c r="D1373" s="71"/>
      <c r="E1373" s="71"/>
      <c r="F1373" s="71"/>
      <c r="G1373" s="65"/>
      <c r="H1373" s="74"/>
      <c r="I1373" s="67" t="str">
        <f>IFERROR(__xludf.DUMMYFUNCTION("if($H1373="""", """", AVERAGE(split($H1373, "";"")))"),"")</f>
        <v/>
      </c>
      <c r="J1373" s="67" t="str">
        <f>IFERROR(__xludf.DUMMYFUNCTION("if(H1373="""", """", SUM(split(H1373, "";"")))"),"")</f>
        <v/>
      </c>
      <c r="K1373" s="68"/>
      <c r="L1373" s="68"/>
      <c r="M1373" s="68"/>
      <c r="N1373" s="68"/>
      <c r="O1373" s="68"/>
      <c r="P1373" s="68"/>
      <c r="Q1373" s="68"/>
      <c r="R1373" s="68"/>
      <c r="S1373" s="68"/>
      <c r="T1373" s="68"/>
      <c r="U1373" s="68"/>
      <c r="V1373" s="68"/>
      <c r="W1373" s="68"/>
      <c r="X1373" s="68"/>
      <c r="Y1373" s="68"/>
      <c r="Z1373" s="68"/>
      <c r="AA1373" s="68"/>
    </row>
    <row r="1374" ht="26.25" customHeight="1">
      <c r="A1374" s="68"/>
      <c r="B1374" s="68"/>
      <c r="C1374" s="68"/>
      <c r="D1374" s="71"/>
      <c r="E1374" s="71"/>
      <c r="F1374" s="71"/>
      <c r="G1374" s="65"/>
      <c r="H1374" s="74"/>
      <c r="I1374" s="67" t="str">
        <f>IFERROR(__xludf.DUMMYFUNCTION("if($H1374="""", """", AVERAGE(split($H1374, "";"")))"),"")</f>
        <v/>
      </c>
      <c r="J1374" s="67" t="str">
        <f>IFERROR(__xludf.DUMMYFUNCTION("if(H1374="""", """", SUM(split(H1374, "";"")))"),"")</f>
        <v/>
      </c>
      <c r="K1374" s="68"/>
      <c r="L1374" s="68"/>
      <c r="M1374" s="68"/>
      <c r="N1374" s="68"/>
      <c r="O1374" s="68"/>
      <c r="P1374" s="68"/>
      <c r="Q1374" s="68"/>
      <c r="R1374" s="68"/>
      <c r="S1374" s="68"/>
      <c r="T1374" s="68"/>
      <c r="U1374" s="68"/>
      <c r="V1374" s="68"/>
      <c r="W1374" s="68"/>
      <c r="X1374" s="68"/>
      <c r="Y1374" s="68"/>
      <c r="Z1374" s="68"/>
      <c r="AA1374" s="68"/>
    </row>
    <row r="1375" ht="26.25" customHeight="1">
      <c r="A1375" s="68"/>
      <c r="B1375" s="68"/>
      <c r="C1375" s="68"/>
      <c r="D1375" s="71"/>
      <c r="E1375" s="71"/>
      <c r="F1375" s="71"/>
      <c r="G1375" s="65"/>
      <c r="H1375" s="74"/>
      <c r="I1375" s="67" t="str">
        <f>IFERROR(__xludf.DUMMYFUNCTION("if($H1375="""", """", AVERAGE(split($H1375, "";"")))"),"")</f>
        <v/>
      </c>
      <c r="J1375" s="67" t="str">
        <f>IFERROR(__xludf.DUMMYFUNCTION("if(H1375="""", """", SUM(split(H1375, "";"")))"),"")</f>
        <v/>
      </c>
      <c r="K1375" s="68"/>
      <c r="L1375" s="68"/>
      <c r="M1375" s="68"/>
      <c r="N1375" s="68"/>
      <c r="O1375" s="68"/>
      <c r="P1375" s="68"/>
      <c r="Q1375" s="68"/>
      <c r="R1375" s="68"/>
      <c r="S1375" s="68"/>
      <c r="T1375" s="68"/>
      <c r="U1375" s="68"/>
      <c r="V1375" s="68"/>
      <c r="W1375" s="68"/>
      <c r="X1375" s="68"/>
      <c r="Y1375" s="68"/>
      <c r="Z1375" s="68"/>
      <c r="AA1375" s="68"/>
    </row>
    <row r="1376" ht="26.25" customHeight="1">
      <c r="A1376" s="68"/>
      <c r="B1376" s="68"/>
      <c r="C1376" s="68"/>
      <c r="D1376" s="71"/>
      <c r="E1376" s="71"/>
      <c r="F1376" s="71"/>
      <c r="G1376" s="65"/>
      <c r="H1376" s="74"/>
      <c r="I1376" s="67" t="str">
        <f>IFERROR(__xludf.DUMMYFUNCTION("if($H1376="""", """", AVERAGE(split($H1376, "";"")))"),"")</f>
        <v/>
      </c>
      <c r="J1376" s="67" t="str">
        <f>IFERROR(__xludf.DUMMYFUNCTION("if(H1376="""", """", SUM(split(H1376, "";"")))"),"")</f>
        <v/>
      </c>
      <c r="K1376" s="68"/>
      <c r="L1376" s="68"/>
      <c r="M1376" s="68"/>
      <c r="N1376" s="68"/>
      <c r="O1376" s="68"/>
      <c r="P1376" s="68"/>
      <c r="Q1376" s="68"/>
      <c r="R1376" s="68"/>
      <c r="S1376" s="68"/>
      <c r="T1376" s="68"/>
      <c r="U1376" s="68"/>
      <c r="V1376" s="68"/>
      <c r="W1376" s="68"/>
      <c r="X1376" s="68"/>
      <c r="Y1376" s="68"/>
      <c r="Z1376" s="68"/>
      <c r="AA1376" s="68"/>
    </row>
    <row r="1377" ht="26.25" customHeight="1">
      <c r="A1377" s="68"/>
      <c r="B1377" s="68"/>
      <c r="C1377" s="68"/>
      <c r="D1377" s="71"/>
      <c r="E1377" s="71"/>
      <c r="F1377" s="71"/>
      <c r="G1377" s="65"/>
      <c r="H1377" s="74"/>
      <c r="I1377" s="67" t="str">
        <f>IFERROR(__xludf.DUMMYFUNCTION("if($H1377="""", """", AVERAGE(split($H1377, "";"")))"),"")</f>
        <v/>
      </c>
      <c r="J1377" s="67" t="str">
        <f>IFERROR(__xludf.DUMMYFUNCTION("if(H1377="""", """", SUM(split(H1377, "";"")))"),"")</f>
        <v/>
      </c>
      <c r="K1377" s="68"/>
      <c r="L1377" s="68"/>
      <c r="M1377" s="68"/>
      <c r="N1377" s="68"/>
      <c r="O1377" s="68"/>
      <c r="P1377" s="68"/>
      <c r="Q1377" s="68"/>
      <c r="R1377" s="68"/>
      <c r="S1377" s="68"/>
      <c r="T1377" s="68"/>
      <c r="U1377" s="68"/>
      <c r="V1377" s="68"/>
      <c r="W1377" s="68"/>
      <c r="X1377" s="68"/>
      <c r="Y1377" s="68"/>
      <c r="Z1377" s="68"/>
      <c r="AA1377" s="68"/>
    </row>
    <row r="1378" ht="26.25" customHeight="1">
      <c r="A1378" s="68"/>
      <c r="B1378" s="68"/>
      <c r="C1378" s="68"/>
      <c r="D1378" s="71"/>
      <c r="E1378" s="71"/>
      <c r="F1378" s="71"/>
      <c r="G1378" s="65"/>
      <c r="H1378" s="74"/>
      <c r="I1378" s="67" t="str">
        <f>IFERROR(__xludf.DUMMYFUNCTION("if($H1378="""", """", AVERAGE(split($H1378, "";"")))"),"")</f>
        <v/>
      </c>
      <c r="J1378" s="67" t="str">
        <f>IFERROR(__xludf.DUMMYFUNCTION("if(H1378="""", """", SUM(split(H1378, "";"")))"),"")</f>
        <v/>
      </c>
      <c r="K1378" s="68"/>
      <c r="L1378" s="68"/>
      <c r="M1378" s="68"/>
      <c r="N1378" s="68"/>
      <c r="O1378" s="68"/>
      <c r="P1378" s="68"/>
      <c r="Q1378" s="68"/>
      <c r="R1378" s="68"/>
      <c r="S1378" s="68"/>
      <c r="T1378" s="68"/>
      <c r="U1378" s="68"/>
      <c r="V1378" s="68"/>
      <c r="W1378" s="68"/>
      <c r="X1378" s="68"/>
      <c r="Y1378" s="68"/>
      <c r="Z1378" s="68"/>
      <c r="AA1378" s="68"/>
    </row>
    <row r="1379" ht="26.25" customHeight="1">
      <c r="A1379" s="68"/>
      <c r="B1379" s="68"/>
      <c r="C1379" s="68"/>
      <c r="D1379" s="71"/>
      <c r="E1379" s="71"/>
      <c r="F1379" s="71"/>
      <c r="G1379" s="65"/>
      <c r="H1379" s="74"/>
      <c r="I1379" s="67" t="str">
        <f>IFERROR(__xludf.DUMMYFUNCTION("if($H1379="""", """", AVERAGE(split($H1379, "";"")))"),"")</f>
        <v/>
      </c>
      <c r="J1379" s="67" t="str">
        <f>IFERROR(__xludf.DUMMYFUNCTION("if(H1379="""", """", SUM(split(H1379, "";"")))"),"")</f>
        <v/>
      </c>
      <c r="K1379" s="68"/>
      <c r="L1379" s="68"/>
      <c r="M1379" s="68"/>
      <c r="N1379" s="68"/>
      <c r="O1379" s="68"/>
      <c r="P1379" s="68"/>
      <c r="Q1379" s="68"/>
      <c r="R1379" s="68"/>
      <c r="S1379" s="68"/>
      <c r="T1379" s="68"/>
      <c r="U1379" s="68"/>
      <c r="V1379" s="68"/>
      <c r="W1379" s="68"/>
      <c r="X1379" s="68"/>
      <c r="Y1379" s="68"/>
      <c r="Z1379" s="68"/>
      <c r="AA1379" s="68"/>
    </row>
    <row r="1380" ht="26.25" customHeight="1">
      <c r="A1380" s="68"/>
      <c r="B1380" s="68"/>
      <c r="C1380" s="68"/>
      <c r="D1380" s="71"/>
      <c r="E1380" s="71"/>
      <c r="F1380" s="71"/>
      <c r="G1380" s="65"/>
      <c r="H1380" s="74"/>
      <c r="I1380" s="67" t="str">
        <f>IFERROR(__xludf.DUMMYFUNCTION("if($H1380="""", """", AVERAGE(split($H1380, "";"")))"),"")</f>
        <v/>
      </c>
      <c r="J1380" s="67" t="str">
        <f>IFERROR(__xludf.DUMMYFUNCTION("if(H1380="""", """", SUM(split(H1380, "";"")))"),"")</f>
        <v/>
      </c>
      <c r="K1380" s="68"/>
      <c r="L1380" s="68"/>
      <c r="M1380" s="68"/>
      <c r="N1380" s="68"/>
      <c r="O1380" s="68"/>
      <c r="P1380" s="68"/>
      <c r="Q1380" s="68"/>
      <c r="R1380" s="68"/>
      <c r="S1380" s="68"/>
      <c r="T1380" s="68"/>
      <c r="U1380" s="68"/>
      <c r="V1380" s="68"/>
      <c r="W1380" s="68"/>
      <c r="X1380" s="68"/>
      <c r="Y1380" s="68"/>
      <c r="Z1380" s="68"/>
      <c r="AA1380" s="68"/>
    </row>
    <row r="1381" ht="26.25" customHeight="1">
      <c r="A1381" s="68"/>
      <c r="B1381" s="68"/>
      <c r="C1381" s="68"/>
      <c r="D1381" s="71"/>
      <c r="E1381" s="71"/>
      <c r="F1381" s="71"/>
      <c r="G1381" s="65"/>
      <c r="H1381" s="74"/>
      <c r="I1381" s="67" t="str">
        <f>IFERROR(__xludf.DUMMYFUNCTION("if($H1381="""", """", AVERAGE(split($H1381, "";"")))"),"")</f>
        <v/>
      </c>
      <c r="J1381" s="67" t="str">
        <f>IFERROR(__xludf.DUMMYFUNCTION("if(H1381="""", """", SUM(split(H1381, "";"")))"),"")</f>
        <v/>
      </c>
      <c r="K1381" s="68"/>
      <c r="L1381" s="68"/>
      <c r="M1381" s="68"/>
      <c r="N1381" s="68"/>
      <c r="O1381" s="68"/>
      <c r="P1381" s="68"/>
      <c r="Q1381" s="68"/>
      <c r="R1381" s="68"/>
      <c r="S1381" s="68"/>
      <c r="T1381" s="68"/>
      <c r="U1381" s="68"/>
      <c r="V1381" s="68"/>
      <c r="W1381" s="68"/>
      <c r="X1381" s="68"/>
      <c r="Y1381" s="68"/>
      <c r="Z1381" s="68"/>
      <c r="AA1381" s="68"/>
    </row>
    <row r="1382" ht="26.25" customHeight="1">
      <c r="A1382" s="68"/>
      <c r="B1382" s="68"/>
      <c r="C1382" s="68"/>
      <c r="D1382" s="71"/>
      <c r="E1382" s="71"/>
      <c r="F1382" s="71"/>
      <c r="G1382" s="65"/>
      <c r="H1382" s="74"/>
      <c r="I1382" s="67" t="str">
        <f>IFERROR(__xludf.DUMMYFUNCTION("if($H1382="""", """", AVERAGE(split($H1382, "";"")))"),"")</f>
        <v/>
      </c>
      <c r="J1382" s="67" t="str">
        <f>IFERROR(__xludf.DUMMYFUNCTION("if(H1382="""", """", SUM(split(H1382, "";"")))"),"")</f>
        <v/>
      </c>
      <c r="K1382" s="68"/>
      <c r="L1382" s="68"/>
      <c r="M1382" s="68"/>
      <c r="N1382" s="68"/>
      <c r="O1382" s="68"/>
      <c r="P1382" s="68"/>
      <c r="Q1382" s="68"/>
      <c r="R1382" s="68"/>
      <c r="S1382" s="68"/>
      <c r="T1382" s="68"/>
      <c r="U1382" s="68"/>
      <c r="V1382" s="68"/>
      <c r="W1382" s="68"/>
      <c r="X1382" s="68"/>
      <c r="Y1382" s="68"/>
      <c r="Z1382" s="68"/>
      <c r="AA1382" s="68"/>
    </row>
    <row r="1383" ht="26.25" customHeight="1">
      <c r="A1383" s="68"/>
      <c r="B1383" s="68"/>
      <c r="C1383" s="68"/>
      <c r="D1383" s="71"/>
      <c r="E1383" s="71"/>
      <c r="F1383" s="71"/>
      <c r="G1383" s="65"/>
      <c r="H1383" s="74"/>
      <c r="I1383" s="67" t="str">
        <f>IFERROR(__xludf.DUMMYFUNCTION("if($H1383="""", """", AVERAGE(split($H1383, "";"")))"),"")</f>
        <v/>
      </c>
      <c r="J1383" s="67" t="str">
        <f>IFERROR(__xludf.DUMMYFUNCTION("if(H1383="""", """", SUM(split(H1383, "";"")))"),"")</f>
        <v/>
      </c>
      <c r="K1383" s="68"/>
      <c r="L1383" s="68"/>
      <c r="M1383" s="68"/>
      <c r="N1383" s="68"/>
      <c r="O1383" s="68"/>
      <c r="P1383" s="68"/>
      <c r="Q1383" s="68"/>
      <c r="R1383" s="68"/>
      <c r="S1383" s="68"/>
      <c r="T1383" s="68"/>
      <c r="U1383" s="68"/>
      <c r="V1383" s="68"/>
      <c r="W1383" s="68"/>
      <c r="X1383" s="68"/>
      <c r="Y1383" s="68"/>
      <c r="Z1383" s="68"/>
      <c r="AA1383" s="68"/>
    </row>
    <row r="1384" ht="26.25" customHeight="1">
      <c r="A1384" s="68"/>
      <c r="B1384" s="68"/>
      <c r="C1384" s="68"/>
      <c r="D1384" s="71"/>
      <c r="E1384" s="71"/>
      <c r="F1384" s="71"/>
      <c r="G1384" s="65"/>
      <c r="H1384" s="74"/>
      <c r="I1384" s="67" t="str">
        <f>IFERROR(__xludf.DUMMYFUNCTION("if($H1384="""", """", AVERAGE(split($H1384, "";"")))"),"")</f>
        <v/>
      </c>
      <c r="J1384" s="67" t="str">
        <f>IFERROR(__xludf.DUMMYFUNCTION("if(H1384="""", """", SUM(split(H1384, "";"")))"),"")</f>
        <v/>
      </c>
      <c r="K1384" s="68"/>
      <c r="L1384" s="68"/>
      <c r="M1384" s="68"/>
      <c r="N1384" s="68"/>
      <c r="O1384" s="68"/>
      <c r="P1384" s="68"/>
      <c r="Q1384" s="68"/>
      <c r="R1384" s="68"/>
      <c r="S1384" s="68"/>
      <c r="T1384" s="68"/>
      <c r="U1384" s="68"/>
      <c r="V1384" s="68"/>
      <c r="W1384" s="68"/>
      <c r="X1384" s="68"/>
      <c r="Y1384" s="68"/>
      <c r="Z1384" s="68"/>
      <c r="AA1384" s="68"/>
    </row>
    <row r="1385" ht="26.25" customHeight="1">
      <c r="A1385" s="68"/>
      <c r="B1385" s="68"/>
      <c r="C1385" s="68"/>
      <c r="D1385" s="71"/>
      <c r="E1385" s="71"/>
      <c r="F1385" s="71"/>
      <c r="G1385" s="65"/>
      <c r="H1385" s="74"/>
      <c r="I1385" s="67" t="str">
        <f>IFERROR(__xludf.DUMMYFUNCTION("if($H1385="""", """", AVERAGE(split($H1385, "";"")))"),"")</f>
        <v/>
      </c>
      <c r="J1385" s="67" t="str">
        <f>IFERROR(__xludf.DUMMYFUNCTION("if(H1385="""", """", SUM(split(H1385, "";"")))"),"")</f>
        <v/>
      </c>
      <c r="K1385" s="68"/>
      <c r="L1385" s="68"/>
      <c r="M1385" s="68"/>
      <c r="N1385" s="68"/>
      <c r="O1385" s="68"/>
      <c r="P1385" s="68"/>
      <c r="Q1385" s="68"/>
      <c r="R1385" s="68"/>
      <c r="S1385" s="68"/>
      <c r="T1385" s="68"/>
      <c r="U1385" s="68"/>
      <c r="V1385" s="68"/>
      <c r="W1385" s="68"/>
      <c r="X1385" s="68"/>
      <c r="Y1385" s="68"/>
      <c r="Z1385" s="68"/>
      <c r="AA1385" s="68"/>
    </row>
    <row r="1386" ht="26.25" customHeight="1">
      <c r="A1386" s="68"/>
      <c r="B1386" s="68"/>
      <c r="C1386" s="68"/>
      <c r="D1386" s="71"/>
      <c r="E1386" s="71"/>
      <c r="F1386" s="71"/>
      <c r="G1386" s="65"/>
      <c r="H1386" s="74"/>
      <c r="I1386" s="67" t="str">
        <f>IFERROR(__xludf.DUMMYFUNCTION("if($H1386="""", """", AVERAGE(split($H1386, "";"")))"),"")</f>
        <v/>
      </c>
      <c r="J1386" s="67" t="str">
        <f>IFERROR(__xludf.DUMMYFUNCTION("if(H1386="""", """", SUM(split(H1386, "";"")))"),"")</f>
        <v/>
      </c>
      <c r="K1386" s="68"/>
      <c r="L1386" s="68"/>
      <c r="M1386" s="68"/>
      <c r="N1386" s="68"/>
      <c r="O1386" s="68"/>
      <c r="P1386" s="68"/>
      <c r="Q1386" s="68"/>
      <c r="R1386" s="68"/>
      <c r="S1386" s="68"/>
      <c r="T1386" s="68"/>
      <c r="U1386" s="68"/>
      <c r="V1386" s="68"/>
      <c r="W1386" s="68"/>
      <c r="X1386" s="68"/>
      <c r="Y1386" s="68"/>
      <c r="Z1386" s="68"/>
      <c r="AA1386" s="68"/>
    </row>
    <row r="1387" ht="26.25" customHeight="1">
      <c r="A1387" s="68"/>
      <c r="B1387" s="68"/>
      <c r="C1387" s="68"/>
      <c r="D1387" s="71"/>
      <c r="E1387" s="71"/>
      <c r="F1387" s="71"/>
      <c r="G1387" s="65"/>
      <c r="H1387" s="74"/>
      <c r="I1387" s="67" t="str">
        <f>IFERROR(__xludf.DUMMYFUNCTION("if($H1387="""", """", AVERAGE(split($H1387, "";"")))"),"")</f>
        <v/>
      </c>
      <c r="J1387" s="67" t="str">
        <f>IFERROR(__xludf.DUMMYFUNCTION("if(H1387="""", """", SUM(split(H1387, "";"")))"),"")</f>
        <v/>
      </c>
      <c r="K1387" s="68"/>
      <c r="L1387" s="68"/>
      <c r="M1387" s="68"/>
      <c r="N1387" s="68"/>
      <c r="O1387" s="68"/>
      <c r="P1387" s="68"/>
      <c r="Q1387" s="68"/>
      <c r="R1387" s="68"/>
      <c r="S1387" s="68"/>
      <c r="T1387" s="68"/>
      <c r="U1387" s="68"/>
      <c r="V1387" s="68"/>
      <c r="W1387" s="68"/>
      <c r="X1387" s="68"/>
      <c r="Y1387" s="68"/>
      <c r="Z1387" s="68"/>
      <c r="AA1387" s="68"/>
    </row>
    <row r="1388" ht="26.25" customHeight="1">
      <c r="A1388" s="68"/>
      <c r="B1388" s="68"/>
      <c r="C1388" s="68"/>
      <c r="D1388" s="71"/>
      <c r="E1388" s="71"/>
      <c r="F1388" s="71"/>
      <c r="G1388" s="65"/>
      <c r="H1388" s="74"/>
      <c r="I1388" s="67" t="str">
        <f>IFERROR(__xludf.DUMMYFUNCTION("if($H1388="""", """", AVERAGE(split($H1388, "";"")))"),"")</f>
        <v/>
      </c>
      <c r="J1388" s="67" t="str">
        <f>IFERROR(__xludf.DUMMYFUNCTION("if(H1388="""", """", SUM(split(H1388, "";"")))"),"")</f>
        <v/>
      </c>
      <c r="K1388" s="68"/>
      <c r="L1388" s="68"/>
      <c r="M1388" s="68"/>
      <c r="N1388" s="68"/>
      <c r="O1388" s="68"/>
      <c r="P1388" s="68"/>
      <c r="Q1388" s="68"/>
      <c r="R1388" s="68"/>
      <c r="S1388" s="68"/>
      <c r="T1388" s="68"/>
      <c r="U1388" s="68"/>
      <c r="V1388" s="68"/>
      <c r="W1388" s="68"/>
      <c r="X1388" s="68"/>
      <c r="Y1388" s="68"/>
      <c r="Z1388" s="68"/>
      <c r="AA1388" s="68"/>
    </row>
    <row r="1389" ht="26.25" customHeight="1">
      <c r="A1389" s="68"/>
      <c r="B1389" s="68"/>
      <c r="C1389" s="68"/>
      <c r="D1389" s="71"/>
      <c r="E1389" s="71"/>
      <c r="F1389" s="71"/>
      <c r="G1389" s="65"/>
      <c r="H1389" s="74"/>
      <c r="I1389" s="67" t="str">
        <f>IFERROR(__xludf.DUMMYFUNCTION("if($H1389="""", """", AVERAGE(split($H1389, "";"")))"),"")</f>
        <v/>
      </c>
      <c r="J1389" s="67" t="str">
        <f>IFERROR(__xludf.DUMMYFUNCTION("if(H1389="""", """", SUM(split(H1389, "";"")))"),"")</f>
        <v/>
      </c>
      <c r="K1389" s="68"/>
      <c r="L1389" s="68"/>
      <c r="M1389" s="68"/>
      <c r="N1389" s="68"/>
      <c r="O1389" s="68"/>
      <c r="P1389" s="68"/>
      <c r="Q1389" s="68"/>
      <c r="R1389" s="68"/>
      <c r="S1389" s="68"/>
      <c r="T1389" s="68"/>
      <c r="U1389" s="68"/>
      <c r="V1389" s="68"/>
      <c r="W1389" s="68"/>
      <c r="X1389" s="68"/>
      <c r="Y1389" s="68"/>
      <c r="Z1389" s="68"/>
      <c r="AA1389" s="68"/>
    </row>
    <row r="1390" ht="26.25" customHeight="1">
      <c r="A1390" s="68"/>
      <c r="B1390" s="68"/>
      <c r="C1390" s="68"/>
      <c r="D1390" s="71"/>
      <c r="E1390" s="71"/>
      <c r="F1390" s="71"/>
      <c r="G1390" s="65"/>
      <c r="H1390" s="74"/>
      <c r="I1390" s="67" t="str">
        <f>IFERROR(__xludf.DUMMYFUNCTION("if($H1390="""", """", AVERAGE(split($H1390, "";"")))"),"")</f>
        <v/>
      </c>
      <c r="J1390" s="67" t="str">
        <f>IFERROR(__xludf.DUMMYFUNCTION("if(H1390="""", """", SUM(split(H1390, "";"")))"),"")</f>
        <v/>
      </c>
      <c r="K1390" s="68"/>
      <c r="L1390" s="68"/>
      <c r="M1390" s="68"/>
      <c r="N1390" s="68"/>
      <c r="O1390" s="68"/>
      <c r="P1390" s="68"/>
      <c r="Q1390" s="68"/>
      <c r="R1390" s="68"/>
      <c r="S1390" s="68"/>
      <c r="T1390" s="68"/>
      <c r="U1390" s="68"/>
      <c r="V1390" s="68"/>
      <c r="W1390" s="68"/>
      <c r="X1390" s="68"/>
      <c r="Y1390" s="68"/>
      <c r="Z1390" s="68"/>
      <c r="AA1390" s="68"/>
    </row>
    <row r="1391" ht="26.25" customHeight="1">
      <c r="A1391" s="68"/>
      <c r="B1391" s="68"/>
      <c r="C1391" s="68"/>
      <c r="D1391" s="71"/>
      <c r="E1391" s="71"/>
      <c r="F1391" s="71"/>
      <c r="G1391" s="65"/>
      <c r="H1391" s="74"/>
      <c r="I1391" s="67" t="str">
        <f>IFERROR(__xludf.DUMMYFUNCTION("if($H1391="""", """", AVERAGE(split($H1391, "";"")))"),"")</f>
        <v/>
      </c>
      <c r="J1391" s="67" t="str">
        <f>IFERROR(__xludf.DUMMYFUNCTION("if(H1391="""", """", SUM(split(H1391, "";"")))"),"")</f>
        <v/>
      </c>
      <c r="K1391" s="68"/>
      <c r="L1391" s="68"/>
      <c r="M1391" s="68"/>
      <c r="N1391" s="68"/>
      <c r="O1391" s="68"/>
      <c r="P1391" s="68"/>
      <c r="Q1391" s="68"/>
      <c r="R1391" s="68"/>
      <c r="S1391" s="68"/>
      <c r="T1391" s="68"/>
      <c r="U1391" s="68"/>
      <c r="V1391" s="68"/>
      <c r="W1391" s="68"/>
      <c r="X1391" s="68"/>
      <c r="Y1391" s="68"/>
      <c r="Z1391" s="68"/>
      <c r="AA1391" s="68"/>
    </row>
    <row r="1392" ht="26.25" customHeight="1">
      <c r="A1392" s="68"/>
      <c r="B1392" s="68"/>
      <c r="C1392" s="68"/>
      <c r="D1392" s="71"/>
      <c r="E1392" s="71"/>
      <c r="F1392" s="71"/>
      <c r="G1392" s="65"/>
      <c r="H1392" s="74"/>
      <c r="I1392" s="67" t="str">
        <f>IFERROR(__xludf.DUMMYFUNCTION("if($H1392="""", """", AVERAGE(split($H1392, "";"")))"),"")</f>
        <v/>
      </c>
      <c r="J1392" s="67" t="str">
        <f>IFERROR(__xludf.DUMMYFUNCTION("if(H1392="""", """", SUM(split(H1392, "";"")))"),"")</f>
        <v/>
      </c>
      <c r="K1392" s="68"/>
      <c r="L1392" s="68"/>
      <c r="M1392" s="68"/>
      <c r="N1392" s="68"/>
      <c r="O1392" s="68"/>
      <c r="P1392" s="68"/>
      <c r="Q1392" s="68"/>
      <c r="R1392" s="68"/>
      <c r="S1392" s="68"/>
      <c r="T1392" s="68"/>
      <c r="U1392" s="68"/>
      <c r="V1392" s="68"/>
      <c r="W1392" s="68"/>
      <c r="X1392" s="68"/>
      <c r="Y1392" s="68"/>
      <c r="Z1392" s="68"/>
      <c r="AA1392" s="68"/>
    </row>
    <row r="1393" ht="26.25" customHeight="1">
      <c r="A1393" s="68"/>
      <c r="B1393" s="68"/>
      <c r="C1393" s="68"/>
      <c r="D1393" s="71"/>
      <c r="E1393" s="71"/>
      <c r="F1393" s="71"/>
      <c r="G1393" s="65"/>
      <c r="H1393" s="74"/>
      <c r="I1393" s="67" t="str">
        <f>IFERROR(__xludf.DUMMYFUNCTION("if($H1393="""", """", AVERAGE(split($H1393, "";"")))"),"")</f>
        <v/>
      </c>
      <c r="J1393" s="67" t="str">
        <f>IFERROR(__xludf.DUMMYFUNCTION("if(H1393="""", """", SUM(split(H1393, "";"")))"),"")</f>
        <v/>
      </c>
      <c r="K1393" s="68"/>
      <c r="L1393" s="68"/>
      <c r="M1393" s="68"/>
      <c r="N1393" s="68"/>
      <c r="O1393" s="68"/>
      <c r="P1393" s="68"/>
      <c r="Q1393" s="68"/>
      <c r="R1393" s="68"/>
      <c r="S1393" s="68"/>
      <c r="T1393" s="68"/>
      <c r="U1393" s="68"/>
      <c r="V1393" s="68"/>
      <c r="W1393" s="68"/>
      <c r="X1393" s="68"/>
      <c r="Y1393" s="68"/>
      <c r="Z1393" s="68"/>
      <c r="AA1393" s="68"/>
    </row>
    <row r="1394" ht="26.25" customHeight="1">
      <c r="A1394" s="68"/>
      <c r="B1394" s="68"/>
      <c r="C1394" s="68"/>
      <c r="D1394" s="71"/>
      <c r="E1394" s="71"/>
      <c r="F1394" s="71"/>
      <c r="G1394" s="65"/>
      <c r="H1394" s="74"/>
      <c r="I1394" s="67" t="str">
        <f>IFERROR(__xludf.DUMMYFUNCTION("if($H1394="""", """", AVERAGE(split($H1394, "";"")))"),"")</f>
        <v/>
      </c>
      <c r="J1394" s="67" t="str">
        <f>IFERROR(__xludf.DUMMYFUNCTION("if(H1394="""", """", SUM(split(H1394, "";"")))"),"")</f>
        <v/>
      </c>
      <c r="K1394" s="68"/>
      <c r="L1394" s="68"/>
      <c r="M1394" s="68"/>
      <c r="N1394" s="68"/>
      <c r="O1394" s="68"/>
      <c r="P1394" s="68"/>
      <c r="Q1394" s="68"/>
      <c r="R1394" s="68"/>
      <c r="S1394" s="68"/>
      <c r="T1394" s="68"/>
      <c r="U1394" s="68"/>
      <c r="V1394" s="68"/>
      <c r="W1394" s="68"/>
      <c r="X1394" s="68"/>
      <c r="Y1394" s="68"/>
      <c r="Z1394" s="68"/>
      <c r="AA1394" s="68"/>
    </row>
    <row r="1395" ht="26.25" customHeight="1">
      <c r="A1395" s="68"/>
      <c r="B1395" s="68"/>
      <c r="C1395" s="68"/>
      <c r="D1395" s="71"/>
      <c r="E1395" s="71"/>
      <c r="F1395" s="71"/>
      <c r="G1395" s="65"/>
      <c r="H1395" s="74"/>
      <c r="I1395" s="67" t="str">
        <f>IFERROR(__xludf.DUMMYFUNCTION("if($H1395="""", """", AVERAGE(split($H1395, "";"")))"),"")</f>
        <v/>
      </c>
      <c r="J1395" s="67" t="str">
        <f>IFERROR(__xludf.DUMMYFUNCTION("if(H1395="""", """", SUM(split(H1395, "";"")))"),"")</f>
        <v/>
      </c>
      <c r="K1395" s="68"/>
      <c r="L1395" s="68"/>
      <c r="M1395" s="68"/>
      <c r="N1395" s="68"/>
      <c r="O1395" s="68"/>
      <c r="P1395" s="68"/>
      <c r="Q1395" s="68"/>
      <c r="R1395" s="68"/>
      <c r="S1395" s="68"/>
      <c r="T1395" s="68"/>
      <c r="U1395" s="68"/>
      <c r="V1395" s="68"/>
      <c r="W1395" s="68"/>
      <c r="X1395" s="68"/>
      <c r="Y1395" s="68"/>
      <c r="Z1395" s="68"/>
      <c r="AA1395" s="68"/>
    </row>
    <row r="1396" ht="26.25" customHeight="1">
      <c r="A1396" s="68"/>
      <c r="B1396" s="68"/>
      <c r="C1396" s="68"/>
      <c r="D1396" s="71"/>
      <c r="E1396" s="71"/>
      <c r="F1396" s="71"/>
      <c r="G1396" s="65"/>
      <c r="H1396" s="74"/>
      <c r="I1396" s="67" t="str">
        <f>IFERROR(__xludf.DUMMYFUNCTION("if($H1396="""", """", AVERAGE(split($H1396, "";"")))"),"")</f>
        <v/>
      </c>
      <c r="J1396" s="67" t="str">
        <f>IFERROR(__xludf.DUMMYFUNCTION("if(H1396="""", """", SUM(split(H1396, "";"")))"),"")</f>
        <v/>
      </c>
      <c r="K1396" s="68"/>
      <c r="L1396" s="68"/>
      <c r="M1396" s="68"/>
      <c r="N1396" s="68"/>
      <c r="O1396" s="68"/>
      <c r="P1396" s="68"/>
      <c r="Q1396" s="68"/>
      <c r="R1396" s="68"/>
      <c r="S1396" s="68"/>
      <c r="T1396" s="68"/>
      <c r="U1396" s="68"/>
      <c r="V1396" s="68"/>
      <c r="W1396" s="68"/>
      <c r="X1396" s="68"/>
      <c r="Y1396" s="68"/>
      <c r="Z1396" s="68"/>
      <c r="AA1396" s="68"/>
    </row>
    <row r="1397" ht="26.25" customHeight="1">
      <c r="A1397" s="68"/>
      <c r="B1397" s="68"/>
      <c r="C1397" s="68"/>
      <c r="D1397" s="71"/>
      <c r="E1397" s="71"/>
      <c r="F1397" s="71"/>
      <c r="G1397" s="65"/>
      <c r="H1397" s="74"/>
      <c r="I1397" s="67" t="str">
        <f>IFERROR(__xludf.DUMMYFUNCTION("if($H1397="""", """", AVERAGE(split($H1397, "";"")))"),"")</f>
        <v/>
      </c>
      <c r="J1397" s="67" t="str">
        <f>IFERROR(__xludf.DUMMYFUNCTION("if(H1397="""", """", SUM(split(H1397, "";"")))"),"")</f>
        <v/>
      </c>
      <c r="K1397" s="68"/>
      <c r="L1397" s="68"/>
      <c r="M1397" s="68"/>
      <c r="N1397" s="68"/>
      <c r="O1397" s="68"/>
      <c r="P1397" s="68"/>
      <c r="Q1397" s="68"/>
      <c r="R1397" s="68"/>
      <c r="S1397" s="68"/>
      <c r="T1397" s="68"/>
      <c r="U1397" s="68"/>
      <c r="V1397" s="68"/>
      <c r="W1397" s="68"/>
      <c r="X1397" s="68"/>
      <c r="Y1397" s="68"/>
      <c r="Z1397" s="68"/>
      <c r="AA1397" s="68"/>
    </row>
    <row r="1398" ht="26.25" customHeight="1">
      <c r="A1398" s="68"/>
      <c r="B1398" s="68"/>
      <c r="C1398" s="68"/>
      <c r="D1398" s="71"/>
      <c r="E1398" s="71"/>
      <c r="F1398" s="71"/>
      <c r="G1398" s="65"/>
      <c r="H1398" s="74"/>
      <c r="I1398" s="67" t="str">
        <f>IFERROR(__xludf.DUMMYFUNCTION("if($H1398="""", """", AVERAGE(split($H1398, "";"")))"),"")</f>
        <v/>
      </c>
      <c r="J1398" s="67" t="str">
        <f>IFERROR(__xludf.DUMMYFUNCTION("if(H1398="""", """", SUM(split(H1398, "";"")))"),"")</f>
        <v/>
      </c>
      <c r="K1398" s="68"/>
      <c r="L1398" s="68"/>
      <c r="M1398" s="68"/>
      <c r="N1398" s="68"/>
      <c r="O1398" s="68"/>
      <c r="P1398" s="68"/>
      <c r="Q1398" s="68"/>
      <c r="R1398" s="68"/>
      <c r="S1398" s="68"/>
      <c r="T1398" s="68"/>
      <c r="U1398" s="68"/>
      <c r="V1398" s="68"/>
      <c r="W1398" s="68"/>
      <c r="X1398" s="68"/>
      <c r="Y1398" s="68"/>
      <c r="Z1398" s="68"/>
      <c r="AA1398" s="68"/>
    </row>
    <row r="1399" ht="26.25" customHeight="1">
      <c r="A1399" s="68"/>
      <c r="B1399" s="68"/>
      <c r="C1399" s="68"/>
      <c r="D1399" s="71"/>
      <c r="E1399" s="71"/>
      <c r="F1399" s="71"/>
      <c r="G1399" s="65"/>
      <c r="H1399" s="74"/>
      <c r="I1399" s="67" t="str">
        <f>IFERROR(__xludf.DUMMYFUNCTION("if($H1399="""", """", AVERAGE(split($H1399, "";"")))"),"")</f>
        <v/>
      </c>
      <c r="J1399" s="67" t="str">
        <f>IFERROR(__xludf.DUMMYFUNCTION("if(H1399="""", """", SUM(split(H1399, "";"")))"),"")</f>
        <v/>
      </c>
      <c r="K1399" s="68"/>
      <c r="L1399" s="68"/>
      <c r="M1399" s="68"/>
      <c r="N1399" s="68"/>
      <c r="O1399" s="68"/>
      <c r="P1399" s="68"/>
      <c r="Q1399" s="68"/>
      <c r="R1399" s="68"/>
      <c r="S1399" s="68"/>
      <c r="T1399" s="68"/>
      <c r="U1399" s="68"/>
      <c r="V1399" s="68"/>
      <c r="W1399" s="68"/>
      <c r="X1399" s="68"/>
      <c r="Y1399" s="68"/>
      <c r="Z1399" s="68"/>
      <c r="AA1399" s="68"/>
    </row>
    <row r="1400" ht="26.25" customHeight="1">
      <c r="A1400" s="68"/>
      <c r="B1400" s="68"/>
      <c r="C1400" s="68"/>
      <c r="D1400" s="71"/>
      <c r="E1400" s="71"/>
      <c r="F1400" s="71"/>
      <c r="G1400" s="65"/>
      <c r="H1400" s="74"/>
      <c r="I1400" s="67" t="str">
        <f>IFERROR(__xludf.DUMMYFUNCTION("if($H1400="""", """", AVERAGE(split($H1400, "";"")))"),"")</f>
        <v/>
      </c>
      <c r="J1400" s="67" t="str">
        <f>IFERROR(__xludf.DUMMYFUNCTION("if(H1400="""", """", SUM(split(H1400, "";"")))"),"")</f>
        <v/>
      </c>
      <c r="K1400" s="68"/>
      <c r="L1400" s="68"/>
      <c r="M1400" s="68"/>
      <c r="N1400" s="68"/>
      <c r="O1400" s="68"/>
      <c r="P1400" s="68"/>
      <c r="Q1400" s="68"/>
      <c r="R1400" s="68"/>
      <c r="S1400" s="68"/>
      <c r="T1400" s="68"/>
      <c r="U1400" s="68"/>
      <c r="V1400" s="68"/>
      <c r="W1400" s="68"/>
      <c r="X1400" s="68"/>
      <c r="Y1400" s="68"/>
      <c r="Z1400" s="68"/>
      <c r="AA1400" s="68"/>
    </row>
    <row r="1401" ht="26.25" customHeight="1">
      <c r="A1401" s="68"/>
      <c r="B1401" s="68"/>
      <c r="C1401" s="68"/>
      <c r="D1401" s="71"/>
      <c r="E1401" s="71"/>
      <c r="F1401" s="71"/>
      <c r="G1401" s="65"/>
      <c r="H1401" s="74"/>
      <c r="I1401" s="67" t="str">
        <f>IFERROR(__xludf.DUMMYFUNCTION("if($H1401="""", """", AVERAGE(split($H1401, "";"")))"),"")</f>
        <v/>
      </c>
      <c r="J1401" s="67" t="str">
        <f>IFERROR(__xludf.DUMMYFUNCTION("if(H1401="""", """", SUM(split(H1401, "";"")))"),"")</f>
        <v/>
      </c>
      <c r="K1401" s="68"/>
      <c r="L1401" s="68"/>
      <c r="M1401" s="68"/>
      <c r="N1401" s="68"/>
      <c r="O1401" s="68"/>
      <c r="P1401" s="68"/>
      <c r="Q1401" s="68"/>
      <c r="R1401" s="68"/>
      <c r="S1401" s="68"/>
      <c r="T1401" s="68"/>
      <c r="U1401" s="68"/>
      <c r="V1401" s="68"/>
      <c r="W1401" s="68"/>
      <c r="X1401" s="68"/>
      <c r="Y1401" s="68"/>
      <c r="Z1401" s="68"/>
      <c r="AA1401" s="68"/>
    </row>
    <row r="1402" ht="26.25" customHeight="1">
      <c r="A1402" s="68"/>
      <c r="B1402" s="68"/>
      <c r="C1402" s="68"/>
      <c r="D1402" s="71"/>
      <c r="E1402" s="71"/>
      <c r="F1402" s="71"/>
      <c r="G1402" s="65"/>
      <c r="H1402" s="74"/>
      <c r="I1402" s="67" t="str">
        <f>IFERROR(__xludf.DUMMYFUNCTION("if($H1402="""", """", AVERAGE(split($H1402, "";"")))"),"")</f>
        <v/>
      </c>
      <c r="J1402" s="67" t="str">
        <f>IFERROR(__xludf.DUMMYFUNCTION("if(H1402="""", """", SUM(split(H1402, "";"")))"),"")</f>
        <v/>
      </c>
      <c r="K1402" s="68"/>
      <c r="L1402" s="68"/>
      <c r="M1402" s="68"/>
      <c r="N1402" s="68"/>
      <c r="O1402" s="68"/>
      <c r="P1402" s="68"/>
      <c r="Q1402" s="68"/>
      <c r="R1402" s="68"/>
      <c r="S1402" s="68"/>
      <c r="T1402" s="68"/>
      <c r="U1402" s="68"/>
      <c r="V1402" s="68"/>
      <c r="W1402" s="68"/>
      <c r="X1402" s="68"/>
      <c r="Y1402" s="68"/>
      <c r="Z1402" s="68"/>
      <c r="AA1402" s="68"/>
    </row>
    <row r="1403" ht="26.25" customHeight="1">
      <c r="A1403" s="68"/>
      <c r="B1403" s="68"/>
      <c r="C1403" s="68"/>
      <c r="D1403" s="71"/>
      <c r="E1403" s="71"/>
      <c r="F1403" s="71"/>
      <c r="G1403" s="65"/>
      <c r="H1403" s="74"/>
      <c r="I1403" s="67" t="str">
        <f>IFERROR(__xludf.DUMMYFUNCTION("if($H1403="""", """", AVERAGE(split($H1403, "";"")))"),"")</f>
        <v/>
      </c>
      <c r="J1403" s="67" t="str">
        <f>IFERROR(__xludf.DUMMYFUNCTION("if(H1403="""", """", SUM(split(H1403, "";"")))"),"")</f>
        <v/>
      </c>
      <c r="K1403" s="68"/>
      <c r="L1403" s="68"/>
      <c r="M1403" s="68"/>
      <c r="N1403" s="68"/>
      <c r="O1403" s="68"/>
      <c r="P1403" s="68"/>
      <c r="Q1403" s="68"/>
      <c r="R1403" s="68"/>
      <c r="S1403" s="68"/>
      <c r="T1403" s="68"/>
      <c r="U1403" s="68"/>
      <c r="V1403" s="68"/>
      <c r="W1403" s="68"/>
      <c r="X1403" s="68"/>
      <c r="Y1403" s="68"/>
      <c r="Z1403" s="68"/>
      <c r="AA1403" s="68"/>
    </row>
    <row r="1404" ht="26.25" customHeight="1">
      <c r="A1404" s="68"/>
      <c r="B1404" s="68"/>
      <c r="C1404" s="68"/>
      <c r="D1404" s="71"/>
      <c r="E1404" s="71"/>
      <c r="F1404" s="71"/>
      <c r="G1404" s="65"/>
      <c r="H1404" s="74"/>
      <c r="I1404" s="67" t="str">
        <f>IFERROR(__xludf.DUMMYFUNCTION("if($H1404="""", """", AVERAGE(split($H1404, "";"")))"),"")</f>
        <v/>
      </c>
      <c r="J1404" s="67" t="str">
        <f>IFERROR(__xludf.DUMMYFUNCTION("if(H1404="""", """", SUM(split(H1404, "";"")))"),"")</f>
        <v/>
      </c>
      <c r="K1404" s="68"/>
      <c r="L1404" s="68"/>
      <c r="M1404" s="68"/>
      <c r="N1404" s="68"/>
      <c r="O1404" s="68"/>
      <c r="P1404" s="68"/>
      <c r="Q1404" s="68"/>
      <c r="R1404" s="68"/>
      <c r="S1404" s="68"/>
      <c r="T1404" s="68"/>
      <c r="U1404" s="68"/>
      <c r="V1404" s="68"/>
      <c r="W1404" s="68"/>
      <c r="X1404" s="68"/>
      <c r="Y1404" s="68"/>
      <c r="Z1404" s="68"/>
      <c r="AA1404" s="68"/>
    </row>
    <row r="1405" ht="26.25" customHeight="1">
      <c r="A1405" s="68"/>
      <c r="B1405" s="68"/>
      <c r="C1405" s="68"/>
      <c r="D1405" s="71"/>
      <c r="E1405" s="71"/>
      <c r="F1405" s="71"/>
      <c r="G1405" s="65"/>
      <c r="H1405" s="74"/>
      <c r="I1405" s="67" t="str">
        <f>IFERROR(__xludf.DUMMYFUNCTION("if($H1405="""", """", AVERAGE(split($H1405, "";"")))"),"")</f>
        <v/>
      </c>
      <c r="J1405" s="67" t="str">
        <f>IFERROR(__xludf.DUMMYFUNCTION("if(H1405="""", """", SUM(split(H1405, "";"")))"),"")</f>
        <v/>
      </c>
      <c r="K1405" s="68"/>
      <c r="L1405" s="68"/>
      <c r="M1405" s="68"/>
      <c r="N1405" s="68"/>
      <c r="O1405" s="68"/>
      <c r="P1405" s="68"/>
      <c r="Q1405" s="68"/>
      <c r="R1405" s="68"/>
      <c r="S1405" s="68"/>
      <c r="T1405" s="68"/>
      <c r="U1405" s="68"/>
      <c r="V1405" s="68"/>
      <c r="W1405" s="68"/>
      <c r="X1405" s="68"/>
      <c r="Y1405" s="68"/>
      <c r="Z1405" s="68"/>
      <c r="AA1405" s="68"/>
    </row>
    <row r="1406" ht="26.25" customHeight="1">
      <c r="A1406" s="68"/>
      <c r="B1406" s="68"/>
      <c r="C1406" s="68"/>
      <c r="D1406" s="71"/>
      <c r="E1406" s="71"/>
      <c r="F1406" s="71"/>
      <c r="G1406" s="65"/>
      <c r="H1406" s="74"/>
      <c r="I1406" s="67" t="str">
        <f>IFERROR(__xludf.DUMMYFUNCTION("if($H1406="""", """", AVERAGE(split($H1406, "";"")))"),"")</f>
        <v/>
      </c>
      <c r="J1406" s="67" t="str">
        <f>IFERROR(__xludf.DUMMYFUNCTION("if(H1406="""", """", SUM(split(H1406, "";"")))"),"")</f>
        <v/>
      </c>
      <c r="K1406" s="68"/>
      <c r="L1406" s="68"/>
      <c r="M1406" s="68"/>
      <c r="N1406" s="68"/>
      <c r="O1406" s="68"/>
      <c r="P1406" s="68"/>
      <c r="Q1406" s="68"/>
      <c r="R1406" s="68"/>
      <c r="S1406" s="68"/>
      <c r="T1406" s="68"/>
      <c r="U1406" s="68"/>
      <c r="V1406" s="68"/>
      <c r="W1406" s="68"/>
      <c r="X1406" s="68"/>
      <c r="Y1406" s="68"/>
      <c r="Z1406" s="68"/>
      <c r="AA1406" s="68"/>
    </row>
    <row r="1407" ht="26.25" customHeight="1">
      <c r="A1407" s="68"/>
      <c r="B1407" s="68"/>
      <c r="C1407" s="68"/>
      <c r="D1407" s="71"/>
      <c r="E1407" s="71"/>
      <c r="F1407" s="71"/>
      <c r="G1407" s="65"/>
      <c r="H1407" s="74"/>
      <c r="I1407" s="67" t="str">
        <f>IFERROR(__xludf.DUMMYFUNCTION("if($H1407="""", """", AVERAGE(split($H1407, "";"")))"),"")</f>
        <v/>
      </c>
      <c r="J1407" s="67" t="str">
        <f>IFERROR(__xludf.DUMMYFUNCTION("if(H1407="""", """", SUM(split(H1407, "";"")))"),"")</f>
        <v/>
      </c>
      <c r="K1407" s="68"/>
      <c r="L1407" s="68"/>
      <c r="M1407" s="68"/>
      <c r="N1407" s="68"/>
      <c r="O1407" s="68"/>
      <c r="P1407" s="68"/>
      <c r="Q1407" s="68"/>
      <c r="R1407" s="68"/>
      <c r="S1407" s="68"/>
      <c r="T1407" s="68"/>
      <c r="U1407" s="68"/>
      <c r="V1407" s="68"/>
      <c r="W1407" s="68"/>
      <c r="X1407" s="68"/>
      <c r="Y1407" s="68"/>
      <c r="Z1407" s="68"/>
      <c r="AA1407" s="68"/>
    </row>
    <row r="1408" ht="26.25" customHeight="1">
      <c r="A1408" s="68"/>
      <c r="B1408" s="68"/>
      <c r="C1408" s="68"/>
      <c r="D1408" s="71"/>
      <c r="E1408" s="71"/>
      <c r="F1408" s="71"/>
      <c r="G1408" s="65"/>
      <c r="H1408" s="74"/>
      <c r="I1408" s="67" t="str">
        <f>IFERROR(__xludf.DUMMYFUNCTION("if($H1408="""", """", AVERAGE(split($H1408, "";"")))"),"")</f>
        <v/>
      </c>
      <c r="J1408" s="67" t="str">
        <f>IFERROR(__xludf.DUMMYFUNCTION("if(H1408="""", """", SUM(split(H1408, "";"")))"),"")</f>
        <v/>
      </c>
      <c r="K1408" s="68"/>
      <c r="L1408" s="68"/>
      <c r="M1408" s="68"/>
      <c r="N1408" s="68"/>
      <c r="O1408" s="68"/>
      <c r="P1408" s="68"/>
      <c r="Q1408" s="68"/>
      <c r="R1408" s="68"/>
      <c r="S1408" s="68"/>
      <c r="T1408" s="68"/>
      <c r="U1408" s="68"/>
      <c r="V1408" s="68"/>
      <c r="W1408" s="68"/>
      <c r="X1408" s="68"/>
      <c r="Y1408" s="68"/>
      <c r="Z1408" s="68"/>
      <c r="AA1408" s="68"/>
    </row>
    <row r="1409" ht="26.25" customHeight="1">
      <c r="A1409" s="68"/>
      <c r="B1409" s="68"/>
      <c r="C1409" s="68"/>
      <c r="D1409" s="71"/>
      <c r="E1409" s="71"/>
      <c r="F1409" s="71"/>
      <c r="G1409" s="65"/>
      <c r="H1409" s="74"/>
      <c r="I1409" s="67" t="str">
        <f>IFERROR(__xludf.DUMMYFUNCTION("if($H1409="""", """", AVERAGE(split($H1409, "";"")))"),"")</f>
        <v/>
      </c>
      <c r="J1409" s="67" t="str">
        <f>IFERROR(__xludf.DUMMYFUNCTION("if(H1409="""", """", SUM(split(H1409, "";"")))"),"")</f>
        <v/>
      </c>
      <c r="K1409" s="68"/>
      <c r="L1409" s="68"/>
      <c r="M1409" s="68"/>
      <c r="N1409" s="68"/>
      <c r="O1409" s="68"/>
      <c r="P1409" s="68"/>
      <c r="Q1409" s="68"/>
      <c r="R1409" s="68"/>
      <c r="S1409" s="68"/>
      <c r="T1409" s="68"/>
      <c r="U1409" s="68"/>
      <c r="V1409" s="68"/>
      <c r="W1409" s="68"/>
      <c r="X1409" s="68"/>
      <c r="Y1409" s="68"/>
      <c r="Z1409" s="68"/>
      <c r="AA1409" s="68"/>
    </row>
    <row r="1410" ht="26.25" customHeight="1">
      <c r="A1410" s="68"/>
      <c r="B1410" s="68"/>
      <c r="C1410" s="68"/>
      <c r="D1410" s="71"/>
      <c r="E1410" s="71"/>
      <c r="F1410" s="71"/>
      <c r="G1410" s="65"/>
      <c r="H1410" s="74"/>
      <c r="I1410" s="67" t="str">
        <f>IFERROR(__xludf.DUMMYFUNCTION("if($H1410="""", """", AVERAGE(split($H1410, "";"")))"),"")</f>
        <v/>
      </c>
      <c r="J1410" s="67" t="str">
        <f>IFERROR(__xludf.DUMMYFUNCTION("if(H1410="""", """", SUM(split(H1410, "";"")))"),"")</f>
        <v/>
      </c>
      <c r="K1410" s="68"/>
      <c r="L1410" s="68"/>
      <c r="M1410" s="68"/>
      <c r="N1410" s="68"/>
      <c r="O1410" s="68"/>
      <c r="P1410" s="68"/>
      <c r="Q1410" s="68"/>
      <c r="R1410" s="68"/>
      <c r="S1410" s="68"/>
      <c r="T1410" s="68"/>
      <c r="U1410" s="68"/>
      <c r="V1410" s="68"/>
      <c r="W1410" s="68"/>
      <c r="X1410" s="68"/>
      <c r="Y1410" s="68"/>
      <c r="Z1410" s="68"/>
      <c r="AA1410" s="68"/>
    </row>
    <row r="1411" ht="26.25" customHeight="1">
      <c r="A1411" s="68"/>
      <c r="B1411" s="68"/>
      <c r="C1411" s="68"/>
      <c r="D1411" s="71"/>
      <c r="E1411" s="71"/>
      <c r="F1411" s="71"/>
      <c r="G1411" s="65"/>
      <c r="H1411" s="74"/>
      <c r="I1411" s="67" t="str">
        <f>IFERROR(__xludf.DUMMYFUNCTION("if($H1411="""", """", AVERAGE(split($H1411, "";"")))"),"")</f>
        <v/>
      </c>
      <c r="J1411" s="67" t="str">
        <f>IFERROR(__xludf.DUMMYFUNCTION("if(H1411="""", """", SUM(split(H1411, "";"")))"),"")</f>
        <v/>
      </c>
      <c r="K1411" s="68"/>
      <c r="L1411" s="68"/>
      <c r="M1411" s="68"/>
      <c r="N1411" s="68"/>
      <c r="O1411" s="68"/>
      <c r="P1411" s="68"/>
      <c r="Q1411" s="68"/>
      <c r="R1411" s="68"/>
      <c r="S1411" s="68"/>
      <c r="T1411" s="68"/>
      <c r="U1411" s="68"/>
      <c r="V1411" s="68"/>
      <c r="W1411" s="68"/>
      <c r="X1411" s="68"/>
      <c r="Y1411" s="68"/>
      <c r="Z1411" s="68"/>
      <c r="AA1411" s="68"/>
    </row>
    <row r="1412" ht="26.25" customHeight="1">
      <c r="A1412" s="68"/>
      <c r="B1412" s="68"/>
      <c r="C1412" s="68"/>
      <c r="D1412" s="71"/>
      <c r="E1412" s="71"/>
      <c r="F1412" s="71"/>
      <c r="G1412" s="65"/>
      <c r="H1412" s="74"/>
      <c r="I1412" s="67" t="str">
        <f>IFERROR(__xludf.DUMMYFUNCTION("if($H1412="""", """", AVERAGE(split($H1412, "";"")))"),"")</f>
        <v/>
      </c>
      <c r="J1412" s="67" t="str">
        <f>IFERROR(__xludf.DUMMYFUNCTION("if(H1412="""", """", SUM(split(H1412, "";"")))"),"")</f>
        <v/>
      </c>
      <c r="K1412" s="68"/>
      <c r="L1412" s="68"/>
      <c r="M1412" s="68"/>
      <c r="N1412" s="68"/>
      <c r="O1412" s="68"/>
      <c r="P1412" s="68"/>
      <c r="Q1412" s="68"/>
      <c r="R1412" s="68"/>
      <c r="S1412" s="68"/>
      <c r="T1412" s="68"/>
      <c r="U1412" s="68"/>
      <c r="V1412" s="68"/>
      <c r="W1412" s="68"/>
      <c r="X1412" s="68"/>
      <c r="Y1412" s="68"/>
      <c r="Z1412" s="68"/>
      <c r="AA1412" s="68"/>
    </row>
    <row r="1413" ht="26.25" customHeight="1">
      <c r="A1413" s="68"/>
      <c r="B1413" s="68"/>
      <c r="C1413" s="68"/>
      <c r="D1413" s="71"/>
      <c r="E1413" s="71"/>
      <c r="F1413" s="71"/>
      <c r="G1413" s="65"/>
      <c r="H1413" s="74"/>
      <c r="I1413" s="67" t="str">
        <f>IFERROR(__xludf.DUMMYFUNCTION("if($H1413="""", """", AVERAGE(split($H1413, "";"")))"),"")</f>
        <v/>
      </c>
      <c r="J1413" s="67" t="str">
        <f>IFERROR(__xludf.DUMMYFUNCTION("if(H1413="""", """", SUM(split(H1413, "";"")))"),"")</f>
        <v/>
      </c>
      <c r="K1413" s="68"/>
      <c r="L1413" s="68"/>
      <c r="M1413" s="68"/>
      <c r="N1413" s="68"/>
      <c r="O1413" s="68"/>
      <c r="P1413" s="68"/>
      <c r="Q1413" s="68"/>
      <c r="R1413" s="68"/>
      <c r="S1413" s="68"/>
      <c r="T1413" s="68"/>
      <c r="U1413" s="68"/>
      <c r="V1413" s="68"/>
      <c r="W1413" s="68"/>
      <c r="X1413" s="68"/>
      <c r="Y1413" s="68"/>
      <c r="Z1413" s="68"/>
      <c r="AA1413" s="68"/>
    </row>
    <row r="1414" ht="26.25" customHeight="1">
      <c r="A1414" s="68"/>
      <c r="B1414" s="68"/>
      <c r="C1414" s="68"/>
      <c r="D1414" s="71"/>
      <c r="E1414" s="71"/>
      <c r="F1414" s="71"/>
      <c r="G1414" s="65"/>
      <c r="H1414" s="74"/>
      <c r="I1414" s="67" t="str">
        <f>IFERROR(__xludf.DUMMYFUNCTION("if($H1414="""", """", AVERAGE(split($H1414, "";"")))"),"")</f>
        <v/>
      </c>
      <c r="J1414" s="67" t="str">
        <f>IFERROR(__xludf.DUMMYFUNCTION("if(H1414="""", """", SUM(split(H1414, "";"")))"),"")</f>
        <v/>
      </c>
      <c r="K1414" s="68"/>
      <c r="L1414" s="68"/>
      <c r="M1414" s="68"/>
      <c r="N1414" s="68"/>
      <c r="O1414" s="68"/>
      <c r="P1414" s="68"/>
      <c r="Q1414" s="68"/>
      <c r="R1414" s="68"/>
      <c r="S1414" s="68"/>
      <c r="T1414" s="68"/>
      <c r="U1414" s="68"/>
      <c r="V1414" s="68"/>
      <c r="W1414" s="68"/>
      <c r="X1414" s="68"/>
      <c r="Y1414" s="68"/>
      <c r="Z1414" s="68"/>
      <c r="AA1414" s="68"/>
    </row>
    <row r="1415" ht="26.25" customHeight="1">
      <c r="A1415" s="68"/>
      <c r="B1415" s="68"/>
      <c r="C1415" s="68"/>
      <c r="D1415" s="71"/>
      <c r="E1415" s="71"/>
      <c r="F1415" s="71"/>
      <c r="G1415" s="65"/>
      <c r="H1415" s="74"/>
      <c r="I1415" s="67" t="str">
        <f>IFERROR(__xludf.DUMMYFUNCTION("if($H1415="""", """", AVERAGE(split($H1415, "";"")))"),"")</f>
        <v/>
      </c>
      <c r="J1415" s="67" t="str">
        <f>IFERROR(__xludf.DUMMYFUNCTION("if(H1415="""", """", SUM(split(H1415, "";"")))"),"")</f>
        <v/>
      </c>
      <c r="K1415" s="68"/>
      <c r="L1415" s="68"/>
      <c r="M1415" s="68"/>
      <c r="N1415" s="68"/>
      <c r="O1415" s="68"/>
      <c r="P1415" s="68"/>
      <c r="Q1415" s="68"/>
      <c r="R1415" s="68"/>
      <c r="S1415" s="68"/>
      <c r="T1415" s="68"/>
      <c r="U1415" s="68"/>
      <c r="V1415" s="68"/>
      <c r="W1415" s="68"/>
      <c r="X1415" s="68"/>
      <c r="Y1415" s="68"/>
      <c r="Z1415" s="68"/>
      <c r="AA1415" s="68"/>
    </row>
    <row r="1416" ht="26.25" customHeight="1">
      <c r="A1416" s="68"/>
      <c r="B1416" s="68"/>
      <c r="C1416" s="68"/>
      <c r="D1416" s="71"/>
      <c r="E1416" s="71"/>
      <c r="F1416" s="71"/>
      <c r="G1416" s="65"/>
      <c r="H1416" s="74"/>
      <c r="I1416" s="67" t="str">
        <f>IFERROR(__xludf.DUMMYFUNCTION("if($H1416="""", """", AVERAGE(split($H1416, "";"")))"),"")</f>
        <v/>
      </c>
      <c r="J1416" s="67" t="str">
        <f>IFERROR(__xludf.DUMMYFUNCTION("if(H1416="""", """", SUM(split(H1416, "";"")))"),"")</f>
        <v/>
      </c>
      <c r="K1416" s="68"/>
      <c r="L1416" s="68"/>
      <c r="M1416" s="68"/>
      <c r="N1416" s="68"/>
      <c r="O1416" s="68"/>
      <c r="P1416" s="68"/>
      <c r="Q1416" s="68"/>
      <c r="R1416" s="68"/>
      <c r="S1416" s="68"/>
      <c r="T1416" s="68"/>
      <c r="U1416" s="68"/>
      <c r="V1416" s="68"/>
      <c r="W1416" s="68"/>
      <c r="X1416" s="68"/>
      <c r="Y1416" s="68"/>
      <c r="Z1416" s="68"/>
      <c r="AA1416" s="68"/>
    </row>
    <row r="1417" ht="26.25" customHeight="1">
      <c r="A1417" s="68"/>
      <c r="B1417" s="68"/>
      <c r="C1417" s="68"/>
      <c r="D1417" s="71"/>
      <c r="E1417" s="71"/>
      <c r="F1417" s="71"/>
      <c r="G1417" s="65"/>
      <c r="H1417" s="74"/>
      <c r="I1417" s="67" t="str">
        <f>IFERROR(__xludf.DUMMYFUNCTION("if($H1417="""", """", AVERAGE(split($H1417, "";"")))"),"")</f>
        <v/>
      </c>
      <c r="J1417" s="67" t="str">
        <f>IFERROR(__xludf.DUMMYFUNCTION("if(H1417="""", """", SUM(split(H1417, "";"")))"),"")</f>
        <v/>
      </c>
      <c r="K1417" s="68"/>
      <c r="L1417" s="68"/>
      <c r="M1417" s="68"/>
      <c r="N1417" s="68"/>
      <c r="O1417" s="68"/>
      <c r="P1417" s="68"/>
      <c r="Q1417" s="68"/>
      <c r="R1417" s="68"/>
      <c r="S1417" s="68"/>
      <c r="T1417" s="68"/>
      <c r="U1417" s="68"/>
      <c r="V1417" s="68"/>
      <c r="W1417" s="68"/>
      <c r="X1417" s="68"/>
      <c r="Y1417" s="68"/>
      <c r="Z1417" s="68"/>
      <c r="AA1417" s="68"/>
    </row>
    <row r="1418" ht="26.25" customHeight="1">
      <c r="A1418" s="68"/>
      <c r="B1418" s="68"/>
      <c r="C1418" s="68"/>
      <c r="D1418" s="71"/>
      <c r="E1418" s="71"/>
      <c r="F1418" s="71"/>
      <c r="G1418" s="65"/>
      <c r="H1418" s="74"/>
      <c r="I1418" s="67" t="str">
        <f>IFERROR(__xludf.DUMMYFUNCTION("if($H1418="""", """", AVERAGE(split($H1418, "";"")))"),"")</f>
        <v/>
      </c>
      <c r="J1418" s="67" t="str">
        <f>IFERROR(__xludf.DUMMYFUNCTION("if(H1418="""", """", SUM(split(H1418, "";"")))"),"")</f>
        <v/>
      </c>
      <c r="K1418" s="68"/>
      <c r="L1418" s="68"/>
      <c r="M1418" s="68"/>
      <c r="N1418" s="68"/>
      <c r="O1418" s="68"/>
      <c r="P1418" s="68"/>
      <c r="Q1418" s="68"/>
      <c r="R1418" s="68"/>
      <c r="S1418" s="68"/>
      <c r="T1418" s="68"/>
      <c r="U1418" s="68"/>
      <c r="V1418" s="68"/>
      <c r="W1418" s="68"/>
      <c r="X1418" s="68"/>
      <c r="Y1418" s="68"/>
      <c r="Z1418" s="68"/>
      <c r="AA1418" s="68"/>
    </row>
    <row r="1419" ht="26.25" customHeight="1">
      <c r="A1419" s="68"/>
      <c r="B1419" s="68"/>
      <c r="C1419" s="68"/>
      <c r="D1419" s="71"/>
      <c r="E1419" s="71"/>
      <c r="F1419" s="71"/>
      <c r="G1419" s="65"/>
      <c r="H1419" s="74"/>
      <c r="I1419" s="67" t="str">
        <f>IFERROR(__xludf.DUMMYFUNCTION("if($H1419="""", """", AVERAGE(split($H1419, "";"")))"),"")</f>
        <v/>
      </c>
      <c r="J1419" s="67" t="str">
        <f>IFERROR(__xludf.DUMMYFUNCTION("if(H1419="""", """", SUM(split(H1419, "";"")))"),"")</f>
        <v/>
      </c>
      <c r="K1419" s="68"/>
      <c r="L1419" s="68"/>
      <c r="M1419" s="68"/>
      <c r="N1419" s="68"/>
      <c r="O1419" s="68"/>
      <c r="P1419" s="68"/>
      <c r="Q1419" s="68"/>
      <c r="R1419" s="68"/>
      <c r="S1419" s="68"/>
      <c r="T1419" s="68"/>
      <c r="U1419" s="68"/>
      <c r="V1419" s="68"/>
      <c r="W1419" s="68"/>
      <c r="X1419" s="68"/>
      <c r="Y1419" s="68"/>
      <c r="Z1419" s="68"/>
      <c r="AA1419" s="68"/>
    </row>
    <row r="1420" ht="26.25" customHeight="1">
      <c r="A1420" s="68"/>
      <c r="B1420" s="68"/>
      <c r="C1420" s="68"/>
      <c r="D1420" s="71"/>
      <c r="E1420" s="71"/>
      <c r="F1420" s="71"/>
      <c r="G1420" s="65"/>
      <c r="H1420" s="74"/>
      <c r="I1420" s="67" t="str">
        <f>IFERROR(__xludf.DUMMYFUNCTION("if($H1420="""", """", AVERAGE(split($H1420, "";"")))"),"")</f>
        <v/>
      </c>
      <c r="J1420" s="67" t="str">
        <f>IFERROR(__xludf.DUMMYFUNCTION("if(H1420="""", """", SUM(split(H1420, "";"")))"),"")</f>
        <v/>
      </c>
      <c r="K1420" s="68"/>
      <c r="L1420" s="68"/>
      <c r="M1420" s="68"/>
      <c r="N1420" s="68"/>
      <c r="O1420" s="68"/>
      <c r="P1420" s="68"/>
      <c r="Q1420" s="68"/>
      <c r="R1420" s="68"/>
      <c r="S1420" s="68"/>
      <c r="T1420" s="68"/>
      <c r="U1420" s="68"/>
      <c r="V1420" s="68"/>
      <c r="W1420" s="68"/>
      <c r="X1420" s="68"/>
      <c r="Y1420" s="68"/>
      <c r="Z1420" s="68"/>
      <c r="AA1420" s="68"/>
    </row>
    <row r="1421" ht="26.25" customHeight="1">
      <c r="A1421" s="68"/>
      <c r="B1421" s="68"/>
      <c r="C1421" s="68"/>
      <c r="D1421" s="71"/>
      <c r="E1421" s="71"/>
      <c r="F1421" s="71"/>
      <c r="G1421" s="65"/>
      <c r="H1421" s="74"/>
      <c r="I1421" s="67" t="str">
        <f>IFERROR(__xludf.DUMMYFUNCTION("if($H1421="""", """", AVERAGE(split($H1421, "";"")))"),"")</f>
        <v/>
      </c>
      <c r="J1421" s="67" t="str">
        <f>IFERROR(__xludf.DUMMYFUNCTION("if(H1421="""", """", SUM(split(H1421, "";"")))"),"")</f>
        <v/>
      </c>
      <c r="K1421" s="68"/>
      <c r="L1421" s="68"/>
      <c r="M1421" s="68"/>
      <c r="N1421" s="68"/>
      <c r="O1421" s="68"/>
      <c r="P1421" s="68"/>
      <c r="Q1421" s="68"/>
      <c r="R1421" s="68"/>
      <c r="S1421" s="68"/>
      <c r="T1421" s="68"/>
      <c r="U1421" s="68"/>
      <c r="V1421" s="68"/>
      <c r="W1421" s="68"/>
      <c r="X1421" s="68"/>
      <c r="Y1421" s="68"/>
      <c r="Z1421" s="68"/>
      <c r="AA1421" s="68"/>
    </row>
    <row r="1422" ht="26.25" customHeight="1">
      <c r="A1422" s="68"/>
      <c r="B1422" s="68"/>
      <c r="C1422" s="68"/>
      <c r="D1422" s="71"/>
      <c r="E1422" s="71"/>
      <c r="F1422" s="71"/>
      <c r="G1422" s="65"/>
      <c r="H1422" s="74"/>
      <c r="I1422" s="67" t="str">
        <f>IFERROR(__xludf.DUMMYFUNCTION("if($H1422="""", """", AVERAGE(split($H1422, "";"")))"),"")</f>
        <v/>
      </c>
      <c r="J1422" s="67" t="str">
        <f>IFERROR(__xludf.DUMMYFUNCTION("if(H1422="""", """", SUM(split(H1422, "";"")))"),"")</f>
        <v/>
      </c>
      <c r="K1422" s="68"/>
      <c r="L1422" s="68"/>
      <c r="M1422" s="68"/>
      <c r="N1422" s="68"/>
      <c r="O1422" s="68"/>
      <c r="P1422" s="68"/>
      <c r="Q1422" s="68"/>
      <c r="R1422" s="68"/>
      <c r="S1422" s="68"/>
      <c r="T1422" s="68"/>
      <c r="U1422" s="68"/>
      <c r="V1422" s="68"/>
      <c r="W1422" s="68"/>
      <c r="X1422" s="68"/>
      <c r="Y1422" s="68"/>
      <c r="Z1422" s="68"/>
      <c r="AA1422" s="68"/>
    </row>
    <row r="1423" ht="26.25" customHeight="1">
      <c r="A1423" s="68"/>
      <c r="B1423" s="68"/>
      <c r="C1423" s="68"/>
      <c r="D1423" s="71"/>
      <c r="E1423" s="71"/>
      <c r="F1423" s="71"/>
      <c r="G1423" s="65"/>
      <c r="H1423" s="74"/>
      <c r="I1423" s="67" t="str">
        <f>IFERROR(__xludf.DUMMYFUNCTION("if($H1423="""", """", AVERAGE(split($H1423, "";"")))"),"")</f>
        <v/>
      </c>
      <c r="J1423" s="67" t="str">
        <f>IFERROR(__xludf.DUMMYFUNCTION("if(H1423="""", """", SUM(split(H1423, "";"")))"),"")</f>
        <v/>
      </c>
      <c r="K1423" s="68"/>
      <c r="L1423" s="68"/>
      <c r="M1423" s="68"/>
      <c r="N1423" s="68"/>
      <c r="O1423" s="68"/>
      <c r="P1423" s="68"/>
      <c r="Q1423" s="68"/>
      <c r="R1423" s="68"/>
      <c r="S1423" s="68"/>
      <c r="T1423" s="68"/>
      <c r="U1423" s="68"/>
      <c r="V1423" s="68"/>
      <c r="W1423" s="68"/>
      <c r="X1423" s="68"/>
      <c r="Y1423" s="68"/>
      <c r="Z1423" s="68"/>
      <c r="AA1423" s="68"/>
    </row>
    <row r="1424" ht="26.25" customHeight="1">
      <c r="A1424" s="68"/>
      <c r="B1424" s="68"/>
      <c r="C1424" s="68"/>
      <c r="D1424" s="71"/>
      <c r="E1424" s="71"/>
      <c r="F1424" s="71"/>
      <c r="G1424" s="65"/>
      <c r="H1424" s="74"/>
      <c r="I1424" s="67" t="str">
        <f>IFERROR(__xludf.DUMMYFUNCTION("if($H1424="""", """", AVERAGE(split($H1424, "";"")))"),"")</f>
        <v/>
      </c>
      <c r="J1424" s="67" t="str">
        <f>IFERROR(__xludf.DUMMYFUNCTION("if(H1424="""", """", SUM(split(H1424, "";"")))"),"")</f>
        <v/>
      </c>
      <c r="K1424" s="68"/>
      <c r="L1424" s="68"/>
      <c r="M1424" s="68"/>
      <c r="N1424" s="68"/>
      <c r="O1424" s="68"/>
      <c r="P1424" s="68"/>
      <c r="Q1424" s="68"/>
      <c r="R1424" s="68"/>
      <c r="S1424" s="68"/>
      <c r="T1424" s="68"/>
      <c r="U1424" s="68"/>
      <c r="V1424" s="68"/>
      <c r="W1424" s="68"/>
      <c r="X1424" s="68"/>
      <c r="Y1424" s="68"/>
      <c r="Z1424" s="68"/>
      <c r="AA1424" s="68"/>
    </row>
    <row r="1425" ht="26.25" customHeight="1">
      <c r="A1425" s="68"/>
      <c r="B1425" s="68"/>
      <c r="C1425" s="68"/>
      <c r="D1425" s="71"/>
      <c r="E1425" s="71"/>
      <c r="F1425" s="71"/>
      <c r="G1425" s="65"/>
      <c r="H1425" s="74"/>
      <c r="I1425" s="67" t="str">
        <f>IFERROR(__xludf.DUMMYFUNCTION("if($H1425="""", """", AVERAGE(split($H1425, "";"")))"),"")</f>
        <v/>
      </c>
      <c r="J1425" s="67" t="str">
        <f>IFERROR(__xludf.DUMMYFUNCTION("if(H1425="""", """", SUM(split(H1425, "";"")))"),"")</f>
        <v/>
      </c>
      <c r="K1425" s="68"/>
      <c r="L1425" s="68"/>
      <c r="M1425" s="68"/>
      <c r="N1425" s="68"/>
      <c r="O1425" s="68"/>
      <c r="P1425" s="68"/>
      <c r="Q1425" s="68"/>
      <c r="R1425" s="68"/>
      <c r="S1425" s="68"/>
      <c r="T1425" s="68"/>
      <c r="U1425" s="68"/>
      <c r="V1425" s="68"/>
      <c r="W1425" s="68"/>
      <c r="X1425" s="68"/>
      <c r="Y1425" s="68"/>
      <c r="Z1425" s="68"/>
      <c r="AA1425" s="68"/>
    </row>
    <row r="1426" ht="26.25" customHeight="1">
      <c r="A1426" s="68"/>
      <c r="B1426" s="68"/>
      <c r="C1426" s="68"/>
      <c r="D1426" s="71"/>
      <c r="E1426" s="71"/>
      <c r="F1426" s="71"/>
      <c r="G1426" s="65"/>
      <c r="H1426" s="74"/>
      <c r="I1426" s="67" t="str">
        <f>IFERROR(__xludf.DUMMYFUNCTION("if($H1426="""", """", AVERAGE(split($H1426, "";"")))"),"")</f>
        <v/>
      </c>
      <c r="J1426" s="67" t="str">
        <f>IFERROR(__xludf.DUMMYFUNCTION("if(H1426="""", """", SUM(split(H1426, "";"")))"),"")</f>
        <v/>
      </c>
      <c r="K1426" s="68"/>
      <c r="L1426" s="68"/>
      <c r="M1426" s="68"/>
      <c r="N1426" s="68"/>
      <c r="O1426" s="68"/>
      <c r="P1426" s="68"/>
      <c r="Q1426" s="68"/>
      <c r="R1426" s="68"/>
      <c r="S1426" s="68"/>
      <c r="T1426" s="68"/>
      <c r="U1426" s="68"/>
      <c r="V1426" s="68"/>
      <c r="W1426" s="68"/>
      <c r="X1426" s="68"/>
      <c r="Y1426" s="68"/>
      <c r="Z1426" s="68"/>
      <c r="AA1426" s="68"/>
    </row>
    <row r="1427" ht="26.25" customHeight="1">
      <c r="A1427" s="68"/>
      <c r="B1427" s="68"/>
      <c r="C1427" s="68"/>
      <c r="D1427" s="71"/>
      <c r="E1427" s="71"/>
      <c r="F1427" s="71"/>
      <c r="G1427" s="65"/>
      <c r="H1427" s="74"/>
      <c r="I1427" s="67" t="str">
        <f>IFERROR(__xludf.DUMMYFUNCTION("if($H1427="""", """", AVERAGE(split($H1427, "";"")))"),"")</f>
        <v/>
      </c>
      <c r="J1427" s="67" t="str">
        <f>IFERROR(__xludf.DUMMYFUNCTION("if(H1427="""", """", SUM(split(H1427, "";"")))"),"")</f>
        <v/>
      </c>
      <c r="K1427" s="68"/>
      <c r="L1427" s="68"/>
      <c r="M1427" s="68"/>
      <c r="N1427" s="68"/>
      <c r="O1427" s="68"/>
      <c r="P1427" s="68"/>
      <c r="Q1427" s="68"/>
      <c r="R1427" s="68"/>
      <c r="S1427" s="68"/>
      <c r="T1427" s="68"/>
      <c r="U1427" s="68"/>
      <c r="V1427" s="68"/>
      <c r="W1427" s="68"/>
      <c r="X1427" s="68"/>
      <c r="Y1427" s="68"/>
      <c r="Z1427" s="68"/>
      <c r="AA1427" s="68"/>
    </row>
    <row r="1428" ht="26.25" customHeight="1">
      <c r="A1428" s="68"/>
      <c r="B1428" s="68"/>
      <c r="C1428" s="68"/>
      <c r="D1428" s="71"/>
      <c r="E1428" s="71"/>
      <c r="F1428" s="71"/>
      <c r="G1428" s="65"/>
      <c r="H1428" s="74"/>
      <c r="I1428" s="67" t="str">
        <f>IFERROR(__xludf.DUMMYFUNCTION("if($H1428="""", """", AVERAGE(split($H1428, "";"")))"),"")</f>
        <v/>
      </c>
      <c r="J1428" s="67" t="str">
        <f>IFERROR(__xludf.DUMMYFUNCTION("if(H1428="""", """", SUM(split(H1428, "";"")))"),"")</f>
        <v/>
      </c>
      <c r="K1428" s="68"/>
      <c r="L1428" s="68"/>
      <c r="M1428" s="68"/>
      <c r="N1428" s="68"/>
      <c r="O1428" s="68"/>
      <c r="P1428" s="68"/>
      <c r="Q1428" s="68"/>
      <c r="R1428" s="68"/>
      <c r="S1428" s="68"/>
      <c r="T1428" s="68"/>
      <c r="U1428" s="68"/>
      <c r="V1428" s="68"/>
      <c r="W1428" s="68"/>
      <c r="X1428" s="68"/>
      <c r="Y1428" s="68"/>
      <c r="Z1428" s="68"/>
      <c r="AA1428" s="68"/>
    </row>
    <row r="1429" ht="26.25" customHeight="1">
      <c r="A1429" s="68"/>
      <c r="B1429" s="68"/>
      <c r="C1429" s="68"/>
      <c r="D1429" s="71"/>
      <c r="E1429" s="71"/>
      <c r="F1429" s="71"/>
      <c r="G1429" s="65"/>
      <c r="H1429" s="74"/>
      <c r="I1429" s="67" t="str">
        <f>IFERROR(__xludf.DUMMYFUNCTION("if($H1429="""", """", AVERAGE(split($H1429, "";"")))"),"")</f>
        <v/>
      </c>
      <c r="J1429" s="67" t="str">
        <f>IFERROR(__xludf.DUMMYFUNCTION("if(H1429="""", """", SUM(split(H1429, "";"")))"),"")</f>
        <v/>
      </c>
      <c r="K1429" s="68"/>
      <c r="L1429" s="68"/>
      <c r="M1429" s="68"/>
      <c r="N1429" s="68"/>
      <c r="O1429" s="68"/>
      <c r="P1429" s="68"/>
      <c r="Q1429" s="68"/>
      <c r="R1429" s="68"/>
      <c r="S1429" s="68"/>
      <c r="T1429" s="68"/>
      <c r="U1429" s="68"/>
      <c r="V1429" s="68"/>
      <c r="W1429" s="68"/>
      <c r="X1429" s="68"/>
      <c r="Y1429" s="68"/>
      <c r="Z1429" s="68"/>
      <c r="AA1429" s="68"/>
    </row>
    <row r="1430" ht="26.25" customHeight="1">
      <c r="A1430" s="68"/>
      <c r="B1430" s="68"/>
      <c r="C1430" s="68"/>
      <c r="D1430" s="71"/>
      <c r="E1430" s="71"/>
      <c r="F1430" s="71"/>
      <c r="G1430" s="65"/>
      <c r="H1430" s="74"/>
      <c r="I1430" s="67" t="str">
        <f>IFERROR(__xludf.DUMMYFUNCTION("if($H1430="""", """", AVERAGE(split($H1430, "";"")))"),"")</f>
        <v/>
      </c>
      <c r="J1430" s="67" t="str">
        <f>IFERROR(__xludf.DUMMYFUNCTION("if(H1430="""", """", SUM(split(H1430, "";"")))"),"")</f>
        <v/>
      </c>
      <c r="K1430" s="68"/>
      <c r="L1430" s="68"/>
      <c r="M1430" s="68"/>
      <c r="N1430" s="68"/>
      <c r="O1430" s="68"/>
      <c r="P1430" s="68"/>
      <c r="Q1430" s="68"/>
      <c r="R1430" s="68"/>
      <c r="S1430" s="68"/>
      <c r="T1430" s="68"/>
      <c r="U1430" s="68"/>
      <c r="V1430" s="68"/>
      <c r="W1430" s="68"/>
      <c r="X1430" s="68"/>
      <c r="Y1430" s="68"/>
      <c r="Z1430" s="68"/>
      <c r="AA1430" s="68"/>
    </row>
    <row r="1431" ht="26.25" customHeight="1">
      <c r="A1431" s="68"/>
      <c r="B1431" s="68"/>
      <c r="C1431" s="68"/>
      <c r="D1431" s="71"/>
      <c r="E1431" s="71"/>
      <c r="F1431" s="71"/>
      <c r="G1431" s="65"/>
      <c r="H1431" s="74"/>
      <c r="I1431" s="67" t="str">
        <f>IFERROR(__xludf.DUMMYFUNCTION("if($H1431="""", """", AVERAGE(split($H1431, "";"")))"),"")</f>
        <v/>
      </c>
      <c r="J1431" s="67" t="str">
        <f>IFERROR(__xludf.DUMMYFUNCTION("if(H1431="""", """", SUM(split(H1431, "";"")))"),"")</f>
        <v/>
      </c>
      <c r="K1431" s="68"/>
      <c r="L1431" s="68"/>
      <c r="M1431" s="68"/>
      <c r="N1431" s="68"/>
      <c r="O1431" s="68"/>
      <c r="P1431" s="68"/>
      <c r="Q1431" s="68"/>
      <c r="R1431" s="68"/>
      <c r="S1431" s="68"/>
      <c r="T1431" s="68"/>
      <c r="U1431" s="68"/>
      <c r="V1431" s="68"/>
      <c r="W1431" s="68"/>
      <c r="X1431" s="68"/>
      <c r="Y1431" s="68"/>
      <c r="Z1431" s="68"/>
      <c r="AA1431" s="68"/>
    </row>
    <row r="1432" ht="26.25" customHeight="1">
      <c r="A1432" s="68"/>
      <c r="B1432" s="68"/>
      <c r="C1432" s="68"/>
      <c r="D1432" s="71"/>
      <c r="E1432" s="71"/>
      <c r="F1432" s="71"/>
      <c r="G1432" s="65"/>
      <c r="H1432" s="74"/>
      <c r="I1432" s="67" t="str">
        <f>IFERROR(__xludf.DUMMYFUNCTION("if($H1432="""", """", AVERAGE(split($H1432, "";"")))"),"")</f>
        <v/>
      </c>
      <c r="J1432" s="67" t="str">
        <f>IFERROR(__xludf.DUMMYFUNCTION("if(H1432="""", """", SUM(split(H1432, "";"")))"),"")</f>
        <v/>
      </c>
      <c r="K1432" s="68"/>
      <c r="L1432" s="68"/>
      <c r="M1432" s="68"/>
      <c r="N1432" s="68"/>
      <c r="O1432" s="68"/>
      <c r="P1432" s="68"/>
      <c r="Q1432" s="68"/>
      <c r="R1432" s="68"/>
      <c r="S1432" s="68"/>
      <c r="T1432" s="68"/>
      <c r="U1432" s="68"/>
      <c r="V1432" s="68"/>
      <c r="W1432" s="68"/>
      <c r="X1432" s="68"/>
      <c r="Y1432" s="68"/>
      <c r="Z1432" s="68"/>
      <c r="AA1432" s="68"/>
    </row>
    <row r="1433" ht="26.25" customHeight="1">
      <c r="A1433" s="68"/>
      <c r="B1433" s="68"/>
      <c r="C1433" s="68"/>
      <c r="D1433" s="71"/>
      <c r="E1433" s="71"/>
      <c r="F1433" s="71"/>
      <c r="G1433" s="65"/>
      <c r="H1433" s="74"/>
      <c r="I1433" s="67" t="str">
        <f>IFERROR(__xludf.DUMMYFUNCTION("if($H1433="""", """", AVERAGE(split($H1433, "";"")))"),"")</f>
        <v/>
      </c>
      <c r="J1433" s="67" t="str">
        <f>IFERROR(__xludf.DUMMYFUNCTION("if(H1433="""", """", SUM(split(H1433, "";"")))"),"")</f>
        <v/>
      </c>
      <c r="K1433" s="68"/>
      <c r="L1433" s="68"/>
      <c r="M1433" s="68"/>
      <c r="N1433" s="68"/>
      <c r="O1433" s="68"/>
      <c r="P1433" s="68"/>
      <c r="Q1433" s="68"/>
      <c r="R1433" s="68"/>
      <c r="S1433" s="68"/>
      <c r="T1433" s="68"/>
      <c r="U1433" s="68"/>
      <c r="V1433" s="68"/>
      <c r="W1433" s="68"/>
      <c r="X1433" s="68"/>
      <c r="Y1433" s="68"/>
      <c r="Z1433" s="68"/>
      <c r="AA1433" s="68"/>
    </row>
    <row r="1434" ht="26.25" customHeight="1">
      <c r="A1434" s="68"/>
      <c r="B1434" s="68"/>
      <c r="C1434" s="68"/>
      <c r="D1434" s="71"/>
      <c r="E1434" s="71"/>
      <c r="F1434" s="71"/>
      <c r="G1434" s="65"/>
      <c r="H1434" s="74"/>
      <c r="I1434" s="67" t="str">
        <f>IFERROR(__xludf.DUMMYFUNCTION("if($H1434="""", """", AVERAGE(split($H1434, "";"")))"),"")</f>
        <v/>
      </c>
      <c r="J1434" s="67" t="str">
        <f>IFERROR(__xludf.DUMMYFUNCTION("if(H1434="""", """", SUM(split(H1434, "";"")))"),"")</f>
        <v/>
      </c>
      <c r="K1434" s="68"/>
      <c r="L1434" s="68"/>
      <c r="M1434" s="68"/>
      <c r="N1434" s="68"/>
      <c r="O1434" s="68"/>
      <c r="P1434" s="68"/>
      <c r="Q1434" s="68"/>
      <c r="R1434" s="68"/>
      <c r="S1434" s="68"/>
      <c r="T1434" s="68"/>
      <c r="U1434" s="68"/>
      <c r="V1434" s="68"/>
      <c r="W1434" s="68"/>
      <c r="X1434" s="68"/>
      <c r="Y1434" s="68"/>
      <c r="Z1434" s="68"/>
      <c r="AA1434" s="68"/>
    </row>
    <row r="1435" ht="26.25" customHeight="1">
      <c r="A1435" s="68"/>
      <c r="B1435" s="68"/>
      <c r="C1435" s="68"/>
      <c r="D1435" s="71"/>
      <c r="E1435" s="71"/>
      <c r="F1435" s="71"/>
      <c r="G1435" s="65"/>
      <c r="H1435" s="74"/>
      <c r="I1435" s="67" t="str">
        <f>IFERROR(__xludf.DUMMYFUNCTION("if($H1435="""", """", AVERAGE(split($H1435, "";"")))"),"")</f>
        <v/>
      </c>
      <c r="J1435" s="67" t="str">
        <f>IFERROR(__xludf.DUMMYFUNCTION("if(H1435="""", """", SUM(split(H1435, "";"")))"),"")</f>
        <v/>
      </c>
      <c r="K1435" s="68"/>
      <c r="L1435" s="68"/>
      <c r="M1435" s="68"/>
      <c r="N1435" s="68"/>
      <c r="O1435" s="68"/>
      <c r="P1435" s="68"/>
      <c r="Q1435" s="68"/>
      <c r="R1435" s="68"/>
      <c r="S1435" s="68"/>
      <c r="T1435" s="68"/>
      <c r="U1435" s="68"/>
      <c r="V1435" s="68"/>
      <c r="W1435" s="68"/>
      <c r="X1435" s="68"/>
      <c r="Y1435" s="68"/>
      <c r="Z1435" s="68"/>
      <c r="AA1435" s="68"/>
    </row>
    <row r="1436" ht="26.25" customHeight="1">
      <c r="A1436" s="68"/>
      <c r="B1436" s="68"/>
      <c r="C1436" s="68"/>
      <c r="D1436" s="71"/>
      <c r="E1436" s="71"/>
      <c r="F1436" s="71"/>
      <c r="G1436" s="65"/>
      <c r="H1436" s="74"/>
      <c r="I1436" s="67" t="str">
        <f>IFERROR(__xludf.DUMMYFUNCTION("if($H1436="""", """", AVERAGE(split($H1436, "";"")))"),"")</f>
        <v/>
      </c>
      <c r="J1436" s="67" t="str">
        <f>IFERROR(__xludf.DUMMYFUNCTION("if(H1436="""", """", SUM(split(H1436, "";"")))"),"")</f>
        <v/>
      </c>
      <c r="K1436" s="68"/>
      <c r="L1436" s="68"/>
      <c r="M1436" s="68"/>
      <c r="N1436" s="68"/>
      <c r="O1436" s="68"/>
      <c r="P1436" s="68"/>
      <c r="Q1436" s="68"/>
      <c r="R1436" s="68"/>
      <c r="S1436" s="68"/>
      <c r="T1436" s="68"/>
      <c r="U1436" s="68"/>
      <c r="V1436" s="68"/>
      <c r="W1436" s="68"/>
      <c r="X1436" s="68"/>
      <c r="Y1436" s="68"/>
      <c r="Z1436" s="68"/>
      <c r="AA1436" s="68"/>
    </row>
    <row r="1437" ht="26.25" customHeight="1">
      <c r="A1437" s="68"/>
      <c r="B1437" s="68"/>
      <c r="C1437" s="68"/>
      <c r="D1437" s="71"/>
      <c r="E1437" s="71"/>
      <c r="F1437" s="71"/>
      <c r="G1437" s="65"/>
      <c r="H1437" s="74"/>
      <c r="I1437" s="67" t="str">
        <f>IFERROR(__xludf.DUMMYFUNCTION("if($H1437="""", """", AVERAGE(split($H1437, "";"")))"),"")</f>
        <v/>
      </c>
      <c r="J1437" s="67" t="str">
        <f>IFERROR(__xludf.DUMMYFUNCTION("if(H1437="""", """", SUM(split(H1437, "";"")))"),"")</f>
        <v/>
      </c>
      <c r="K1437" s="68"/>
      <c r="L1437" s="68"/>
      <c r="M1437" s="68"/>
      <c r="N1437" s="68"/>
      <c r="O1437" s="68"/>
      <c r="P1437" s="68"/>
      <c r="Q1437" s="68"/>
      <c r="R1437" s="68"/>
      <c r="S1437" s="68"/>
      <c r="T1437" s="68"/>
      <c r="U1437" s="68"/>
      <c r="V1437" s="68"/>
      <c r="W1437" s="68"/>
      <c r="X1437" s="68"/>
      <c r="Y1437" s="68"/>
      <c r="Z1437" s="68"/>
      <c r="AA1437" s="68"/>
    </row>
    <row r="1438" ht="26.25" customHeight="1">
      <c r="A1438" s="68"/>
      <c r="B1438" s="68"/>
      <c r="C1438" s="68"/>
      <c r="D1438" s="71"/>
      <c r="E1438" s="71"/>
      <c r="F1438" s="71"/>
      <c r="G1438" s="65"/>
      <c r="H1438" s="74"/>
      <c r="I1438" s="67" t="str">
        <f>IFERROR(__xludf.DUMMYFUNCTION("if($H1438="""", """", AVERAGE(split($H1438, "";"")))"),"")</f>
        <v/>
      </c>
      <c r="J1438" s="67" t="str">
        <f>IFERROR(__xludf.DUMMYFUNCTION("if(H1438="""", """", SUM(split(H1438, "";"")))"),"")</f>
        <v/>
      </c>
      <c r="K1438" s="68"/>
      <c r="L1438" s="68"/>
      <c r="M1438" s="68"/>
      <c r="N1438" s="68"/>
      <c r="O1438" s="68"/>
      <c r="P1438" s="68"/>
      <c r="Q1438" s="68"/>
      <c r="R1438" s="68"/>
      <c r="S1438" s="68"/>
      <c r="T1438" s="68"/>
      <c r="U1438" s="68"/>
      <c r="V1438" s="68"/>
      <c r="W1438" s="68"/>
      <c r="X1438" s="68"/>
      <c r="Y1438" s="68"/>
      <c r="Z1438" s="68"/>
      <c r="AA1438" s="68"/>
    </row>
    <row r="1439" ht="26.25" customHeight="1">
      <c r="A1439" s="68"/>
      <c r="B1439" s="68"/>
      <c r="C1439" s="68"/>
      <c r="D1439" s="71"/>
      <c r="E1439" s="71"/>
      <c r="F1439" s="71"/>
      <c r="G1439" s="65"/>
      <c r="H1439" s="74"/>
      <c r="I1439" s="67" t="str">
        <f>IFERROR(__xludf.DUMMYFUNCTION("if($H1439="""", """", AVERAGE(split($H1439, "";"")))"),"")</f>
        <v/>
      </c>
      <c r="J1439" s="67" t="str">
        <f>IFERROR(__xludf.DUMMYFUNCTION("if(H1439="""", """", SUM(split(H1439, "";"")))"),"")</f>
        <v/>
      </c>
      <c r="K1439" s="68"/>
      <c r="L1439" s="68"/>
      <c r="M1439" s="68"/>
      <c r="N1439" s="68"/>
      <c r="O1439" s="68"/>
      <c r="P1439" s="68"/>
      <c r="Q1439" s="68"/>
      <c r="R1439" s="68"/>
      <c r="S1439" s="68"/>
      <c r="T1439" s="68"/>
      <c r="U1439" s="68"/>
      <c r="V1439" s="68"/>
      <c r="W1439" s="68"/>
      <c r="X1439" s="68"/>
      <c r="Y1439" s="68"/>
      <c r="Z1439" s="68"/>
      <c r="AA1439" s="68"/>
    </row>
    <row r="1440" ht="26.25" customHeight="1">
      <c r="A1440" s="68"/>
      <c r="B1440" s="68"/>
      <c r="C1440" s="68"/>
      <c r="D1440" s="71"/>
      <c r="E1440" s="71"/>
      <c r="F1440" s="71"/>
      <c r="G1440" s="65"/>
      <c r="H1440" s="74"/>
      <c r="I1440" s="67" t="str">
        <f>IFERROR(__xludf.DUMMYFUNCTION("if($H1440="""", """", AVERAGE(split($H1440, "";"")))"),"")</f>
        <v/>
      </c>
      <c r="J1440" s="67" t="str">
        <f>IFERROR(__xludf.DUMMYFUNCTION("if(H1440="""", """", SUM(split(H1440, "";"")))"),"")</f>
        <v/>
      </c>
      <c r="K1440" s="68"/>
      <c r="L1440" s="68"/>
      <c r="M1440" s="68"/>
      <c r="N1440" s="68"/>
      <c r="O1440" s="68"/>
      <c r="P1440" s="68"/>
      <c r="Q1440" s="68"/>
      <c r="R1440" s="68"/>
      <c r="S1440" s="68"/>
      <c r="T1440" s="68"/>
      <c r="U1440" s="68"/>
      <c r="V1440" s="68"/>
      <c r="W1440" s="68"/>
      <c r="X1440" s="68"/>
      <c r="Y1440" s="68"/>
      <c r="Z1440" s="68"/>
      <c r="AA1440" s="68"/>
    </row>
    <row r="1441" ht="26.25" customHeight="1">
      <c r="A1441" s="68"/>
      <c r="B1441" s="68"/>
      <c r="C1441" s="68"/>
      <c r="D1441" s="71"/>
      <c r="E1441" s="71"/>
      <c r="F1441" s="71"/>
      <c r="G1441" s="65"/>
      <c r="H1441" s="74"/>
      <c r="I1441" s="67" t="str">
        <f>IFERROR(__xludf.DUMMYFUNCTION("if($H1441="""", """", AVERAGE(split($H1441, "";"")))"),"")</f>
        <v/>
      </c>
      <c r="J1441" s="67" t="str">
        <f>IFERROR(__xludf.DUMMYFUNCTION("if(H1441="""", """", SUM(split(H1441, "";"")))"),"")</f>
        <v/>
      </c>
      <c r="K1441" s="68"/>
      <c r="L1441" s="68"/>
      <c r="M1441" s="68"/>
      <c r="N1441" s="68"/>
      <c r="O1441" s="68"/>
      <c r="P1441" s="68"/>
      <c r="Q1441" s="68"/>
      <c r="R1441" s="68"/>
      <c r="S1441" s="68"/>
      <c r="T1441" s="68"/>
      <c r="U1441" s="68"/>
      <c r="V1441" s="68"/>
      <c r="W1441" s="68"/>
      <c r="X1441" s="68"/>
      <c r="Y1441" s="68"/>
      <c r="Z1441" s="68"/>
      <c r="AA1441" s="68"/>
    </row>
    <row r="1442" ht="26.25" customHeight="1">
      <c r="A1442" s="68"/>
      <c r="B1442" s="68"/>
      <c r="C1442" s="68"/>
      <c r="D1442" s="71"/>
      <c r="E1442" s="71"/>
      <c r="F1442" s="71"/>
      <c r="G1442" s="65"/>
      <c r="H1442" s="74"/>
      <c r="I1442" s="67" t="str">
        <f>IFERROR(__xludf.DUMMYFUNCTION("if($H1442="""", """", AVERAGE(split($H1442, "";"")))"),"")</f>
        <v/>
      </c>
      <c r="J1442" s="67" t="str">
        <f>IFERROR(__xludf.DUMMYFUNCTION("if(H1442="""", """", SUM(split(H1442, "";"")))"),"")</f>
        <v/>
      </c>
      <c r="K1442" s="68"/>
      <c r="L1442" s="68"/>
      <c r="M1442" s="68"/>
      <c r="N1442" s="68"/>
      <c r="O1442" s="68"/>
      <c r="P1442" s="68"/>
      <c r="Q1442" s="68"/>
      <c r="R1442" s="68"/>
      <c r="S1442" s="68"/>
      <c r="T1442" s="68"/>
      <c r="U1442" s="68"/>
      <c r="V1442" s="68"/>
      <c r="W1442" s="68"/>
      <c r="X1442" s="68"/>
      <c r="Y1442" s="68"/>
      <c r="Z1442" s="68"/>
      <c r="AA1442" s="68"/>
    </row>
    <row r="1443" ht="26.25" customHeight="1">
      <c r="A1443" s="68"/>
      <c r="B1443" s="68"/>
      <c r="C1443" s="68"/>
      <c r="D1443" s="71"/>
      <c r="E1443" s="71"/>
      <c r="F1443" s="71"/>
      <c r="G1443" s="65"/>
      <c r="H1443" s="74"/>
      <c r="I1443" s="67" t="str">
        <f>IFERROR(__xludf.DUMMYFUNCTION("if($H1443="""", """", AVERAGE(split($H1443, "";"")))"),"")</f>
        <v/>
      </c>
      <c r="J1443" s="67" t="str">
        <f>IFERROR(__xludf.DUMMYFUNCTION("if(H1443="""", """", SUM(split(H1443, "";"")))"),"")</f>
        <v/>
      </c>
      <c r="K1443" s="68"/>
      <c r="L1443" s="68"/>
      <c r="M1443" s="68"/>
      <c r="N1443" s="68"/>
      <c r="O1443" s="68"/>
      <c r="P1443" s="68"/>
      <c r="Q1443" s="68"/>
      <c r="R1443" s="68"/>
      <c r="S1443" s="68"/>
      <c r="T1443" s="68"/>
      <c r="U1443" s="68"/>
      <c r="V1443" s="68"/>
      <c r="W1443" s="68"/>
      <c r="X1443" s="68"/>
      <c r="Y1443" s="68"/>
      <c r="Z1443" s="68"/>
      <c r="AA1443" s="68"/>
    </row>
    <row r="1444" ht="26.25" customHeight="1">
      <c r="A1444" s="68"/>
      <c r="B1444" s="68"/>
      <c r="C1444" s="68"/>
      <c r="D1444" s="71"/>
      <c r="E1444" s="71"/>
      <c r="F1444" s="71"/>
      <c r="G1444" s="65"/>
      <c r="H1444" s="74"/>
      <c r="I1444" s="67" t="str">
        <f>IFERROR(__xludf.DUMMYFUNCTION("if($H1444="""", """", AVERAGE(split($H1444, "";"")))"),"")</f>
        <v/>
      </c>
      <c r="J1444" s="67" t="str">
        <f>IFERROR(__xludf.DUMMYFUNCTION("if(H1444="""", """", SUM(split(H1444, "";"")))"),"")</f>
        <v/>
      </c>
      <c r="K1444" s="68"/>
      <c r="L1444" s="68"/>
      <c r="M1444" s="68"/>
      <c r="N1444" s="68"/>
      <c r="O1444" s="68"/>
      <c r="P1444" s="68"/>
      <c r="Q1444" s="68"/>
      <c r="R1444" s="68"/>
      <c r="S1444" s="68"/>
      <c r="T1444" s="68"/>
      <c r="U1444" s="68"/>
      <c r="V1444" s="68"/>
      <c r="W1444" s="68"/>
      <c r="X1444" s="68"/>
      <c r="Y1444" s="68"/>
      <c r="Z1444" s="68"/>
      <c r="AA1444" s="68"/>
    </row>
    <row r="1445" ht="26.25" customHeight="1">
      <c r="A1445" s="68"/>
      <c r="B1445" s="68"/>
      <c r="C1445" s="68"/>
      <c r="D1445" s="71"/>
      <c r="E1445" s="71"/>
      <c r="F1445" s="71"/>
      <c r="G1445" s="65"/>
      <c r="H1445" s="74"/>
      <c r="I1445" s="67" t="str">
        <f>IFERROR(__xludf.DUMMYFUNCTION("if($H1445="""", """", AVERAGE(split($H1445, "";"")))"),"")</f>
        <v/>
      </c>
      <c r="J1445" s="67" t="str">
        <f>IFERROR(__xludf.DUMMYFUNCTION("if(H1445="""", """", SUM(split(H1445, "";"")))"),"")</f>
        <v/>
      </c>
      <c r="K1445" s="68"/>
      <c r="L1445" s="68"/>
      <c r="M1445" s="68"/>
      <c r="N1445" s="68"/>
      <c r="O1445" s="68"/>
      <c r="P1445" s="68"/>
      <c r="Q1445" s="68"/>
      <c r="R1445" s="68"/>
      <c r="S1445" s="68"/>
      <c r="T1445" s="68"/>
      <c r="U1445" s="68"/>
      <c r="V1445" s="68"/>
      <c r="W1445" s="68"/>
      <c r="X1445" s="68"/>
      <c r="Y1445" s="68"/>
      <c r="Z1445" s="68"/>
      <c r="AA1445" s="68"/>
    </row>
    <row r="1446" ht="26.25" customHeight="1">
      <c r="A1446" s="68"/>
      <c r="B1446" s="68"/>
      <c r="C1446" s="68"/>
      <c r="D1446" s="71"/>
      <c r="E1446" s="71"/>
      <c r="F1446" s="71"/>
      <c r="G1446" s="65"/>
      <c r="H1446" s="74"/>
      <c r="I1446" s="67" t="str">
        <f>IFERROR(__xludf.DUMMYFUNCTION("if($H1446="""", """", AVERAGE(split($H1446, "";"")))"),"")</f>
        <v/>
      </c>
      <c r="J1446" s="67" t="str">
        <f>IFERROR(__xludf.DUMMYFUNCTION("if(H1446="""", """", SUM(split(H1446, "";"")))"),"")</f>
        <v/>
      </c>
      <c r="K1446" s="68"/>
      <c r="L1446" s="68"/>
      <c r="M1446" s="68"/>
      <c r="N1446" s="68"/>
      <c r="O1446" s="68"/>
      <c r="P1446" s="68"/>
      <c r="Q1446" s="68"/>
      <c r="R1446" s="68"/>
      <c r="S1446" s="68"/>
      <c r="T1446" s="68"/>
      <c r="U1446" s="68"/>
      <c r="V1446" s="68"/>
      <c r="W1446" s="68"/>
      <c r="X1446" s="68"/>
      <c r="Y1446" s="68"/>
      <c r="Z1446" s="68"/>
      <c r="AA1446" s="68"/>
    </row>
    <row r="1447" ht="26.25" customHeight="1">
      <c r="A1447" s="68"/>
      <c r="B1447" s="68"/>
      <c r="C1447" s="68"/>
      <c r="D1447" s="71"/>
      <c r="E1447" s="71"/>
      <c r="F1447" s="71"/>
      <c r="G1447" s="65"/>
      <c r="H1447" s="74"/>
      <c r="I1447" s="67" t="str">
        <f>IFERROR(__xludf.DUMMYFUNCTION("if($H1447="""", """", AVERAGE(split($H1447, "";"")))"),"")</f>
        <v/>
      </c>
      <c r="J1447" s="67" t="str">
        <f>IFERROR(__xludf.DUMMYFUNCTION("if(H1447="""", """", SUM(split(H1447, "";"")))"),"")</f>
        <v/>
      </c>
      <c r="K1447" s="68"/>
      <c r="L1447" s="68"/>
      <c r="M1447" s="68"/>
      <c r="N1447" s="68"/>
      <c r="O1447" s="68"/>
      <c r="P1447" s="68"/>
      <c r="Q1447" s="68"/>
      <c r="R1447" s="68"/>
      <c r="S1447" s="68"/>
      <c r="T1447" s="68"/>
      <c r="U1447" s="68"/>
      <c r="V1447" s="68"/>
      <c r="W1447" s="68"/>
      <c r="X1447" s="68"/>
      <c r="Y1447" s="68"/>
      <c r="Z1447" s="68"/>
      <c r="AA1447" s="68"/>
    </row>
    <row r="1448" ht="26.25" customHeight="1">
      <c r="A1448" s="68"/>
      <c r="B1448" s="68"/>
      <c r="C1448" s="68"/>
      <c r="D1448" s="71"/>
      <c r="E1448" s="71"/>
      <c r="F1448" s="71"/>
      <c r="G1448" s="65"/>
      <c r="H1448" s="74"/>
      <c r="I1448" s="67" t="str">
        <f>IFERROR(__xludf.DUMMYFUNCTION("if($H1448="""", """", AVERAGE(split($H1448, "";"")))"),"")</f>
        <v/>
      </c>
      <c r="J1448" s="67" t="str">
        <f>IFERROR(__xludf.DUMMYFUNCTION("if(H1448="""", """", SUM(split(H1448, "";"")))"),"")</f>
        <v/>
      </c>
      <c r="K1448" s="68"/>
      <c r="L1448" s="68"/>
      <c r="M1448" s="68"/>
      <c r="N1448" s="68"/>
      <c r="O1448" s="68"/>
      <c r="P1448" s="68"/>
      <c r="Q1448" s="68"/>
      <c r="R1448" s="68"/>
      <c r="S1448" s="68"/>
      <c r="T1448" s="68"/>
      <c r="U1448" s="68"/>
      <c r="V1448" s="68"/>
      <c r="W1448" s="68"/>
      <c r="X1448" s="68"/>
      <c r="Y1448" s="68"/>
      <c r="Z1448" s="68"/>
      <c r="AA1448" s="68"/>
    </row>
    <row r="1449" ht="26.25" customHeight="1">
      <c r="A1449" s="68"/>
      <c r="B1449" s="68"/>
      <c r="C1449" s="68"/>
      <c r="D1449" s="71"/>
      <c r="E1449" s="71"/>
      <c r="F1449" s="71"/>
      <c r="G1449" s="65"/>
      <c r="H1449" s="74"/>
      <c r="I1449" s="67" t="str">
        <f>IFERROR(__xludf.DUMMYFUNCTION("if($H1449="""", """", AVERAGE(split($H1449, "";"")))"),"")</f>
        <v/>
      </c>
      <c r="J1449" s="67" t="str">
        <f>IFERROR(__xludf.DUMMYFUNCTION("if(H1449="""", """", SUM(split(H1449, "";"")))"),"")</f>
        <v/>
      </c>
      <c r="K1449" s="68"/>
      <c r="L1449" s="68"/>
      <c r="M1449" s="68"/>
      <c r="N1449" s="68"/>
      <c r="O1449" s="68"/>
      <c r="P1449" s="68"/>
      <c r="Q1449" s="68"/>
      <c r="R1449" s="68"/>
      <c r="S1449" s="68"/>
      <c r="T1449" s="68"/>
      <c r="U1449" s="68"/>
      <c r="V1449" s="68"/>
      <c r="W1449" s="68"/>
      <c r="X1449" s="68"/>
      <c r="Y1449" s="68"/>
      <c r="Z1449" s="68"/>
      <c r="AA1449" s="68"/>
    </row>
    <row r="1450" ht="26.25" customHeight="1">
      <c r="A1450" s="68"/>
      <c r="B1450" s="68"/>
      <c r="C1450" s="68"/>
      <c r="D1450" s="71"/>
      <c r="E1450" s="71"/>
      <c r="F1450" s="71"/>
      <c r="G1450" s="65"/>
      <c r="H1450" s="74"/>
      <c r="I1450" s="67" t="str">
        <f>IFERROR(__xludf.DUMMYFUNCTION("if($H1450="""", """", AVERAGE(split($H1450, "";"")))"),"")</f>
        <v/>
      </c>
      <c r="J1450" s="67" t="str">
        <f>IFERROR(__xludf.DUMMYFUNCTION("if(H1450="""", """", SUM(split(H1450, "";"")))"),"")</f>
        <v/>
      </c>
      <c r="K1450" s="68"/>
      <c r="L1450" s="68"/>
      <c r="M1450" s="68"/>
      <c r="N1450" s="68"/>
      <c r="O1450" s="68"/>
      <c r="P1450" s="68"/>
      <c r="Q1450" s="68"/>
      <c r="R1450" s="68"/>
      <c r="S1450" s="68"/>
      <c r="T1450" s="68"/>
      <c r="U1450" s="68"/>
      <c r="V1450" s="68"/>
      <c r="W1450" s="68"/>
      <c r="X1450" s="68"/>
      <c r="Y1450" s="68"/>
      <c r="Z1450" s="68"/>
      <c r="AA1450" s="68"/>
    </row>
    <row r="1451" ht="26.25" customHeight="1">
      <c r="A1451" s="68"/>
      <c r="B1451" s="68"/>
      <c r="C1451" s="68"/>
      <c r="D1451" s="71"/>
      <c r="E1451" s="71"/>
      <c r="F1451" s="71"/>
      <c r="G1451" s="65"/>
      <c r="H1451" s="74"/>
      <c r="I1451" s="67" t="str">
        <f>IFERROR(__xludf.DUMMYFUNCTION("if($H1451="""", """", AVERAGE(split($H1451, "";"")))"),"")</f>
        <v/>
      </c>
      <c r="J1451" s="67" t="str">
        <f>IFERROR(__xludf.DUMMYFUNCTION("if(H1451="""", """", SUM(split(H1451, "";"")))"),"")</f>
        <v/>
      </c>
      <c r="K1451" s="68"/>
      <c r="L1451" s="68"/>
      <c r="M1451" s="68"/>
      <c r="N1451" s="68"/>
      <c r="O1451" s="68"/>
      <c r="P1451" s="68"/>
      <c r="Q1451" s="68"/>
      <c r="R1451" s="68"/>
      <c r="S1451" s="68"/>
      <c r="T1451" s="68"/>
      <c r="U1451" s="68"/>
      <c r="V1451" s="68"/>
      <c r="W1451" s="68"/>
      <c r="X1451" s="68"/>
      <c r="Y1451" s="68"/>
      <c r="Z1451" s="68"/>
      <c r="AA1451" s="68"/>
    </row>
    <row r="1452" ht="26.25" customHeight="1">
      <c r="A1452" s="68"/>
      <c r="B1452" s="68"/>
      <c r="C1452" s="68"/>
      <c r="D1452" s="71"/>
      <c r="E1452" s="71"/>
      <c r="F1452" s="71"/>
      <c r="G1452" s="65"/>
      <c r="H1452" s="74"/>
      <c r="I1452" s="67" t="str">
        <f>IFERROR(__xludf.DUMMYFUNCTION("if($H1452="""", """", AVERAGE(split($H1452, "";"")))"),"")</f>
        <v/>
      </c>
      <c r="J1452" s="67" t="str">
        <f>IFERROR(__xludf.DUMMYFUNCTION("if(H1452="""", """", SUM(split(H1452, "";"")))"),"")</f>
        <v/>
      </c>
      <c r="K1452" s="68"/>
      <c r="L1452" s="68"/>
      <c r="M1452" s="68"/>
      <c r="N1452" s="68"/>
      <c r="O1452" s="68"/>
      <c r="P1452" s="68"/>
      <c r="Q1452" s="68"/>
      <c r="R1452" s="68"/>
      <c r="S1452" s="68"/>
      <c r="T1452" s="68"/>
      <c r="U1452" s="68"/>
      <c r="V1452" s="68"/>
      <c r="W1452" s="68"/>
      <c r="X1452" s="68"/>
      <c r="Y1452" s="68"/>
      <c r="Z1452" s="68"/>
      <c r="AA1452" s="68"/>
    </row>
    <row r="1453" ht="26.25" customHeight="1">
      <c r="A1453" s="68"/>
      <c r="B1453" s="68"/>
      <c r="C1453" s="68"/>
      <c r="D1453" s="71"/>
      <c r="E1453" s="71"/>
      <c r="F1453" s="71"/>
      <c r="G1453" s="65"/>
      <c r="H1453" s="74"/>
      <c r="I1453" s="67" t="str">
        <f>IFERROR(__xludf.DUMMYFUNCTION("if($H1453="""", """", AVERAGE(split($H1453, "";"")))"),"")</f>
        <v/>
      </c>
      <c r="J1453" s="67" t="str">
        <f>IFERROR(__xludf.DUMMYFUNCTION("if(H1453="""", """", SUM(split(H1453, "";"")))"),"")</f>
        <v/>
      </c>
      <c r="K1453" s="68"/>
      <c r="L1453" s="68"/>
      <c r="M1453" s="68"/>
      <c r="N1453" s="68"/>
      <c r="O1453" s="68"/>
      <c r="P1453" s="68"/>
      <c r="Q1453" s="68"/>
      <c r="R1453" s="68"/>
      <c r="S1453" s="68"/>
      <c r="T1453" s="68"/>
      <c r="U1453" s="68"/>
      <c r="V1453" s="68"/>
      <c r="W1453" s="68"/>
      <c r="X1453" s="68"/>
      <c r="Y1453" s="68"/>
      <c r="Z1453" s="68"/>
      <c r="AA1453" s="68"/>
    </row>
    <row r="1454" ht="26.25" customHeight="1">
      <c r="A1454" s="68"/>
      <c r="B1454" s="68"/>
      <c r="C1454" s="68"/>
      <c r="D1454" s="71"/>
      <c r="E1454" s="71"/>
      <c r="F1454" s="71"/>
      <c r="G1454" s="65"/>
      <c r="H1454" s="74"/>
      <c r="I1454" s="67" t="str">
        <f>IFERROR(__xludf.DUMMYFUNCTION("if($H1454="""", """", AVERAGE(split($H1454, "";"")))"),"")</f>
        <v/>
      </c>
      <c r="J1454" s="67" t="str">
        <f>IFERROR(__xludf.DUMMYFUNCTION("if(H1454="""", """", SUM(split(H1454, "";"")))"),"")</f>
        <v/>
      </c>
      <c r="K1454" s="68"/>
      <c r="L1454" s="68"/>
      <c r="M1454" s="68"/>
      <c r="N1454" s="68"/>
      <c r="O1454" s="68"/>
      <c r="P1454" s="68"/>
      <c r="Q1454" s="68"/>
      <c r="R1454" s="68"/>
      <c r="S1454" s="68"/>
      <c r="T1454" s="68"/>
      <c r="U1454" s="68"/>
      <c r="V1454" s="68"/>
      <c r="W1454" s="68"/>
      <c r="X1454" s="68"/>
      <c r="Y1454" s="68"/>
      <c r="Z1454" s="68"/>
      <c r="AA1454" s="68"/>
    </row>
    <row r="1455" ht="26.25" customHeight="1">
      <c r="A1455" s="68"/>
      <c r="B1455" s="68"/>
      <c r="C1455" s="68"/>
      <c r="D1455" s="71"/>
      <c r="E1455" s="71"/>
      <c r="F1455" s="71"/>
      <c r="G1455" s="65"/>
      <c r="H1455" s="74"/>
      <c r="I1455" s="67" t="str">
        <f>IFERROR(__xludf.DUMMYFUNCTION("if($H1455="""", """", AVERAGE(split($H1455, "";"")))"),"")</f>
        <v/>
      </c>
      <c r="J1455" s="67" t="str">
        <f>IFERROR(__xludf.DUMMYFUNCTION("if(H1455="""", """", SUM(split(H1455, "";"")))"),"")</f>
        <v/>
      </c>
      <c r="K1455" s="68"/>
      <c r="L1455" s="68"/>
      <c r="M1455" s="68"/>
      <c r="N1455" s="68"/>
      <c r="O1455" s="68"/>
      <c r="P1455" s="68"/>
      <c r="Q1455" s="68"/>
      <c r="R1455" s="68"/>
      <c r="S1455" s="68"/>
      <c r="T1455" s="68"/>
      <c r="U1455" s="68"/>
      <c r="V1455" s="68"/>
      <c r="W1455" s="68"/>
      <c r="X1455" s="68"/>
      <c r="Y1455" s="68"/>
      <c r="Z1455" s="68"/>
      <c r="AA1455" s="68"/>
    </row>
    <row r="1456" ht="26.25" customHeight="1">
      <c r="A1456" s="68"/>
      <c r="B1456" s="68"/>
      <c r="C1456" s="68"/>
      <c r="D1456" s="71"/>
      <c r="E1456" s="71"/>
      <c r="F1456" s="71"/>
      <c r="G1456" s="65"/>
      <c r="H1456" s="74"/>
      <c r="I1456" s="67" t="str">
        <f>IFERROR(__xludf.DUMMYFUNCTION("if($H1456="""", """", AVERAGE(split($H1456, "";"")))"),"")</f>
        <v/>
      </c>
      <c r="J1456" s="67" t="str">
        <f>IFERROR(__xludf.DUMMYFUNCTION("if(H1456="""", """", SUM(split(H1456, "";"")))"),"")</f>
        <v/>
      </c>
      <c r="K1456" s="68"/>
      <c r="L1456" s="68"/>
      <c r="M1456" s="68"/>
      <c r="N1456" s="68"/>
      <c r="O1456" s="68"/>
      <c r="P1456" s="68"/>
      <c r="Q1456" s="68"/>
      <c r="R1456" s="68"/>
      <c r="S1456" s="68"/>
      <c r="T1456" s="68"/>
      <c r="U1456" s="68"/>
      <c r="V1456" s="68"/>
      <c r="W1456" s="68"/>
      <c r="X1456" s="68"/>
      <c r="Y1456" s="68"/>
      <c r="Z1456" s="68"/>
      <c r="AA1456" s="68"/>
    </row>
    <row r="1457" ht="26.25" customHeight="1">
      <c r="A1457" s="68"/>
      <c r="B1457" s="68"/>
      <c r="C1457" s="68"/>
      <c r="D1457" s="71"/>
      <c r="E1457" s="71"/>
      <c r="F1457" s="71"/>
      <c r="G1457" s="65"/>
      <c r="H1457" s="74"/>
      <c r="I1457" s="67" t="str">
        <f>IFERROR(__xludf.DUMMYFUNCTION("if($H1457="""", """", AVERAGE(split($H1457, "";"")))"),"")</f>
        <v/>
      </c>
      <c r="J1457" s="67" t="str">
        <f>IFERROR(__xludf.DUMMYFUNCTION("if(H1457="""", """", SUM(split(H1457, "";"")))"),"")</f>
        <v/>
      </c>
      <c r="K1457" s="68"/>
      <c r="L1457" s="68"/>
      <c r="M1457" s="68"/>
      <c r="N1457" s="68"/>
      <c r="O1457" s="68"/>
      <c r="P1457" s="68"/>
      <c r="Q1457" s="68"/>
      <c r="R1457" s="68"/>
      <c r="S1457" s="68"/>
      <c r="T1457" s="68"/>
      <c r="U1457" s="68"/>
      <c r="V1457" s="68"/>
      <c r="W1457" s="68"/>
      <c r="X1457" s="68"/>
      <c r="Y1457" s="68"/>
      <c r="Z1457" s="68"/>
      <c r="AA1457" s="68"/>
    </row>
    <row r="1458" ht="26.25" customHeight="1">
      <c r="A1458" s="68"/>
      <c r="B1458" s="68"/>
      <c r="C1458" s="68"/>
      <c r="D1458" s="71"/>
      <c r="E1458" s="71"/>
      <c r="F1458" s="71"/>
      <c r="G1458" s="65"/>
      <c r="H1458" s="74"/>
      <c r="I1458" s="67" t="str">
        <f>IFERROR(__xludf.DUMMYFUNCTION("if($H1458="""", """", AVERAGE(split($H1458, "";"")))"),"")</f>
        <v/>
      </c>
      <c r="J1458" s="67" t="str">
        <f>IFERROR(__xludf.DUMMYFUNCTION("if(H1458="""", """", SUM(split(H1458, "";"")))"),"")</f>
        <v/>
      </c>
      <c r="K1458" s="68"/>
      <c r="L1458" s="68"/>
      <c r="M1458" s="68"/>
      <c r="N1458" s="68"/>
      <c r="O1458" s="68"/>
      <c r="P1458" s="68"/>
      <c r="Q1458" s="68"/>
      <c r="R1458" s="68"/>
      <c r="S1458" s="68"/>
      <c r="T1458" s="68"/>
      <c r="U1458" s="68"/>
      <c r="V1458" s="68"/>
      <c r="W1458" s="68"/>
      <c r="X1458" s="68"/>
      <c r="Y1458" s="68"/>
      <c r="Z1458" s="68"/>
      <c r="AA1458" s="68"/>
    </row>
    <row r="1459" ht="26.25" customHeight="1">
      <c r="A1459" s="68"/>
      <c r="B1459" s="68"/>
      <c r="C1459" s="68"/>
      <c r="D1459" s="71"/>
      <c r="E1459" s="71"/>
      <c r="F1459" s="71"/>
      <c r="G1459" s="65"/>
      <c r="H1459" s="74"/>
      <c r="I1459" s="67" t="str">
        <f>IFERROR(__xludf.DUMMYFUNCTION("if($H1459="""", """", AVERAGE(split($H1459, "";"")))"),"")</f>
        <v/>
      </c>
      <c r="J1459" s="67" t="str">
        <f>IFERROR(__xludf.DUMMYFUNCTION("if(H1459="""", """", SUM(split(H1459, "";"")))"),"")</f>
        <v/>
      </c>
      <c r="K1459" s="68"/>
      <c r="L1459" s="68"/>
      <c r="M1459" s="68"/>
      <c r="N1459" s="68"/>
      <c r="O1459" s="68"/>
      <c r="P1459" s="68"/>
      <c r="Q1459" s="68"/>
      <c r="R1459" s="68"/>
      <c r="S1459" s="68"/>
      <c r="T1459" s="68"/>
      <c r="U1459" s="68"/>
      <c r="V1459" s="68"/>
      <c r="W1459" s="68"/>
      <c r="X1459" s="68"/>
      <c r="Y1459" s="68"/>
      <c r="Z1459" s="68"/>
      <c r="AA1459" s="68"/>
    </row>
    <row r="1460" ht="26.25" customHeight="1">
      <c r="A1460" s="68"/>
      <c r="B1460" s="68"/>
      <c r="C1460" s="68"/>
      <c r="D1460" s="71"/>
      <c r="E1460" s="71"/>
      <c r="F1460" s="71"/>
      <c r="G1460" s="65"/>
      <c r="H1460" s="74"/>
      <c r="I1460" s="67" t="str">
        <f>IFERROR(__xludf.DUMMYFUNCTION("if($H1460="""", """", AVERAGE(split($H1460, "";"")))"),"")</f>
        <v/>
      </c>
      <c r="J1460" s="67" t="str">
        <f>IFERROR(__xludf.DUMMYFUNCTION("if(H1460="""", """", SUM(split(H1460, "";"")))"),"")</f>
        <v/>
      </c>
      <c r="K1460" s="68"/>
      <c r="L1460" s="68"/>
      <c r="M1460" s="68"/>
      <c r="N1460" s="68"/>
      <c r="O1460" s="68"/>
      <c r="P1460" s="68"/>
      <c r="Q1460" s="68"/>
      <c r="R1460" s="68"/>
      <c r="S1460" s="68"/>
      <c r="T1460" s="68"/>
      <c r="U1460" s="68"/>
      <c r="V1460" s="68"/>
      <c r="W1460" s="68"/>
      <c r="X1460" s="68"/>
      <c r="Y1460" s="68"/>
      <c r="Z1460" s="68"/>
      <c r="AA1460" s="68"/>
    </row>
    <row r="1461" ht="26.25" customHeight="1">
      <c r="A1461" s="68"/>
      <c r="B1461" s="68"/>
      <c r="C1461" s="68"/>
      <c r="D1461" s="71"/>
      <c r="E1461" s="71"/>
      <c r="F1461" s="71"/>
      <c r="G1461" s="65"/>
      <c r="H1461" s="74"/>
      <c r="I1461" s="67" t="str">
        <f>IFERROR(__xludf.DUMMYFUNCTION("if($H1461="""", """", AVERAGE(split($H1461, "";"")))"),"")</f>
        <v/>
      </c>
      <c r="J1461" s="67" t="str">
        <f>IFERROR(__xludf.DUMMYFUNCTION("if(H1461="""", """", SUM(split(H1461, "";"")))"),"")</f>
        <v/>
      </c>
      <c r="K1461" s="68"/>
      <c r="L1461" s="68"/>
      <c r="M1461" s="68"/>
      <c r="N1461" s="68"/>
      <c r="O1461" s="68"/>
      <c r="P1461" s="68"/>
      <c r="Q1461" s="68"/>
      <c r="R1461" s="68"/>
      <c r="S1461" s="68"/>
      <c r="T1461" s="68"/>
      <c r="U1461" s="68"/>
      <c r="V1461" s="68"/>
      <c r="W1461" s="68"/>
      <c r="X1461" s="68"/>
      <c r="Y1461" s="68"/>
      <c r="Z1461" s="68"/>
      <c r="AA1461" s="68"/>
    </row>
    <row r="1462" ht="26.25" customHeight="1">
      <c r="A1462" s="68"/>
      <c r="B1462" s="68"/>
      <c r="C1462" s="68"/>
      <c r="D1462" s="71"/>
      <c r="E1462" s="71"/>
      <c r="F1462" s="71"/>
      <c r="G1462" s="65"/>
      <c r="H1462" s="74"/>
      <c r="I1462" s="67" t="str">
        <f>IFERROR(__xludf.DUMMYFUNCTION("if($H1462="""", """", AVERAGE(split($H1462, "";"")))"),"")</f>
        <v/>
      </c>
      <c r="J1462" s="67" t="str">
        <f>IFERROR(__xludf.DUMMYFUNCTION("if(H1462="""", """", SUM(split(H1462, "";"")))"),"")</f>
        <v/>
      </c>
      <c r="K1462" s="68"/>
      <c r="L1462" s="68"/>
      <c r="M1462" s="68"/>
      <c r="N1462" s="68"/>
      <c r="O1462" s="68"/>
      <c r="P1462" s="68"/>
      <c r="Q1462" s="68"/>
      <c r="R1462" s="68"/>
      <c r="S1462" s="68"/>
      <c r="T1462" s="68"/>
      <c r="U1462" s="68"/>
      <c r="V1462" s="68"/>
      <c r="W1462" s="68"/>
      <c r="X1462" s="68"/>
      <c r="Y1462" s="68"/>
      <c r="Z1462" s="68"/>
      <c r="AA1462" s="68"/>
    </row>
    <row r="1463" ht="26.25" customHeight="1">
      <c r="A1463" s="68"/>
      <c r="B1463" s="68"/>
      <c r="C1463" s="68"/>
      <c r="D1463" s="71"/>
      <c r="E1463" s="71"/>
      <c r="F1463" s="71"/>
      <c r="G1463" s="65"/>
      <c r="H1463" s="74"/>
      <c r="I1463" s="67" t="str">
        <f>IFERROR(__xludf.DUMMYFUNCTION("if($H1463="""", """", AVERAGE(split($H1463, "";"")))"),"")</f>
        <v/>
      </c>
      <c r="J1463" s="67" t="str">
        <f>IFERROR(__xludf.DUMMYFUNCTION("if(H1463="""", """", SUM(split(H1463, "";"")))"),"")</f>
        <v/>
      </c>
      <c r="K1463" s="68"/>
      <c r="L1463" s="68"/>
      <c r="M1463" s="68"/>
      <c r="N1463" s="68"/>
      <c r="O1463" s="68"/>
      <c r="P1463" s="68"/>
      <c r="Q1463" s="68"/>
      <c r="R1463" s="68"/>
      <c r="S1463" s="68"/>
      <c r="T1463" s="68"/>
      <c r="U1463" s="68"/>
      <c r="V1463" s="68"/>
      <c r="W1463" s="68"/>
      <c r="X1463" s="68"/>
      <c r="Y1463" s="68"/>
      <c r="Z1463" s="68"/>
      <c r="AA1463" s="68"/>
    </row>
    <row r="1464" ht="26.25" customHeight="1">
      <c r="A1464" s="68"/>
      <c r="B1464" s="68"/>
      <c r="C1464" s="68"/>
      <c r="D1464" s="71"/>
      <c r="E1464" s="71"/>
      <c r="F1464" s="71"/>
      <c r="G1464" s="65"/>
      <c r="H1464" s="74"/>
      <c r="I1464" s="67" t="str">
        <f>IFERROR(__xludf.DUMMYFUNCTION("if($H1464="""", """", AVERAGE(split($H1464, "";"")))"),"")</f>
        <v/>
      </c>
      <c r="J1464" s="67" t="str">
        <f>IFERROR(__xludf.DUMMYFUNCTION("if(H1464="""", """", SUM(split(H1464, "";"")))"),"")</f>
        <v/>
      </c>
      <c r="K1464" s="68"/>
      <c r="L1464" s="68"/>
      <c r="M1464" s="68"/>
      <c r="N1464" s="68"/>
      <c r="O1464" s="68"/>
      <c r="P1464" s="68"/>
      <c r="Q1464" s="68"/>
      <c r="R1464" s="68"/>
      <c r="S1464" s="68"/>
      <c r="T1464" s="68"/>
      <c r="U1464" s="68"/>
      <c r="V1464" s="68"/>
      <c r="W1464" s="68"/>
      <c r="X1464" s="68"/>
      <c r="Y1464" s="68"/>
      <c r="Z1464" s="68"/>
      <c r="AA1464" s="68"/>
    </row>
    <row r="1465" ht="26.25" customHeight="1">
      <c r="A1465" s="68"/>
      <c r="B1465" s="68"/>
      <c r="C1465" s="68"/>
      <c r="D1465" s="71"/>
      <c r="E1465" s="71"/>
      <c r="F1465" s="71"/>
      <c r="G1465" s="65"/>
      <c r="H1465" s="74"/>
      <c r="I1465" s="67" t="str">
        <f>IFERROR(__xludf.DUMMYFUNCTION("if($H1465="""", """", AVERAGE(split($H1465, "";"")))"),"")</f>
        <v/>
      </c>
      <c r="J1465" s="67" t="str">
        <f>IFERROR(__xludf.DUMMYFUNCTION("if(H1465="""", """", SUM(split(H1465, "";"")))"),"")</f>
        <v/>
      </c>
      <c r="K1465" s="68"/>
      <c r="L1465" s="68"/>
      <c r="M1465" s="68"/>
      <c r="N1465" s="68"/>
      <c r="O1465" s="68"/>
      <c r="P1465" s="68"/>
      <c r="Q1465" s="68"/>
      <c r="R1465" s="68"/>
      <c r="S1465" s="68"/>
      <c r="T1465" s="68"/>
      <c r="U1465" s="68"/>
      <c r="V1465" s="68"/>
      <c r="W1465" s="68"/>
      <c r="X1465" s="68"/>
      <c r="Y1465" s="68"/>
      <c r="Z1465" s="68"/>
      <c r="AA1465" s="68"/>
    </row>
    <row r="1466" ht="26.25" customHeight="1">
      <c r="A1466" s="68"/>
      <c r="B1466" s="68"/>
      <c r="C1466" s="68"/>
      <c r="D1466" s="71"/>
      <c r="E1466" s="71"/>
      <c r="F1466" s="71"/>
      <c r="G1466" s="65"/>
      <c r="H1466" s="74"/>
      <c r="I1466" s="67" t="str">
        <f>IFERROR(__xludf.DUMMYFUNCTION("if($H1466="""", """", AVERAGE(split($H1466, "";"")))"),"")</f>
        <v/>
      </c>
      <c r="J1466" s="67" t="str">
        <f>IFERROR(__xludf.DUMMYFUNCTION("if(H1466="""", """", SUM(split(H1466, "";"")))"),"")</f>
        <v/>
      </c>
      <c r="K1466" s="68"/>
      <c r="L1466" s="68"/>
      <c r="M1466" s="68"/>
      <c r="N1466" s="68"/>
      <c r="O1466" s="68"/>
      <c r="P1466" s="68"/>
      <c r="Q1466" s="68"/>
      <c r="R1466" s="68"/>
      <c r="S1466" s="68"/>
      <c r="T1466" s="68"/>
      <c r="U1466" s="68"/>
      <c r="V1466" s="68"/>
      <c r="W1466" s="68"/>
      <c r="X1466" s="68"/>
      <c r="Y1466" s="68"/>
      <c r="Z1466" s="68"/>
      <c r="AA1466" s="68"/>
    </row>
    <row r="1467" ht="26.25" customHeight="1">
      <c r="A1467" s="68"/>
      <c r="B1467" s="68"/>
      <c r="C1467" s="68"/>
      <c r="D1467" s="71"/>
      <c r="E1467" s="71"/>
      <c r="F1467" s="71"/>
      <c r="G1467" s="65"/>
      <c r="H1467" s="74"/>
      <c r="I1467" s="67" t="str">
        <f>IFERROR(__xludf.DUMMYFUNCTION("if($H1467="""", """", AVERAGE(split($H1467, "";"")))"),"")</f>
        <v/>
      </c>
      <c r="J1467" s="67" t="str">
        <f>IFERROR(__xludf.DUMMYFUNCTION("if(H1467="""", """", SUM(split(H1467, "";"")))"),"")</f>
        <v/>
      </c>
      <c r="K1467" s="68"/>
      <c r="L1467" s="68"/>
      <c r="M1467" s="68"/>
      <c r="N1467" s="68"/>
      <c r="O1467" s="68"/>
      <c r="P1467" s="68"/>
      <c r="Q1467" s="68"/>
      <c r="R1467" s="68"/>
      <c r="S1467" s="68"/>
      <c r="T1467" s="68"/>
      <c r="U1467" s="68"/>
      <c r="V1467" s="68"/>
      <c r="W1467" s="68"/>
      <c r="X1467" s="68"/>
      <c r="Y1467" s="68"/>
      <c r="Z1467" s="68"/>
      <c r="AA1467" s="68"/>
    </row>
    <row r="1468" ht="26.25" customHeight="1">
      <c r="A1468" s="68"/>
      <c r="B1468" s="68"/>
      <c r="C1468" s="68"/>
      <c r="D1468" s="71"/>
      <c r="E1468" s="71"/>
      <c r="F1468" s="71"/>
      <c r="G1468" s="65"/>
      <c r="H1468" s="74"/>
      <c r="I1468" s="67" t="str">
        <f>IFERROR(__xludf.DUMMYFUNCTION("if($H1468="""", """", AVERAGE(split($H1468, "";"")))"),"")</f>
        <v/>
      </c>
      <c r="J1468" s="67" t="str">
        <f>IFERROR(__xludf.DUMMYFUNCTION("if(H1468="""", """", SUM(split(H1468, "";"")))"),"")</f>
        <v/>
      </c>
      <c r="K1468" s="68"/>
      <c r="L1468" s="68"/>
      <c r="M1468" s="68"/>
      <c r="N1468" s="68"/>
      <c r="O1468" s="68"/>
      <c r="P1468" s="68"/>
      <c r="Q1468" s="68"/>
      <c r="R1468" s="68"/>
      <c r="S1468" s="68"/>
      <c r="T1468" s="68"/>
      <c r="U1468" s="68"/>
      <c r="V1468" s="68"/>
      <c r="W1468" s="68"/>
      <c r="X1468" s="68"/>
      <c r="Y1468" s="68"/>
      <c r="Z1468" s="68"/>
      <c r="AA1468" s="68"/>
    </row>
    <row r="1469" ht="26.25" customHeight="1">
      <c r="A1469" s="68"/>
      <c r="B1469" s="68"/>
      <c r="C1469" s="68"/>
      <c r="D1469" s="71"/>
      <c r="E1469" s="71"/>
      <c r="F1469" s="71"/>
      <c r="G1469" s="65"/>
      <c r="H1469" s="74"/>
      <c r="I1469" s="67" t="str">
        <f>IFERROR(__xludf.DUMMYFUNCTION("if($H1469="""", """", AVERAGE(split($H1469, "";"")))"),"")</f>
        <v/>
      </c>
      <c r="J1469" s="67" t="str">
        <f>IFERROR(__xludf.DUMMYFUNCTION("if(H1469="""", """", SUM(split(H1469, "";"")))"),"")</f>
        <v/>
      </c>
      <c r="K1469" s="68"/>
      <c r="L1469" s="68"/>
      <c r="M1469" s="68"/>
      <c r="N1469" s="68"/>
      <c r="O1469" s="68"/>
      <c r="P1469" s="68"/>
      <c r="Q1469" s="68"/>
      <c r="R1469" s="68"/>
      <c r="S1469" s="68"/>
      <c r="T1469" s="68"/>
      <c r="U1469" s="68"/>
      <c r="V1469" s="68"/>
      <c r="W1469" s="68"/>
      <c r="X1469" s="68"/>
      <c r="Y1469" s="68"/>
      <c r="Z1469" s="68"/>
      <c r="AA1469" s="68"/>
    </row>
    <row r="1470" ht="26.25" customHeight="1">
      <c r="A1470" s="68"/>
      <c r="B1470" s="68"/>
      <c r="C1470" s="68"/>
      <c r="D1470" s="71"/>
      <c r="E1470" s="71"/>
      <c r="F1470" s="71"/>
      <c r="G1470" s="65"/>
      <c r="H1470" s="74"/>
      <c r="I1470" s="67" t="str">
        <f>IFERROR(__xludf.DUMMYFUNCTION("if($H1470="""", """", AVERAGE(split($H1470, "";"")))"),"")</f>
        <v/>
      </c>
      <c r="J1470" s="67" t="str">
        <f>IFERROR(__xludf.DUMMYFUNCTION("if(H1470="""", """", SUM(split(H1470, "";"")))"),"")</f>
        <v/>
      </c>
      <c r="K1470" s="68"/>
      <c r="L1470" s="68"/>
      <c r="M1470" s="68"/>
      <c r="N1470" s="68"/>
      <c r="O1470" s="68"/>
      <c r="P1470" s="68"/>
      <c r="Q1470" s="68"/>
      <c r="R1470" s="68"/>
      <c r="S1470" s="68"/>
      <c r="T1470" s="68"/>
      <c r="U1470" s="68"/>
      <c r="V1470" s="68"/>
      <c r="W1470" s="68"/>
      <c r="X1470" s="68"/>
      <c r="Y1470" s="68"/>
      <c r="Z1470" s="68"/>
      <c r="AA1470" s="68"/>
    </row>
    <row r="1471" ht="26.25" customHeight="1">
      <c r="A1471" s="68"/>
      <c r="B1471" s="68"/>
      <c r="C1471" s="68"/>
      <c r="D1471" s="71"/>
      <c r="E1471" s="71"/>
      <c r="F1471" s="71"/>
      <c r="G1471" s="65"/>
      <c r="H1471" s="74"/>
      <c r="I1471" s="67" t="str">
        <f>IFERROR(__xludf.DUMMYFUNCTION("if($H1471="""", """", AVERAGE(split($H1471, "";"")))"),"")</f>
        <v/>
      </c>
      <c r="J1471" s="67" t="str">
        <f>IFERROR(__xludf.DUMMYFUNCTION("if(H1471="""", """", SUM(split(H1471, "";"")))"),"")</f>
        <v/>
      </c>
      <c r="K1471" s="68"/>
      <c r="L1471" s="68"/>
      <c r="M1471" s="68"/>
      <c r="N1471" s="68"/>
      <c r="O1471" s="68"/>
      <c r="P1471" s="68"/>
      <c r="Q1471" s="68"/>
      <c r="R1471" s="68"/>
      <c r="S1471" s="68"/>
      <c r="T1471" s="68"/>
      <c r="U1471" s="68"/>
      <c r="V1471" s="68"/>
      <c r="W1471" s="68"/>
      <c r="X1471" s="68"/>
      <c r="Y1471" s="68"/>
      <c r="Z1471" s="68"/>
      <c r="AA1471" s="68"/>
    </row>
    <row r="1472" ht="26.25" customHeight="1">
      <c r="A1472" s="68"/>
      <c r="B1472" s="68"/>
      <c r="C1472" s="68"/>
      <c r="D1472" s="71"/>
      <c r="E1472" s="71"/>
      <c r="F1472" s="71"/>
      <c r="G1472" s="65"/>
      <c r="H1472" s="74"/>
      <c r="I1472" s="67" t="str">
        <f>IFERROR(__xludf.DUMMYFUNCTION("if($H1472="""", """", AVERAGE(split($H1472, "";"")))"),"")</f>
        <v/>
      </c>
      <c r="J1472" s="67" t="str">
        <f>IFERROR(__xludf.DUMMYFUNCTION("if(H1472="""", """", SUM(split(H1472, "";"")))"),"")</f>
        <v/>
      </c>
      <c r="K1472" s="68"/>
      <c r="L1472" s="68"/>
      <c r="M1472" s="68"/>
      <c r="N1472" s="68"/>
      <c r="O1472" s="68"/>
      <c r="P1472" s="68"/>
      <c r="Q1472" s="68"/>
      <c r="R1472" s="68"/>
      <c r="S1472" s="68"/>
      <c r="T1472" s="68"/>
      <c r="U1472" s="68"/>
      <c r="V1472" s="68"/>
      <c r="W1472" s="68"/>
      <c r="X1472" s="68"/>
      <c r="Y1472" s="68"/>
      <c r="Z1472" s="68"/>
      <c r="AA1472" s="68"/>
    </row>
    <row r="1473" ht="26.25" customHeight="1">
      <c r="A1473" s="68"/>
      <c r="B1473" s="68"/>
      <c r="C1473" s="68"/>
      <c r="D1473" s="71"/>
      <c r="E1473" s="71"/>
      <c r="F1473" s="71"/>
      <c r="G1473" s="65"/>
      <c r="H1473" s="74"/>
      <c r="I1473" s="67" t="str">
        <f>IFERROR(__xludf.DUMMYFUNCTION("if($H1473="""", """", AVERAGE(split($H1473, "";"")))"),"")</f>
        <v/>
      </c>
      <c r="J1473" s="67" t="str">
        <f>IFERROR(__xludf.DUMMYFUNCTION("if(H1473="""", """", SUM(split(H1473, "";"")))"),"")</f>
        <v/>
      </c>
      <c r="K1473" s="68"/>
      <c r="L1473" s="68"/>
      <c r="M1473" s="68"/>
      <c r="N1473" s="68"/>
      <c r="O1473" s="68"/>
      <c r="P1473" s="68"/>
      <c r="Q1473" s="68"/>
      <c r="R1473" s="68"/>
      <c r="S1473" s="68"/>
      <c r="T1473" s="68"/>
      <c r="U1473" s="68"/>
      <c r="V1473" s="68"/>
      <c r="W1473" s="68"/>
      <c r="X1473" s="68"/>
      <c r="Y1473" s="68"/>
      <c r="Z1473" s="68"/>
      <c r="AA1473" s="68"/>
    </row>
    <row r="1474" ht="26.25" customHeight="1">
      <c r="A1474" s="68"/>
      <c r="B1474" s="68"/>
      <c r="C1474" s="68"/>
      <c r="D1474" s="71"/>
      <c r="E1474" s="71"/>
      <c r="F1474" s="71"/>
      <c r="G1474" s="65"/>
      <c r="H1474" s="74"/>
      <c r="I1474" s="67" t="str">
        <f>IFERROR(__xludf.DUMMYFUNCTION("if($H1474="""", """", AVERAGE(split($H1474, "";"")))"),"")</f>
        <v/>
      </c>
      <c r="J1474" s="67" t="str">
        <f>IFERROR(__xludf.DUMMYFUNCTION("if(H1474="""", """", SUM(split(H1474, "";"")))"),"")</f>
        <v/>
      </c>
      <c r="K1474" s="68"/>
      <c r="L1474" s="68"/>
      <c r="M1474" s="68"/>
      <c r="N1474" s="68"/>
      <c r="O1474" s="68"/>
      <c r="P1474" s="68"/>
      <c r="Q1474" s="68"/>
      <c r="R1474" s="68"/>
      <c r="S1474" s="68"/>
      <c r="T1474" s="68"/>
      <c r="U1474" s="68"/>
      <c r="V1474" s="68"/>
      <c r="W1474" s="68"/>
      <c r="X1474" s="68"/>
      <c r="Y1474" s="68"/>
      <c r="Z1474" s="68"/>
      <c r="AA1474" s="68"/>
    </row>
    <row r="1475" ht="26.25" customHeight="1">
      <c r="A1475" s="68"/>
      <c r="B1475" s="68"/>
      <c r="C1475" s="68"/>
      <c r="D1475" s="71"/>
      <c r="E1475" s="71"/>
      <c r="F1475" s="71"/>
      <c r="G1475" s="65"/>
      <c r="H1475" s="74"/>
      <c r="I1475" s="67" t="str">
        <f>IFERROR(__xludf.DUMMYFUNCTION("if($H1475="""", """", AVERAGE(split($H1475, "";"")))"),"")</f>
        <v/>
      </c>
      <c r="J1475" s="67" t="str">
        <f>IFERROR(__xludf.DUMMYFUNCTION("if(H1475="""", """", SUM(split(H1475, "";"")))"),"")</f>
        <v/>
      </c>
      <c r="K1475" s="68"/>
      <c r="L1475" s="68"/>
      <c r="M1475" s="68"/>
      <c r="N1475" s="68"/>
      <c r="O1475" s="68"/>
      <c r="P1475" s="68"/>
      <c r="Q1475" s="68"/>
      <c r="R1475" s="68"/>
      <c r="S1475" s="68"/>
      <c r="T1475" s="68"/>
      <c r="U1475" s="68"/>
      <c r="V1475" s="68"/>
      <c r="W1475" s="68"/>
      <c r="X1475" s="68"/>
      <c r="Y1475" s="68"/>
      <c r="Z1475" s="68"/>
      <c r="AA1475" s="68"/>
    </row>
    <row r="1476" ht="26.25" customHeight="1">
      <c r="A1476" s="68"/>
      <c r="B1476" s="68"/>
      <c r="C1476" s="68"/>
      <c r="D1476" s="71"/>
      <c r="E1476" s="71"/>
      <c r="F1476" s="71"/>
      <c r="G1476" s="65"/>
      <c r="H1476" s="74"/>
      <c r="I1476" s="67" t="str">
        <f>IFERROR(__xludf.DUMMYFUNCTION("if($H1476="""", """", AVERAGE(split($H1476, "";"")))"),"")</f>
        <v/>
      </c>
      <c r="J1476" s="67" t="str">
        <f>IFERROR(__xludf.DUMMYFUNCTION("if(H1476="""", """", SUM(split(H1476, "";"")))"),"")</f>
        <v/>
      </c>
      <c r="K1476" s="68"/>
      <c r="L1476" s="68"/>
      <c r="M1476" s="68"/>
      <c r="N1476" s="68"/>
      <c r="O1476" s="68"/>
      <c r="P1476" s="68"/>
      <c r="Q1476" s="68"/>
      <c r="R1476" s="68"/>
      <c r="S1476" s="68"/>
      <c r="T1476" s="68"/>
      <c r="U1476" s="68"/>
      <c r="V1476" s="68"/>
      <c r="W1476" s="68"/>
      <c r="X1476" s="68"/>
      <c r="Y1476" s="68"/>
      <c r="Z1476" s="68"/>
      <c r="AA1476" s="68"/>
    </row>
    <row r="1477" ht="26.25" customHeight="1">
      <c r="A1477" s="68"/>
      <c r="B1477" s="68"/>
      <c r="C1477" s="68"/>
      <c r="D1477" s="71"/>
      <c r="E1477" s="71"/>
      <c r="F1477" s="71"/>
      <c r="G1477" s="65"/>
      <c r="H1477" s="74"/>
      <c r="I1477" s="67" t="str">
        <f>IFERROR(__xludf.DUMMYFUNCTION("if($H1477="""", """", AVERAGE(split($H1477, "";"")))"),"")</f>
        <v/>
      </c>
      <c r="J1477" s="67" t="str">
        <f>IFERROR(__xludf.DUMMYFUNCTION("if(H1477="""", """", SUM(split(H1477, "";"")))"),"")</f>
        <v/>
      </c>
      <c r="K1477" s="68"/>
      <c r="L1477" s="68"/>
      <c r="M1477" s="68"/>
      <c r="N1477" s="68"/>
      <c r="O1477" s="68"/>
      <c r="P1477" s="68"/>
      <c r="Q1477" s="68"/>
      <c r="R1477" s="68"/>
      <c r="S1477" s="68"/>
      <c r="T1477" s="68"/>
      <c r="U1477" s="68"/>
      <c r="V1477" s="68"/>
      <c r="W1477" s="68"/>
      <c r="X1477" s="68"/>
      <c r="Y1477" s="68"/>
      <c r="Z1477" s="68"/>
      <c r="AA1477" s="68"/>
    </row>
    <row r="1478" ht="26.25" customHeight="1">
      <c r="A1478" s="68"/>
      <c r="B1478" s="68"/>
      <c r="C1478" s="68"/>
      <c r="D1478" s="71"/>
      <c r="E1478" s="71"/>
      <c r="F1478" s="71"/>
      <c r="G1478" s="65"/>
      <c r="H1478" s="74"/>
      <c r="I1478" s="67" t="str">
        <f>IFERROR(__xludf.DUMMYFUNCTION("if($H1478="""", """", AVERAGE(split($H1478, "";"")))"),"")</f>
        <v/>
      </c>
      <c r="J1478" s="67" t="str">
        <f>IFERROR(__xludf.DUMMYFUNCTION("if(H1478="""", """", SUM(split(H1478, "";"")))"),"")</f>
        <v/>
      </c>
      <c r="K1478" s="68"/>
      <c r="L1478" s="68"/>
      <c r="M1478" s="68"/>
      <c r="N1478" s="68"/>
      <c r="O1478" s="68"/>
      <c r="P1478" s="68"/>
      <c r="Q1478" s="68"/>
      <c r="R1478" s="68"/>
      <c r="S1478" s="68"/>
      <c r="T1478" s="68"/>
      <c r="U1478" s="68"/>
      <c r="V1478" s="68"/>
      <c r="W1478" s="68"/>
      <c r="X1478" s="68"/>
      <c r="Y1478" s="68"/>
      <c r="Z1478" s="68"/>
      <c r="AA1478" s="68"/>
    </row>
    <row r="1479" ht="26.25" customHeight="1">
      <c r="A1479" s="68"/>
      <c r="B1479" s="68"/>
      <c r="C1479" s="68"/>
      <c r="D1479" s="71"/>
      <c r="E1479" s="71"/>
      <c r="F1479" s="71"/>
      <c r="G1479" s="65"/>
      <c r="H1479" s="74"/>
      <c r="I1479" s="67" t="str">
        <f>IFERROR(__xludf.DUMMYFUNCTION("if($H1479="""", """", AVERAGE(split($H1479, "";"")))"),"")</f>
        <v/>
      </c>
      <c r="J1479" s="67" t="str">
        <f>IFERROR(__xludf.DUMMYFUNCTION("if(H1479="""", """", SUM(split(H1479, "";"")))"),"")</f>
        <v/>
      </c>
      <c r="K1479" s="68"/>
      <c r="L1479" s="68"/>
      <c r="M1479" s="68"/>
      <c r="N1479" s="68"/>
      <c r="O1479" s="68"/>
      <c r="P1479" s="68"/>
      <c r="Q1479" s="68"/>
      <c r="R1479" s="68"/>
      <c r="S1479" s="68"/>
      <c r="T1479" s="68"/>
      <c r="U1479" s="68"/>
      <c r="V1479" s="68"/>
      <c r="W1479" s="68"/>
      <c r="X1479" s="68"/>
      <c r="Y1479" s="68"/>
      <c r="Z1479" s="68"/>
      <c r="AA1479" s="68"/>
    </row>
    <row r="1480" ht="26.25" customHeight="1">
      <c r="A1480" s="68"/>
      <c r="B1480" s="68"/>
      <c r="C1480" s="68"/>
      <c r="D1480" s="71"/>
      <c r="E1480" s="71"/>
      <c r="F1480" s="71"/>
      <c r="G1480" s="65"/>
      <c r="H1480" s="74"/>
      <c r="I1480" s="67" t="str">
        <f>IFERROR(__xludf.DUMMYFUNCTION("if($H1480="""", """", AVERAGE(split($H1480, "";"")))"),"")</f>
        <v/>
      </c>
      <c r="J1480" s="67" t="str">
        <f>IFERROR(__xludf.DUMMYFUNCTION("if(H1480="""", """", SUM(split(H1480, "";"")))"),"")</f>
        <v/>
      </c>
      <c r="K1480" s="68"/>
      <c r="L1480" s="68"/>
      <c r="M1480" s="68"/>
      <c r="N1480" s="68"/>
      <c r="O1480" s="68"/>
      <c r="P1480" s="68"/>
      <c r="Q1480" s="68"/>
      <c r="R1480" s="68"/>
      <c r="S1480" s="68"/>
      <c r="T1480" s="68"/>
      <c r="U1480" s="68"/>
      <c r="V1480" s="68"/>
      <c r="W1480" s="68"/>
      <c r="X1480" s="68"/>
      <c r="Y1480" s="68"/>
      <c r="Z1480" s="68"/>
      <c r="AA1480" s="68"/>
    </row>
    <row r="1481" ht="26.25" customHeight="1">
      <c r="A1481" s="68"/>
      <c r="B1481" s="68"/>
      <c r="C1481" s="68"/>
      <c r="D1481" s="71"/>
      <c r="E1481" s="71"/>
      <c r="F1481" s="71"/>
      <c r="G1481" s="65"/>
      <c r="H1481" s="74"/>
      <c r="I1481" s="67" t="str">
        <f>IFERROR(__xludf.DUMMYFUNCTION("if($H1481="""", """", AVERAGE(split($H1481, "";"")))"),"")</f>
        <v/>
      </c>
      <c r="J1481" s="67" t="str">
        <f>IFERROR(__xludf.DUMMYFUNCTION("if(H1481="""", """", SUM(split(H1481, "";"")))"),"")</f>
        <v/>
      </c>
      <c r="K1481" s="68"/>
      <c r="L1481" s="68"/>
      <c r="M1481" s="68"/>
      <c r="N1481" s="68"/>
      <c r="O1481" s="68"/>
      <c r="P1481" s="68"/>
      <c r="Q1481" s="68"/>
      <c r="R1481" s="68"/>
      <c r="S1481" s="68"/>
      <c r="T1481" s="68"/>
      <c r="U1481" s="68"/>
      <c r="V1481" s="68"/>
      <c r="W1481" s="68"/>
      <c r="X1481" s="68"/>
      <c r="Y1481" s="68"/>
      <c r="Z1481" s="68"/>
      <c r="AA1481" s="68"/>
    </row>
    <row r="1482" ht="26.25" customHeight="1">
      <c r="A1482" s="68"/>
      <c r="B1482" s="68"/>
      <c r="C1482" s="68"/>
      <c r="D1482" s="71"/>
      <c r="E1482" s="71"/>
      <c r="F1482" s="71"/>
      <c r="G1482" s="65"/>
      <c r="H1482" s="74"/>
      <c r="I1482" s="67" t="str">
        <f>IFERROR(__xludf.DUMMYFUNCTION("if($H1482="""", """", AVERAGE(split($H1482, "";"")))"),"")</f>
        <v/>
      </c>
      <c r="J1482" s="67" t="str">
        <f>IFERROR(__xludf.DUMMYFUNCTION("if(H1482="""", """", SUM(split(H1482, "";"")))"),"")</f>
        <v/>
      </c>
      <c r="K1482" s="68"/>
      <c r="L1482" s="68"/>
      <c r="M1482" s="68"/>
      <c r="N1482" s="68"/>
      <c r="O1482" s="68"/>
      <c r="P1482" s="68"/>
      <c r="Q1482" s="68"/>
      <c r="R1482" s="68"/>
      <c r="S1482" s="68"/>
      <c r="T1482" s="68"/>
      <c r="U1482" s="68"/>
      <c r="V1482" s="68"/>
      <c r="W1482" s="68"/>
      <c r="X1482" s="68"/>
      <c r="Y1482" s="68"/>
      <c r="Z1482" s="68"/>
      <c r="AA1482" s="68"/>
    </row>
    <row r="1483" ht="26.25" customHeight="1">
      <c r="A1483" s="68"/>
      <c r="B1483" s="68"/>
      <c r="C1483" s="68"/>
      <c r="D1483" s="71"/>
      <c r="E1483" s="71"/>
      <c r="F1483" s="71"/>
      <c r="G1483" s="65"/>
      <c r="H1483" s="74"/>
      <c r="I1483" s="67" t="str">
        <f>IFERROR(__xludf.DUMMYFUNCTION("if($H1483="""", """", AVERAGE(split($H1483, "";"")))"),"")</f>
        <v/>
      </c>
      <c r="J1483" s="67" t="str">
        <f>IFERROR(__xludf.DUMMYFUNCTION("if(H1483="""", """", SUM(split(H1483, "";"")))"),"")</f>
        <v/>
      </c>
      <c r="K1483" s="68"/>
      <c r="L1483" s="68"/>
      <c r="M1483" s="68"/>
      <c r="N1483" s="68"/>
      <c r="O1483" s="68"/>
      <c r="P1483" s="68"/>
      <c r="Q1483" s="68"/>
      <c r="R1483" s="68"/>
      <c r="S1483" s="68"/>
      <c r="T1483" s="68"/>
      <c r="U1483" s="68"/>
      <c r="V1483" s="68"/>
      <c r="W1483" s="68"/>
      <c r="X1483" s="68"/>
      <c r="Y1483" s="68"/>
      <c r="Z1483" s="68"/>
      <c r="AA1483" s="68"/>
    </row>
    <row r="1484" ht="26.25" customHeight="1">
      <c r="A1484" s="68"/>
      <c r="B1484" s="68"/>
      <c r="C1484" s="68"/>
      <c r="D1484" s="71"/>
      <c r="E1484" s="71"/>
      <c r="F1484" s="71"/>
      <c r="G1484" s="65"/>
      <c r="H1484" s="74"/>
      <c r="I1484" s="67" t="str">
        <f>IFERROR(__xludf.DUMMYFUNCTION("if($H1484="""", """", AVERAGE(split($H1484, "";"")))"),"")</f>
        <v/>
      </c>
      <c r="J1484" s="67" t="str">
        <f>IFERROR(__xludf.DUMMYFUNCTION("if(H1484="""", """", SUM(split(H1484, "";"")))"),"")</f>
        <v/>
      </c>
      <c r="K1484" s="68"/>
      <c r="L1484" s="68"/>
      <c r="M1484" s="68"/>
      <c r="N1484" s="68"/>
      <c r="O1484" s="68"/>
      <c r="P1484" s="68"/>
      <c r="Q1484" s="68"/>
      <c r="R1484" s="68"/>
      <c r="S1484" s="68"/>
      <c r="T1484" s="68"/>
      <c r="U1484" s="68"/>
      <c r="V1484" s="68"/>
      <c r="W1484" s="68"/>
      <c r="X1484" s="68"/>
      <c r="Y1484" s="68"/>
      <c r="Z1484" s="68"/>
      <c r="AA1484" s="68"/>
    </row>
    <row r="1485" ht="26.25" customHeight="1">
      <c r="A1485" s="68"/>
      <c r="B1485" s="68"/>
      <c r="C1485" s="68"/>
      <c r="D1485" s="71"/>
      <c r="E1485" s="71"/>
      <c r="F1485" s="71"/>
      <c r="G1485" s="65"/>
      <c r="H1485" s="74"/>
      <c r="I1485" s="67" t="str">
        <f>IFERROR(__xludf.DUMMYFUNCTION("if($H1485="""", """", AVERAGE(split($H1485, "";"")))"),"")</f>
        <v/>
      </c>
      <c r="J1485" s="67" t="str">
        <f>IFERROR(__xludf.DUMMYFUNCTION("if(H1485="""", """", SUM(split(H1485, "";"")))"),"")</f>
        <v/>
      </c>
      <c r="K1485" s="68"/>
      <c r="L1485" s="68"/>
      <c r="M1485" s="68"/>
      <c r="N1485" s="68"/>
      <c r="O1485" s="68"/>
      <c r="P1485" s="68"/>
      <c r="Q1485" s="68"/>
      <c r="R1485" s="68"/>
      <c r="S1485" s="68"/>
      <c r="T1485" s="68"/>
      <c r="U1485" s="68"/>
      <c r="V1485" s="68"/>
      <c r="W1485" s="68"/>
      <c r="X1485" s="68"/>
      <c r="Y1485" s="68"/>
      <c r="Z1485" s="68"/>
      <c r="AA1485" s="68"/>
    </row>
    <row r="1486" ht="26.25" customHeight="1">
      <c r="A1486" s="68"/>
      <c r="B1486" s="68"/>
      <c r="C1486" s="68"/>
      <c r="D1486" s="71"/>
      <c r="E1486" s="71"/>
      <c r="F1486" s="71"/>
      <c r="G1486" s="65"/>
      <c r="H1486" s="74"/>
      <c r="I1486" s="67" t="str">
        <f>IFERROR(__xludf.DUMMYFUNCTION("if($H1486="""", """", AVERAGE(split($H1486, "";"")))"),"")</f>
        <v/>
      </c>
      <c r="J1486" s="67" t="str">
        <f>IFERROR(__xludf.DUMMYFUNCTION("if(H1486="""", """", SUM(split(H1486, "";"")))"),"")</f>
        <v/>
      </c>
      <c r="K1486" s="68"/>
      <c r="L1486" s="68"/>
      <c r="M1486" s="68"/>
      <c r="N1486" s="68"/>
      <c r="O1486" s="68"/>
      <c r="P1486" s="68"/>
      <c r="Q1486" s="68"/>
      <c r="R1486" s="68"/>
      <c r="S1486" s="68"/>
      <c r="T1486" s="68"/>
      <c r="U1486" s="68"/>
      <c r="V1486" s="68"/>
      <c r="W1486" s="68"/>
      <c r="X1486" s="68"/>
      <c r="Y1486" s="68"/>
      <c r="Z1486" s="68"/>
      <c r="AA1486" s="68"/>
    </row>
    <row r="1487" ht="26.25" customHeight="1">
      <c r="A1487" s="68"/>
      <c r="B1487" s="68"/>
      <c r="C1487" s="68"/>
      <c r="D1487" s="71"/>
      <c r="E1487" s="71"/>
      <c r="F1487" s="71"/>
      <c r="G1487" s="65"/>
      <c r="H1487" s="74"/>
      <c r="I1487" s="67" t="str">
        <f>IFERROR(__xludf.DUMMYFUNCTION("if($H1487="""", """", AVERAGE(split($H1487, "";"")))"),"")</f>
        <v/>
      </c>
      <c r="J1487" s="67" t="str">
        <f>IFERROR(__xludf.DUMMYFUNCTION("if(H1487="""", """", SUM(split(H1487, "";"")))"),"")</f>
        <v/>
      </c>
      <c r="K1487" s="68"/>
      <c r="L1487" s="68"/>
      <c r="M1487" s="68"/>
      <c r="N1487" s="68"/>
      <c r="O1487" s="68"/>
      <c r="P1487" s="68"/>
      <c r="Q1487" s="68"/>
      <c r="R1487" s="68"/>
      <c r="S1487" s="68"/>
      <c r="T1487" s="68"/>
      <c r="U1487" s="68"/>
      <c r="V1487" s="68"/>
      <c r="W1487" s="68"/>
      <c r="X1487" s="68"/>
      <c r="Y1487" s="68"/>
      <c r="Z1487" s="68"/>
      <c r="AA1487" s="68"/>
    </row>
    <row r="1488" ht="26.25" customHeight="1">
      <c r="A1488" s="68"/>
      <c r="B1488" s="68"/>
      <c r="C1488" s="68"/>
      <c r="D1488" s="71"/>
      <c r="E1488" s="71"/>
      <c r="F1488" s="71"/>
      <c r="G1488" s="65"/>
      <c r="H1488" s="74"/>
      <c r="I1488" s="67" t="str">
        <f>IFERROR(__xludf.DUMMYFUNCTION("if($H1488="""", """", AVERAGE(split($H1488, "";"")))"),"")</f>
        <v/>
      </c>
      <c r="J1488" s="67" t="str">
        <f>IFERROR(__xludf.DUMMYFUNCTION("if(H1488="""", """", SUM(split(H1488, "";"")))"),"")</f>
        <v/>
      </c>
      <c r="K1488" s="68"/>
      <c r="L1488" s="68"/>
      <c r="M1488" s="68"/>
      <c r="N1488" s="68"/>
      <c r="O1488" s="68"/>
      <c r="P1488" s="68"/>
      <c r="Q1488" s="68"/>
      <c r="R1488" s="68"/>
      <c r="S1488" s="68"/>
      <c r="T1488" s="68"/>
      <c r="U1488" s="68"/>
      <c r="V1488" s="68"/>
      <c r="W1488" s="68"/>
      <c r="X1488" s="68"/>
      <c r="Y1488" s="68"/>
      <c r="Z1488" s="68"/>
      <c r="AA1488" s="68"/>
    </row>
    <row r="1489" ht="26.25" customHeight="1">
      <c r="A1489" s="68"/>
      <c r="B1489" s="68"/>
      <c r="C1489" s="68"/>
      <c r="D1489" s="71"/>
      <c r="E1489" s="71"/>
      <c r="F1489" s="71"/>
      <c r="G1489" s="65"/>
      <c r="H1489" s="74"/>
      <c r="I1489" s="67" t="str">
        <f>IFERROR(__xludf.DUMMYFUNCTION("if($H1489="""", """", AVERAGE(split($H1489, "";"")))"),"")</f>
        <v/>
      </c>
      <c r="J1489" s="67" t="str">
        <f>IFERROR(__xludf.DUMMYFUNCTION("if(H1489="""", """", SUM(split(H1489, "";"")))"),"")</f>
        <v/>
      </c>
      <c r="K1489" s="68"/>
      <c r="L1489" s="68"/>
      <c r="M1489" s="68"/>
      <c r="N1489" s="68"/>
      <c r="O1489" s="68"/>
      <c r="P1489" s="68"/>
      <c r="Q1489" s="68"/>
      <c r="R1489" s="68"/>
      <c r="S1489" s="68"/>
      <c r="T1489" s="68"/>
      <c r="U1489" s="68"/>
      <c r="V1489" s="68"/>
      <c r="W1489" s="68"/>
      <c r="X1489" s="68"/>
      <c r="Y1489" s="68"/>
      <c r="Z1489" s="68"/>
      <c r="AA1489" s="68"/>
    </row>
    <row r="1490" ht="26.25" customHeight="1">
      <c r="A1490" s="68"/>
      <c r="B1490" s="68"/>
      <c r="C1490" s="68"/>
      <c r="D1490" s="71"/>
      <c r="E1490" s="71"/>
      <c r="F1490" s="71"/>
      <c r="G1490" s="65"/>
      <c r="H1490" s="74"/>
      <c r="I1490" s="67" t="str">
        <f>IFERROR(__xludf.DUMMYFUNCTION("if($H1490="""", """", AVERAGE(split($H1490, "";"")))"),"")</f>
        <v/>
      </c>
      <c r="J1490" s="67" t="str">
        <f>IFERROR(__xludf.DUMMYFUNCTION("if(H1490="""", """", SUM(split(H1490, "";"")))"),"")</f>
        <v/>
      </c>
      <c r="K1490" s="68"/>
      <c r="L1490" s="68"/>
      <c r="M1490" s="68"/>
      <c r="N1490" s="68"/>
      <c r="O1490" s="68"/>
      <c r="P1490" s="68"/>
      <c r="Q1490" s="68"/>
      <c r="R1490" s="68"/>
      <c r="S1490" s="68"/>
      <c r="T1490" s="68"/>
      <c r="U1490" s="68"/>
      <c r="V1490" s="68"/>
      <c r="W1490" s="68"/>
      <c r="X1490" s="68"/>
      <c r="Y1490" s="68"/>
      <c r="Z1490" s="68"/>
      <c r="AA1490" s="68"/>
    </row>
    <row r="1491" ht="26.25" customHeight="1">
      <c r="A1491" s="68"/>
      <c r="B1491" s="68"/>
      <c r="C1491" s="68"/>
      <c r="D1491" s="71"/>
      <c r="E1491" s="71"/>
      <c r="F1491" s="71"/>
      <c r="G1491" s="65"/>
      <c r="H1491" s="74"/>
      <c r="I1491" s="67" t="str">
        <f>IFERROR(__xludf.DUMMYFUNCTION("if($H1491="""", """", AVERAGE(split($H1491, "";"")))"),"")</f>
        <v/>
      </c>
      <c r="J1491" s="67" t="str">
        <f>IFERROR(__xludf.DUMMYFUNCTION("if(H1491="""", """", SUM(split(H1491, "";"")))"),"")</f>
        <v/>
      </c>
      <c r="K1491" s="68"/>
      <c r="L1491" s="68"/>
      <c r="M1491" s="68"/>
      <c r="N1491" s="68"/>
      <c r="O1491" s="68"/>
      <c r="P1491" s="68"/>
      <c r="Q1491" s="68"/>
      <c r="R1491" s="68"/>
      <c r="S1491" s="68"/>
      <c r="T1491" s="68"/>
      <c r="U1491" s="68"/>
      <c r="V1491" s="68"/>
      <c r="W1491" s="68"/>
      <c r="X1491" s="68"/>
      <c r="Y1491" s="68"/>
      <c r="Z1491" s="68"/>
      <c r="AA1491" s="68"/>
    </row>
    <row r="1492" ht="26.25" customHeight="1">
      <c r="A1492" s="68"/>
      <c r="B1492" s="68"/>
      <c r="C1492" s="68"/>
      <c r="D1492" s="71"/>
      <c r="E1492" s="71"/>
      <c r="F1492" s="71"/>
      <c r="G1492" s="65"/>
      <c r="H1492" s="74"/>
      <c r="I1492" s="67" t="str">
        <f>IFERROR(__xludf.DUMMYFUNCTION("if($H1492="""", """", AVERAGE(split($H1492, "";"")))"),"")</f>
        <v/>
      </c>
      <c r="J1492" s="67" t="str">
        <f>IFERROR(__xludf.DUMMYFUNCTION("if(H1492="""", """", SUM(split(H1492, "";"")))"),"")</f>
        <v/>
      </c>
      <c r="K1492" s="68"/>
      <c r="L1492" s="68"/>
      <c r="M1492" s="68"/>
      <c r="N1492" s="68"/>
      <c r="O1492" s="68"/>
      <c r="P1492" s="68"/>
      <c r="Q1492" s="68"/>
      <c r="R1492" s="68"/>
      <c r="S1492" s="68"/>
      <c r="T1492" s="68"/>
      <c r="U1492" s="68"/>
      <c r="V1492" s="68"/>
      <c r="W1492" s="68"/>
      <c r="X1492" s="68"/>
      <c r="Y1492" s="68"/>
      <c r="Z1492" s="68"/>
      <c r="AA1492" s="68"/>
    </row>
    <row r="1493" ht="26.25" customHeight="1">
      <c r="A1493" s="68"/>
      <c r="B1493" s="68"/>
      <c r="C1493" s="68"/>
      <c r="D1493" s="71"/>
      <c r="E1493" s="71"/>
      <c r="F1493" s="71"/>
      <c r="G1493" s="65"/>
      <c r="H1493" s="74"/>
      <c r="I1493" s="67" t="str">
        <f>IFERROR(__xludf.DUMMYFUNCTION("if($H1493="""", """", AVERAGE(split($H1493, "";"")))"),"")</f>
        <v/>
      </c>
      <c r="J1493" s="67" t="str">
        <f>IFERROR(__xludf.DUMMYFUNCTION("if(H1493="""", """", SUM(split(H1493, "";"")))"),"")</f>
        <v/>
      </c>
      <c r="K1493" s="68"/>
      <c r="L1493" s="68"/>
      <c r="M1493" s="68"/>
      <c r="N1493" s="68"/>
      <c r="O1493" s="68"/>
      <c r="P1493" s="68"/>
      <c r="Q1493" s="68"/>
      <c r="R1493" s="68"/>
      <c r="S1493" s="68"/>
      <c r="T1493" s="68"/>
      <c r="U1493" s="68"/>
      <c r="V1493" s="68"/>
      <c r="W1493" s="68"/>
      <c r="X1493" s="68"/>
      <c r="Y1493" s="68"/>
      <c r="Z1493" s="68"/>
      <c r="AA1493" s="68"/>
    </row>
    <row r="1494" ht="26.25" customHeight="1">
      <c r="A1494" s="68"/>
      <c r="B1494" s="68"/>
      <c r="C1494" s="68"/>
      <c r="D1494" s="71"/>
      <c r="E1494" s="71"/>
      <c r="F1494" s="71"/>
      <c r="G1494" s="65"/>
      <c r="H1494" s="74"/>
      <c r="I1494" s="67" t="str">
        <f>IFERROR(__xludf.DUMMYFUNCTION("if($H1494="""", """", AVERAGE(split($H1494, "";"")))"),"")</f>
        <v/>
      </c>
      <c r="J1494" s="67" t="str">
        <f>IFERROR(__xludf.DUMMYFUNCTION("if(H1494="""", """", SUM(split(H1494, "";"")))"),"")</f>
        <v/>
      </c>
      <c r="K1494" s="68"/>
      <c r="L1494" s="68"/>
      <c r="M1494" s="68"/>
      <c r="N1494" s="68"/>
      <c r="O1494" s="68"/>
      <c r="P1494" s="68"/>
      <c r="Q1494" s="68"/>
      <c r="R1494" s="68"/>
      <c r="S1494" s="68"/>
      <c r="T1494" s="68"/>
      <c r="U1494" s="68"/>
      <c r="V1494" s="68"/>
      <c r="W1494" s="68"/>
      <c r="X1494" s="68"/>
      <c r="Y1494" s="68"/>
      <c r="Z1494" s="68"/>
      <c r="AA1494" s="68"/>
    </row>
    <row r="1495" ht="26.25" customHeight="1">
      <c r="A1495" s="68"/>
      <c r="B1495" s="68"/>
      <c r="C1495" s="68"/>
      <c r="D1495" s="71"/>
      <c r="E1495" s="71"/>
      <c r="F1495" s="71"/>
      <c r="G1495" s="65"/>
      <c r="H1495" s="74"/>
      <c r="I1495" s="67" t="str">
        <f>IFERROR(__xludf.DUMMYFUNCTION("if($H1495="""", """", AVERAGE(split($H1495, "";"")))"),"")</f>
        <v/>
      </c>
      <c r="J1495" s="67" t="str">
        <f>IFERROR(__xludf.DUMMYFUNCTION("if(H1495="""", """", SUM(split(H1495, "";"")))"),"")</f>
        <v/>
      </c>
      <c r="K1495" s="68"/>
      <c r="L1495" s="68"/>
      <c r="M1495" s="68"/>
      <c r="N1495" s="68"/>
      <c r="O1495" s="68"/>
      <c r="P1495" s="68"/>
      <c r="Q1495" s="68"/>
      <c r="R1495" s="68"/>
      <c r="S1495" s="68"/>
      <c r="T1495" s="68"/>
      <c r="U1495" s="68"/>
      <c r="V1495" s="68"/>
      <c r="W1495" s="68"/>
      <c r="X1495" s="68"/>
      <c r="Y1495" s="68"/>
      <c r="Z1495" s="68"/>
      <c r="AA1495" s="68"/>
    </row>
    <row r="1496" ht="26.25" customHeight="1">
      <c r="A1496" s="68"/>
      <c r="B1496" s="68"/>
      <c r="C1496" s="68"/>
      <c r="D1496" s="71"/>
      <c r="E1496" s="71"/>
      <c r="F1496" s="71"/>
      <c r="G1496" s="65"/>
      <c r="H1496" s="74"/>
      <c r="I1496" s="67" t="str">
        <f>IFERROR(__xludf.DUMMYFUNCTION("if($H1496="""", """", AVERAGE(split($H1496, "";"")))"),"")</f>
        <v/>
      </c>
      <c r="J1496" s="67" t="str">
        <f>IFERROR(__xludf.DUMMYFUNCTION("if(H1496="""", """", SUM(split(H1496, "";"")))"),"")</f>
        <v/>
      </c>
      <c r="K1496" s="68"/>
      <c r="L1496" s="68"/>
      <c r="M1496" s="68"/>
      <c r="N1496" s="68"/>
      <c r="O1496" s="68"/>
      <c r="P1496" s="68"/>
      <c r="Q1496" s="68"/>
      <c r="R1496" s="68"/>
      <c r="S1496" s="68"/>
      <c r="T1496" s="68"/>
      <c r="U1496" s="68"/>
      <c r="V1496" s="68"/>
      <c r="W1496" s="68"/>
      <c r="X1496" s="68"/>
      <c r="Y1496" s="68"/>
      <c r="Z1496" s="68"/>
      <c r="AA1496" s="68"/>
    </row>
    <row r="1497" ht="26.25" customHeight="1">
      <c r="A1497" s="68"/>
      <c r="B1497" s="68"/>
      <c r="C1497" s="68"/>
      <c r="D1497" s="71"/>
      <c r="E1497" s="71"/>
      <c r="F1497" s="71"/>
      <c r="G1497" s="65"/>
      <c r="H1497" s="74"/>
      <c r="I1497" s="67" t="str">
        <f>IFERROR(__xludf.DUMMYFUNCTION("if($H1497="""", """", AVERAGE(split($H1497, "";"")))"),"")</f>
        <v/>
      </c>
      <c r="J1497" s="67" t="str">
        <f>IFERROR(__xludf.DUMMYFUNCTION("if(H1497="""", """", SUM(split(H1497, "";"")))"),"")</f>
        <v/>
      </c>
      <c r="K1497" s="68"/>
      <c r="L1497" s="68"/>
      <c r="M1497" s="68"/>
      <c r="N1497" s="68"/>
      <c r="O1497" s="68"/>
      <c r="P1497" s="68"/>
      <c r="Q1497" s="68"/>
      <c r="R1497" s="68"/>
      <c r="S1497" s="68"/>
      <c r="T1497" s="68"/>
      <c r="U1497" s="68"/>
      <c r="V1497" s="68"/>
      <c r="W1497" s="68"/>
      <c r="X1497" s="68"/>
      <c r="Y1497" s="68"/>
      <c r="Z1497" s="68"/>
      <c r="AA1497" s="68"/>
    </row>
    <row r="1498" ht="26.25" customHeight="1">
      <c r="A1498" s="68"/>
      <c r="B1498" s="68"/>
      <c r="C1498" s="68"/>
      <c r="D1498" s="71"/>
      <c r="E1498" s="71"/>
      <c r="F1498" s="71"/>
      <c r="G1498" s="65"/>
      <c r="H1498" s="74"/>
      <c r="I1498" s="67" t="str">
        <f>IFERROR(__xludf.DUMMYFUNCTION("if($H1498="""", """", AVERAGE(split($H1498, "";"")))"),"")</f>
        <v/>
      </c>
      <c r="J1498" s="67" t="str">
        <f>IFERROR(__xludf.DUMMYFUNCTION("if(H1498="""", """", SUM(split(H1498, "";"")))"),"")</f>
        <v/>
      </c>
      <c r="K1498" s="68"/>
      <c r="L1498" s="68"/>
      <c r="M1498" s="68"/>
      <c r="N1498" s="68"/>
      <c r="O1498" s="68"/>
      <c r="P1498" s="68"/>
      <c r="Q1498" s="68"/>
      <c r="R1498" s="68"/>
      <c r="S1498" s="68"/>
      <c r="T1498" s="68"/>
      <c r="U1498" s="68"/>
      <c r="V1498" s="68"/>
      <c r="W1498" s="68"/>
      <c r="X1498" s="68"/>
      <c r="Y1498" s="68"/>
      <c r="Z1498" s="68"/>
      <c r="AA1498" s="68"/>
    </row>
    <row r="1499" ht="26.25" customHeight="1">
      <c r="A1499" s="68"/>
      <c r="B1499" s="68"/>
      <c r="C1499" s="68"/>
      <c r="D1499" s="71"/>
      <c r="E1499" s="71"/>
      <c r="F1499" s="71"/>
      <c r="G1499" s="65"/>
      <c r="H1499" s="74"/>
      <c r="I1499" s="67" t="str">
        <f>IFERROR(__xludf.DUMMYFUNCTION("if($H1499="""", """", AVERAGE(split($H1499, "";"")))"),"")</f>
        <v/>
      </c>
      <c r="J1499" s="67" t="str">
        <f>IFERROR(__xludf.DUMMYFUNCTION("if(H1499="""", """", SUM(split(H1499, "";"")))"),"")</f>
        <v/>
      </c>
      <c r="K1499" s="68"/>
      <c r="L1499" s="68"/>
      <c r="M1499" s="68"/>
      <c r="N1499" s="68"/>
      <c r="O1499" s="68"/>
      <c r="P1499" s="68"/>
      <c r="Q1499" s="68"/>
      <c r="R1499" s="68"/>
      <c r="S1499" s="68"/>
      <c r="T1499" s="68"/>
      <c r="U1499" s="68"/>
      <c r="V1499" s="68"/>
      <c r="W1499" s="68"/>
      <c r="X1499" s="68"/>
      <c r="Y1499" s="68"/>
      <c r="Z1499" s="68"/>
      <c r="AA1499" s="68"/>
    </row>
    <row r="1500" ht="26.25" customHeight="1">
      <c r="A1500" s="68"/>
      <c r="B1500" s="68"/>
      <c r="C1500" s="68"/>
      <c r="D1500" s="71"/>
      <c r="E1500" s="71"/>
      <c r="F1500" s="71"/>
      <c r="G1500" s="65"/>
      <c r="H1500" s="74"/>
      <c r="I1500" s="67" t="str">
        <f>IFERROR(__xludf.DUMMYFUNCTION("if($H1500="""", """", AVERAGE(split($H1500, "";"")))"),"")</f>
        <v/>
      </c>
      <c r="J1500" s="67" t="str">
        <f>IFERROR(__xludf.DUMMYFUNCTION("if(H1500="""", """", SUM(split(H1500, "";"")))"),"")</f>
        <v/>
      </c>
      <c r="K1500" s="68"/>
      <c r="L1500" s="68"/>
      <c r="M1500" s="68"/>
      <c r="N1500" s="68"/>
      <c r="O1500" s="68"/>
      <c r="P1500" s="68"/>
      <c r="Q1500" s="68"/>
      <c r="R1500" s="68"/>
      <c r="S1500" s="68"/>
      <c r="T1500" s="68"/>
      <c r="U1500" s="68"/>
      <c r="V1500" s="68"/>
      <c r="W1500" s="68"/>
      <c r="X1500" s="68"/>
      <c r="Y1500" s="68"/>
      <c r="Z1500" s="68"/>
      <c r="AA1500" s="68"/>
    </row>
    <row r="1501" ht="26.25" customHeight="1">
      <c r="A1501" s="68"/>
      <c r="B1501" s="68"/>
      <c r="C1501" s="68"/>
      <c r="D1501" s="71"/>
      <c r="E1501" s="71"/>
      <c r="F1501" s="71"/>
      <c r="G1501" s="65"/>
      <c r="H1501" s="74"/>
      <c r="I1501" s="67" t="str">
        <f>IFERROR(__xludf.DUMMYFUNCTION("if($H1501="""", """", AVERAGE(split($H1501, "";"")))"),"")</f>
        <v/>
      </c>
      <c r="J1501" s="67" t="str">
        <f>IFERROR(__xludf.DUMMYFUNCTION("if(H1501="""", """", SUM(split(H1501, "";"")))"),"")</f>
        <v/>
      </c>
      <c r="K1501" s="68"/>
      <c r="L1501" s="68"/>
      <c r="M1501" s="68"/>
      <c r="N1501" s="68"/>
      <c r="O1501" s="68"/>
      <c r="P1501" s="68"/>
      <c r="Q1501" s="68"/>
      <c r="R1501" s="68"/>
      <c r="S1501" s="68"/>
      <c r="T1501" s="68"/>
      <c r="U1501" s="68"/>
      <c r="V1501" s="68"/>
      <c r="W1501" s="68"/>
      <c r="X1501" s="68"/>
      <c r="Y1501" s="68"/>
      <c r="Z1501" s="68"/>
      <c r="AA1501" s="68"/>
    </row>
    <row r="1502" ht="26.25" customHeight="1">
      <c r="A1502" s="68"/>
      <c r="B1502" s="68"/>
      <c r="C1502" s="68"/>
      <c r="D1502" s="71"/>
      <c r="E1502" s="71"/>
      <c r="F1502" s="71"/>
      <c r="G1502" s="65"/>
      <c r="H1502" s="74"/>
      <c r="I1502" s="67" t="str">
        <f>IFERROR(__xludf.DUMMYFUNCTION("if($H1502="""", """", AVERAGE(split($H1502, "";"")))"),"")</f>
        <v/>
      </c>
      <c r="J1502" s="67" t="str">
        <f>IFERROR(__xludf.DUMMYFUNCTION("if(H1502="""", """", SUM(split(H1502, "";"")))"),"")</f>
        <v/>
      </c>
      <c r="K1502" s="68"/>
      <c r="L1502" s="68"/>
      <c r="M1502" s="68"/>
      <c r="N1502" s="68"/>
      <c r="O1502" s="68"/>
      <c r="P1502" s="68"/>
      <c r="Q1502" s="68"/>
      <c r="R1502" s="68"/>
      <c r="S1502" s="68"/>
      <c r="T1502" s="68"/>
      <c r="U1502" s="68"/>
      <c r="V1502" s="68"/>
      <c r="W1502" s="68"/>
      <c r="X1502" s="68"/>
      <c r="Y1502" s="68"/>
      <c r="Z1502" s="68"/>
      <c r="AA1502" s="68"/>
    </row>
    <row r="1503" ht="26.25" customHeight="1">
      <c r="A1503" s="68"/>
      <c r="B1503" s="68"/>
      <c r="C1503" s="68"/>
      <c r="D1503" s="71"/>
      <c r="E1503" s="71"/>
      <c r="F1503" s="71"/>
      <c r="G1503" s="65"/>
      <c r="H1503" s="74"/>
      <c r="I1503" s="67" t="str">
        <f>IFERROR(__xludf.DUMMYFUNCTION("if($H1503="""", """", AVERAGE(split($H1503, "";"")))"),"")</f>
        <v/>
      </c>
      <c r="J1503" s="67" t="str">
        <f>IFERROR(__xludf.DUMMYFUNCTION("if(H1503="""", """", SUM(split(H1503, "";"")))"),"")</f>
        <v/>
      </c>
      <c r="K1503" s="68"/>
      <c r="L1503" s="68"/>
      <c r="M1503" s="68"/>
      <c r="N1503" s="68"/>
      <c r="O1503" s="68"/>
      <c r="P1503" s="68"/>
      <c r="Q1503" s="68"/>
      <c r="R1503" s="68"/>
      <c r="S1503" s="68"/>
      <c r="T1503" s="68"/>
      <c r="U1503" s="68"/>
      <c r="V1503" s="68"/>
      <c r="W1503" s="68"/>
      <c r="X1503" s="68"/>
      <c r="Y1503" s="68"/>
      <c r="Z1503" s="68"/>
      <c r="AA1503" s="68"/>
    </row>
    <row r="1504" ht="26.25" customHeight="1">
      <c r="A1504" s="68"/>
      <c r="B1504" s="68"/>
      <c r="C1504" s="68"/>
      <c r="D1504" s="71"/>
      <c r="E1504" s="71"/>
      <c r="F1504" s="71"/>
      <c r="G1504" s="65"/>
      <c r="H1504" s="74"/>
      <c r="I1504" s="67" t="str">
        <f>IFERROR(__xludf.DUMMYFUNCTION("if($H1504="""", """", AVERAGE(split($H1504, "";"")))"),"")</f>
        <v/>
      </c>
      <c r="J1504" s="67" t="str">
        <f>IFERROR(__xludf.DUMMYFUNCTION("if(H1504="""", """", SUM(split(H1504, "";"")))"),"")</f>
        <v/>
      </c>
      <c r="K1504" s="68"/>
      <c r="L1504" s="68"/>
      <c r="M1504" s="68"/>
      <c r="N1504" s="68"/>
      <c r="O1504" s="68"/>
      <c r="P1504" s="68"/>
      <c r="Q1504" s="68"/>
      <c r="R1504" s="68"/>
      <c r="S1504" s="68"/>
      <c r="T1504" s="68"/>
      <c r="U1504" s="68"/>
      <c r="V1504" s="68"/>
      <c r="W1504" s="68"/>
      <c r="X1504" s="68"/>
      <c r="Y1504" s="68"/>
      <c r="Z1504" s="68"/>
      <c r="AA1504" s="68"/>
    </row>
    <row r="1505" ht="26.25" customHeight="1">
      <c r="A1505" s="68"/>
      <c r="B1505" s="68"/>
      <c r="C1505" s="68"/>
      <c r="D1505" s="71"/>
      <c r="E1505" s="71"/>
      <c r="F1505" s="71"/>
      <c r="G1505" s="65"/>
      <c r="H1505" s="74"/>
      <c r="I1505" s="67" t="str">
        <f>IFERROR(__xludf.DUMMYFUNCTION("if($H1505="""", """", AVERAGE(split($H1505, "";"")))"),"")</f>
        <v/>
      </c>
      <c r="J1505" s="67" t="str">
        <f>IFERROR(__xludf.DUMMYFUNCTION("if(H1505="""", """", SUM(split(H1505, "";"")))"),"")</f>
        <v/>
      </c>
      <c r="K1505" s="68"/>
      <c r="L1505" s="68"/>
      <c r="M1505" s="68"/>
      <c r="N1505" s="68"/>
      <c r="O1505" s="68"/>
      <c r="P1505" s="68"/>
      <c r="Q1505" s="68"/>
      <c r="R1505" s="68"/>
      <c r="S1505" s="68"/>
      <c r="T1505" s="68"/>
      <c r="U1505" s="68"/>
      <c r="V1505" s="68"/>
      <c r="W1505" s="68"/>
      <c r="X1505" s="68"/>
      <c r="Y1505" s="68"/>
      <c r="Z1505" s="68"/>
      <c r="AA1505" s="68"/>
    </row>
    <row r="1506" ht="26.25" customHeight="1">
      <c r="A1506" s="68"/>
      <c r="B1506" s="68"/>
      <c r="C1506" s="68"/>
      <c r="D1506" s="71"/>
      <c r="E1506" s="71"/>
      <c r="F1506" s="71"/>
      <c r="G1506" s="65"/>
      <c r="H1506" s="74"/>
      <c r="I1506" s="67" t="str">
        <f>IFERROR(__xludf.DUMMYFUNCTION("if($H1506="""", """", AVERAGE(split($H1506, "";"")))"),"")</f>
        <v/>
      </c>
      <c r="J1506" s="67" t="str">
        <f>IFERROR(__xludf.DUMMYFUNCTION("if(H1506="""", """", SUM(split(H1506, "";"")))"),"")</f>
        <v/>
      </c>
      <c r="K1506" s="68"/>
      <c r="L1506" s="68"/>
      <c r="M1506" s="68"/>
      <c r="N1506" s="68"/>
      <c r="O1506" s="68"/>
      <c r="P1506" s="68"/>
      <c r="Q1506" s="68"/>
      <c r="R1506" s="68"/>
      <c r="S1506" s="68"/>
      <c r="T1506" s="68"/>
      <c r="U1506" s="68"/>
      <c r="V1506" s="68"/>
      <c r="W1506" s="68"/>
      <c r="X1506" s="68"/>
      <c r="Y1506" s="68"/>
      <c r="Z1506" s="68"/>
      <c r="AA1506" s="68"/>
    </row>
    <row r="1507" ht="26.25" customHeight="1">
      <c r="A1507" s="68"/>
      <c r="B1507" s="68"/>
      <c r="C1507" s="68"/>
      <c r="D1507" s="71"/>
      <c r="E1507" s="71"/>
      <c r="F1507" s="71"/>
      <c r="G1507" s="65"/>
      <c r="H1507" s="74"/>
      <c r="I1507" s="67" t="str">
        <f>IFERROR(__xludf.DUMMYFUNCTION("if($H1507="""", """", AVERAGE(split($H1507, "";"")))"),"")</f>
        <v/>
      </c>
      <c r="J1507" s="67" t="str">
        <f>IFERROR(__xludf.DUMMYFUNCTION("if(H1507="""", """", SUM(split(H1507, "";"")))"),"")</f>
        <v/>
      </c>
      <c r="K1507" s="68"/>
      <c r="L1507" s="68"/>
      <c r="M1507" s="68"/>
      <c r="N1507" s="68"/>
      <c r="O1507" s="68"/>
      <c r="P1507" s="68"/>
      <c r="Q1507" s="68"/>
      <c r="R1507" s="68"/>
      <c r="S1507" s="68"/>
      <c r="T1507" s="68"/>
      <c r="U1507" s="68"/>
      <c r="V1507" s="68"/>
      <c r="W1507" s="68"/>
      <c r="X1507" s="68"/>
      <c r="Y1507" s="68"/>
      <c r="Z1507" s="68"/>
      <c r="AA1507" s="68"/>
    </row>
    <row r="1508" ht="26.25" customHeight="1">
      <c r="A1508" s="68"/>
      <c r="B1508" s="68"/>
      <c r="C1508" s="68"/>
      <c r="D1508" s="71"/>
      <c r="E1508" s="71"/>
      <c r="F1508" s="71"/>
      <c r="G1508" s="65"/>
      <c r="H1508" s="74"/>
      <c r="I1508" s="67" t="str">
        <f>IFERROR(__xludf.DUMMYFUNCTION("if($H1508="""", """", AVERAGE(split($H1508, "";"")))"),"")</f>
        <v/>
      </c>
      <c r="J1508" s="67" t="str">
        <f>IFERROR(__xludf.DUMMYFUNCTION("if(H1508="""", """", SUM(split(H1508, "";"")))"),"")</f>
        <v/>
      </c>
      <c r="K1508" s="68"/>
      <c r="L1508" s="68"/>
      <c r="M1508" s="68"/>
      <c r="N1508" s="68"/>
      <c r="O1508" s="68"/>
      <c r="P1508" s="68"/>
      <c r="Q1508" s="68"/>
      <c r="R1508" s="68"/>
      <c r="S1508" s="68"/>
      <c r="T1508" s="68"/>
      <c r="U1508" s="68"/>
      <c r="V1508" s="68"/>
      <c r="W1508" s="68"/>
      <c r="X1508" s="68"/>
      <c r="Y1508" s="68"/>
      <c r="Z1508" s="68"/>
      <c r="AA1508" s="68"/>
    </row>
    <row r="1509" ht="26.25" customHeight="1">
      <c r="A1509" s="68"/>
      <c r="B1509" s="68"/>
      <c r="C1509" s="68"/>
      <c r="D1509" s="71"/>
      <c r="E1509" s="71"/>
      <c r="F1509" s="71"/>
      <c r="G1509" s="65"/>
      <c r="H1509" s="74"/>
      <c r="I1509" s="67" t="str">
        <f>IFERROR(__xludf.DUMMYFUNCTION("if($H1509="""", """", AVERAGE(split($H1509, "";"")))"),"")</f>
        <v/>
      </c>
      <c r="J1509" s="67" t="str">
        <f>IFERROR(__xludf.DUMMYFUNCTION("if(H1509="""", """", SUM(split(H1509, "";"")))"),"")</f>
        <v/>
      </c>
      <c r="K1509" s="68"/>
      <c r="L1509" s="68"/>
      <c r="M1509" s="68"/>
      <c r="N1509" s="68"/>
      <c r="O1509" s="68"/>
      <c r="P1509" s="68"/>
      <c r="Q1509" s="68"/>
      <c r="R1509" s="68"/>
      <c r="S1509" s="68"/>
      <c r="T1509" s="68"/>
      <c r="U1509" s="68"/>
      <c r="V1509" s="68"/>
      <c r="W1509" s="68"/>
      <c r="X1509" s="68"/>
      <c r="Y1509" s="68"/>
      <c r="Z1509" s="68"/>
      <c r="AA1509" s="68"/>
    </row>
    <row r="1510" ht="26.25" customHeight="1">
      <c r="A1510" s="68"/>
      <c r="B1510" s="68"/>
      <c r="C1510" s="68"/>
      <c r="D1510" s="71"/>
      <c r="E1510" s="71"/>
      <c r="F1510" s="71"/>
      <c r="G1510" s="65"/>
      <c r="H1510" s="74"/>
      <c r="I1510" s="67" t="str">
        <f>IFERROR(__xludf.DUMMYFUNCTION("if($H1510="""", """", AVERAGE(split($H1510, "";"")))"),"")</f>
        <v/>
      </c>
      <c r="J1510" s="67" t="str">
        <f>IFERROR(__xludf.DUMMYFUNCTION("if(H1510="""", """", SUM(split(H1510, "";"")))"),"")</f>
        <v/>
      </c>
      <c r="K1510" s="68"/>
      <c r="L1510" s="68"/>
      <c r="M1510" s="68"/>
      <c r="N1510" s="68"/>
      <c r="O1510" s="68"/>
      <c r="P1510" s="68"/>
      <c r="Q1510" s="68"/>
      <c r="R1510" s="68"/>
      <c r="S1510" s="68"/>
      <c r="T1510" s="68"/>
      <c r="U1510" s="68"/>
      <c r="V1510" s="68"/>
      <c r="W1510" s="68"/>
      <c r="X1510" s="68"/>
      <c r="Y1510" s="68"/>
      <c r="Z1510" s="68"/>
      <c r="AA1510" s="68"/>
    </row>
    <row r="1511" ht="26.25" customHeight="1">
      <c r="A1511" s="68"/>
      <c r="B1511" s="68"/>
      <c r="C1511" s="68"/>
      <c r="D1511" s="71"/>
      <c r="E1511" s="71"/>
      <c r="F1511" s="71"/>
      <c r="G1511" s="65"/>
      <c r="H1511" s="74"/>
      <c r="I1511" s="67" t="str">
        <f>IFERROR(__xludf.DUMMYFUNCTION("if($H1511="""", """", AVERAGE(split($H1511, "";"")))"),"")</f>
        <v/>
      </c>
      <c r="J1511" s="67" t="str">
        <f>IFERROR(__xludf.DUMMYFUNCTION("if(H1511="""", """", SUM(split(H1511, "";"")))"),"")</f>
        <v/>
      </c>
      <c r="K1511" s="68"/>
      <c r="L1511" s="68"/>
      <c r="M1511" s="68"/>
      <c r="N1511" s="68"/>
      <c r="O1511" s="68"/>
      <c r="P1511" s="68"/>
      <c r="Q1511" s="68"/>
      <c r="R1511" s="68"/>
      <c r="S1511" s="68"/>
      <c r="T1511" s="68"/>
      <c r="U1511" s="68"/>
      <c r="V1511" s="68"/>
      <c r="W1511" s="68"/>
      <c r="X1511" s="68"/>
      <c r="Y1511" s="68"/>
      <c r="Z1511" s="68"/>
      <c r="AA1511" s="68"/>
    </row>
    <row r="1512" ht="26.25" customHeight="1">
      <c r="A1512" s="68"/>
      <c r="B1512" s="68"/>
      <c r="C1512" s="68"/>
      <c r="D1512" s="71"/>
      <c r="E1512" s="71"/>
      <c r="F1512" s="71"/>
      <c r="G1512" s="65"/>
      <c r="H1512" s="74"/>
      <c r="I1512" s="67" t="str">
        <f>IFERROR(__xludf.DUMMYFUNCTION("if($H1512="""", """", AVERAGE(split($H1512, "";"")))"),"")</f>
        <v/>
      </c>
      <c r="J1512" s="67" t="str">
        <f>IFERROR(__xludf.DUMMYFUNCTION("if(H1512="""", """", SUM(split(H1512, "";"")))"),"")</f>
        <v/>
      </c>
      <c r="K1512" s="68"/>
      <c r="L1512" s="68"/>
      <c r="M1512" s="68"/>
      <c r="N1512" s="68"/>
      <c r="O1512" s="68"/>
      <c r="P1512" s="68"/>
      <c r="Q1512" s="68"/>
      <c r="R1512" s="68"/>
      <c r="S1512" s="68"/>
      <c r="T1512" s="68"/>
      <c r="U1512" s="68"/>
      <c r="V1512" s="68"/>
      <c r="W1512" s="68"/>
      <c r="X1512" s="68"/>
      <c r="Y1512" s="68"/>
      <c r="Z1512" s="68"/>
      <c r="AA1512" s="68"/>
    </row>
    <row r="1513" ht="26.25" customHeight="1">
      <c r="A1513" s="68"/>
      <c r="B1513" s="68"/>
      <c r="C1513" s="68"/>
      <c r="D1513" s="71"/>
      <c r="E1513" s="71"/>
      <c r="F1513" s="71"/>
      <c r="G1513" s="65"/>
      <c r="H1513" s="74"/>
      <c r="I1513" s="67" t="str">
        <f>IFERROR(__xludf.DUMMYFUNCTION("if($H1513="""", """", AVERAGE(split($H1513, "";"")))"),"")</f>
        <v/>
      </c>
      <c r="J1513" s="67" t="str">
        <f>IFERROR(__xludf.DUMMYFUNCTION("if(H1513="""", """", SUM(split(H1513, "";"")))"),"")</f>
        <v/>
      </c>
      <c r="K1513" s="68"/>
      <c r="L1513" s="68"/>
      <c r="M1513" s="68"/>
      <c r="N1513" s="68"/>
      <c r="O1513" s="68"/>
      <c r="P1513" s="68"/>
      <c r="Q1513" s="68"/>
      <c r="R1513" s="68"/>
      <c r="S1513" s="68"/>
      <c r="T1513" s="68"/>
      <c r="U1513" s="68"/>
      <c r="V1513" s="68"/>
      <c r="W1513" s="68"/>
      <c r="X1513" s="68"/>
      <c r="Y1513" s="68"/>
      <c r="Z1513" s="68"/>
      <c r="AA1513" s="68"/>
    </row>
    <row r="1514" ht="26.25" customHeight="1">
      <c r="A1514" s="68"/>
      <c r="B1514" s="68"/>
      <c r="C1514" s="68"/>
      <c r="D1514" s="71"/>
      <c r="E1514" s="71"/>
      <c r="F1514" s="71"/>
      <c r="G1514" s="65"/>
      <c r="H1514" s="74"/>
      <c r="I1514" s="67" t="str">
        <f>IFERROR(__xludf.DUMMYFUNCTION("if($H1514="""", """", AVERAGE(split($H1514, "";"")))"),"")</f>
        <v/>
      </c>
      <c r="J1514" s="67" t="str">
        <f>IFERROR(__xludf.DUMMYFUNCTION("if(H1514="""", """", SUM(split(H1514, "";"")))"),"")</f>
        <v/>
      </c>
      <c r="K1514" s="68"/>
      <c r="L1514" s="68"/>
      <c r="M1514" s="68"/>
      <c r="N1514" s="68"/>
      <c r="O1514" s="68"/>
      <c r="P1514" s="68"/>
      <c r="Q1514" s="68"/>
      <c r="R1514" s="68"/>
      <c r="S1514" s="68"/>
      <c r="T1514" s="68"/>
      <c r="U1514" s="68"/>
      <c r="V1514" s="68"/>
      <c r="W1514" s="68"/>
      <c r="X1514" s="68"/>
      <c r="Y1514" s="68"/>
      <c r="Z1514" s="68"/>
      <c r="AA1514" s="68"/>
    </row>
    <row r="1515" ht="26.25" customHeight="1">
      <c r="A1515" s="68"/>
      <c r="B1515" s="68"/>
      <c r="C1515" s="68"/>
      <c r="D1515" s="71"/>
      <c r="E1515" s="71"/>
      <c r="F1515" s="71"/>
      <c r="G1515" s="65"/>
      <c r="H1515" s="74"/>
      <c r="I1515" s="67" t="str">
        <f>IFERROR(__xludf.DUMMYFUNCTION("if($H1515="""", """", AVERAGE(split($H1515, "";"")))"),"")</f>
        <v/>
      </c>
      <c r="J1515" s="67" t="str">
        <f>IFERROR(__xludf.DUMMYFUNCTION("if(H1515="""", """", SUM(split(H1515, "";"")))"),"")</f>
        <v/>
      </c>
      <c r="K1515" s="68"/>
      <c r="L1515" s="68"/>
      <c r="M1515" s="68"/>
      <c r="N1515" s="68"/>
      <c r="O1515" s="68"/>
      <c r="P1515" s="68"/>
      <c r="Q1515" s="68"/>
      <c r="R1515" s="68"/>
      <c r="S1515" s="68"/>
      <c r="T1515" s="68"/>
      <c r="U1515" s="68"/>
      <c r="V1515" s="68"/>
      <c r="W1515" s="68"/>
      <c r="X1515" s="68"/>
      <c r="Y1515" s="68"/>
      <c r="Z1515" s="68"/>
      <c r="AA1515" s="68"/>
    </row>
    <row r="1516" ht="26.25" customHeight="1">
      <c r="A1516" s="68"/>
      <c r="B1516" s="68"/>
      <c r="C1516" s="68"/>
      <c r="D1516" s="71"/>
      <c r="E1516" s="71"/>
      <c r="F1516" s="71"/>
      <c r="G1516" s="65"/>
      <c r="H1516" s="74"/>
      <c r="I1516" s="67" t="str">
        <f>IFERROR(__xludf.DUMMYFUNCTION("if($H1516="""", """", AVERAGE(split($H1516, "";"")))"),"")</f>
        <v/>
      </c>
      <c r="J1516" s="67" t="str">
        <f>IFERROR(__xludf.DUMMYFUNCTION("if(H1516="""", """", SUM(split(H1516, "";"")))"),"")</f>
        <v/>
      </c>
      <c r="K1516" s="68"/>
      <c r="L1516" s="68"/>
      <c r="M1516" s="68"/>
      <c r="N1516" s="68"/>
      <c r="O1516" s="68"/>
      <c r="P1516" s="68"/>
      <c r="Q1516" s="68"/>
      <c r="R1516" s="68"/>
      <c r="S1516" s="68"/>
      <c r="T1516" s="68"/>
      <c r="U1516" s="68"/>
      <c r="V1516" s="68"/>
      <c r="W1516" s="68"/>
      <c r="X1516" s="68"/>
      <c r="Y1516" s="68"/>
      <c r="Z1516" s="68"/>
      <c r="AA1516" s="68"/>
    </row>
    <row r="1517" ht="26.25" customHeight="1">
      <c r="A1517" s="68"/>
      <c r="B1517" s="68"/>
      <c r="C1517" s="68"/>
      <c r="D1517" s="71"/>
      <c r="E1517" s="71"/>
      <c r="F1517" s="71"/>
      <c r="G1517" s="65"/>
      <c r="H1517" s="74"/>
      <c r="I1517" s="67" t="str">
        <f>IFERROR(__xludf.DUMMYFUNCTION("if($H1517="""", """", AVERAGE(split($H1517, "";"")))"),"")</f>
        <v/>
      </c>
      <c r="J1517" s="67" t="str">
        <f>IFERROR(__xludf.DUMMYFUNCTION("if(H1517="""", """", SUM(split(H1517, "";"")))"),"")</f>
        <v/>
      </c>
      <c r="K1517" s="68"/>
      <c r="L1517" s="68"/>
      <c r="M1517" s="68"/>
      <c r="N1517" s="68"/>
      <c r="O1517" s="68"/>
      <c r="P1517" s="68"/>
      <c r="Q1517" s="68"/>
      <c r="R1517" s="68"/>
      <c r="S1517" s="68"/>
      <c r="T1517" s="68"/>
      <c r="U1517" s="68"/>
      <c r="V1517" s="68"/>
      <c r="W1517" s="68"/>
      <c r="X1517" s="68"/>
      <c r="Y1517" s="68"/>
      <c r="Z1517" s="68"/>
      <c r="AA1517" s="68"/>
    </row>
    <row r="1518" ht="26.25" customHeight="1">
      <c r="A1518" s="68"/>
      <c r="B1518" s="68"/>
      <c r="C1518" s="68"/>
      <c r="D1518" s="71"/>
      <c r="E1518" s="71"/>
      <c r="F1518" s="71"/>
      <c r="G1518" s="65"/>
      <c r="H1518" s="74"/>
      <c r="I1518" s="67" t="str">
        <f>IFERROR(__xludf.DUMMYFUNCTION("if($H1518="""", """", AVERAGE(split($H1518, "";"")))"),"")</f>
        <v/>
      </c>
      <c r="J1518" s="67" t="str">
        <f>IFERROR(__xludf.DUMMYFUNCTION("if(H1518="""", """", SUM(split(H1518, "";"")))"),"")</f>
        <v/>
      </c>
      <c r="K1518" s="68"/>
      <c r="L1518" s="68"/>
      <c r="M1518" s="68"/>
      <c r="N1518" s="68"/>
      <c r="O1518" s="68"/>
      <c r="P1518" s="68"/>
      <c r="Q1518" s="68"/>
      <c r="R1518" s="68"/>
      <c r="S1518" s="68"/>
      <c r="T1518" s="68"/>
      <c r="U1518" s="68"/>
      <c r="V1518" s="68"/>
      <c r="W1518" s="68"/>
      <c r="X1518" s="68"/>
      <c r="Y1518" s="68"/>
      <c r="Z1518" s="68"/>
      <c r="AA1518" s="68"/>
    </row>
    <row r="1519" ht="26.25" customHeight="1">
      <c r="A1519" s="68"/>
      <c r="B1519" s="68"/>
      <c r="C1519" s="68"/>
      <c r="D1519" s="71"/>
      <c r="E1519" s="71"/>
      <c r="F1519" s="71"/>
      <c r="G1519" s="65"/>
      <c r="H1519" s="74"/>
      <c r="I1519" s="67" t="str">
        <f>IFERROR(__xludf.DUMMYFUNCTION("if($H1519="""", """", AVERAGE(split($H1519, "";"")))"),"")</f>
        <v/>
      </c>
      <c r="J1519" s="67" t="str">
        <f>IFERROR(__xludf.DUMMYFUNCTION("if(H1519="""", """", SUM(split(H1519, "";"")))"),"")</f>
        <v/>
      </c>
      <c r="K1519" s="68"/>
      <c r="L1519" s="68"/>
      <c r="M1519" s="68"/>
      <c r="N1519" s="68"/>
      <c r="O1519" s="68"/>
      <c r="P1519" s="68"/>
      <c r="Q1519" s="68"/>
      <c r="R1519" s="68"/>
      <c r="S1519" s="68"/>
      <c r="T1519" s="68"/>
      <c r="U1519" s="68"/>
      <c r="V1519" s="68"/>
      <c r="W1519" s="68"/>
      <c r="X1519" s="68"/>
      <c r="Y1519" s="68"/>
      <c r="Z1519" s="68"/>
      <c r="AA1519" s="68"/>
    </row>
    <row r="1520" ht="26.25" customHeight="1">
      <c r="A1520" s="68"/>
      <c r="B1520" s="68"/>
      <c r="C1520" s="68"/>
      <c r="D1520" s="71"/>
      <c r="E1520" s="71"/>
      <c r="F1520" s="71"/>
      <c r="G1520" s="65"/>
      <c r="H1520" s="74"/>
      <c r="I1520" s="67" t="str">
        <f>IFERROR(__xludf.DUMMYFUNCTION("if($H1520="""", """", AVERAGE(split($H1520, "";"")))"),"")</f>
        <v/>
      </c>
      <c r="J1520" s="67" t="str">
        <f>IFERROR(__xludf.DUMMYFUNCTION("if(H1520="""", """", SUM(split(H1520, "";"")))"),"")</f>
        <v/>
      </c>
      <c r="K1520" s="68"/>
      <c r="L1520" s="68"/>
      <c r="M1520" s="68"/>
      <c r="N1520" s="68"/>
      <c r="O1520" s="68"/>
      <c r="P1520" s="68"/>
      <c r="Q1520" s="68"/>
      <c r="R1520" s="68"/>
      <c r="S1520" s="68"/>
      <c r="T1520" s="68"/>
      <c r="U1520" s="68"/>
      <c r="V1520" s="68"/>
      <c r="W1520" s="68"/>
      <c r="X1520" s="68"/>
      <c r="Y1520" s="68"/>
      <c r="Z1520" s="68"/>
      <c r="AA1520" s="68"/>
    </row>
    <row r="1521" ht="26.25" customHeight="1">
      <c r="A1521" s="68"/>
      <c r="B1521" s="68"/>
      <c r="C1521" s="68"/>
      <c r="D1521" s="71"/>
      <c r="E1521" s="71"/>
      <c r="F1521" s="71"/>
      <c r="G1521" s="65"/>
      <c r="H1521" s="74"/>
      <c r="I1521" s="67" t="str">
        <f>IFERROR(__xludf.DUMMYFUNCTION("if($H1521="""", """", AVERAGE(split($H1521, "";"")))"),"")</f>
        <v/>
      </c>
      <c r="J1521" s="67" t="str">
        <f>IFERROR(__xludf.DUMMYFUNCTION("if(H1521="""", """", SUM(split(H1521, "";"")))"),"")</f>
        <v/>
      </c>
      <c r="K1521" s="68"/>
      <c r="L1521" s="68"/>
      <c r="M1521" s="68"/>
      <c r="N1521" s="68"/>
      <c r="O1521" s="68"/>
      <c r="P1521" s="68"/>
      <c r="Q1521" s="68"/>
      <c r="R1521" s="68"/>
      <c r="S1521" s="68"/>
      <c r="T1521" s="68"/>
      <c r="U1521" s="68"/>
      <c r="V1521" s="68"/>
      <c r="W1521" s="68"/>
      <c r="X1521" s="68"/>
      <c r="Y1521" s="68"/>
      <c r="Z1521" s="68"/>
      <c r="AA1521" s="68"/>
    </row>
    <row r="1522" ht="26.25" customHeight="1">
      <c r="A1522" s="68"/>
      <c r="B1522" s="68"/>
      <c r="C1522" s="68"/>
      <c r="D1522" s="71"/>
      <c r="E1522" s="71"/>
      <c r="F1522" s="71"/>
      <c r="G1522" s="65"/>
      <c r="H1522" s="74"/>
      <c r="I1522" s="67" t="str">
        <f>IFERROR(__xludf.DUMMYFUNCTION("if($H1522="""", """", AVERAGE(split($H1522, "";"")))"),"")</f>
        <v/>
      </c>
      <c r="J1522" s="67" t="str">
        <f>IFERROR(__xludf.DUMMYFUNCTION("if(H1522="""", """", SUM(split(H1522, "";"")))"),"")</f>
        <v/>
      </c>
      <c r="K1522" s="68"/>
      <c r="L1522" s="68"/>
      <c r="M1522" s="68"/>
      <c r="N1522" s="68"/>
      <c r="O1522" s="68"/>
      <c r="P1522" s="68"/>
      <c r="Q1522" s="68"/>
      <c r="R1522" s="68"/>
      <c r="S1522" s="68"/>
      <c r="T1522" s="68"/>
      <c r="U1522" s="68"/>
      <c r="V1522" s="68"/>
      <c r="W1522" s="68"/>
      <c r="X1522" s="68"/>
      <c r="Y1522" s="68"/>
      <c r="Z1522" s="68"/>
      <c r="AA1522" s="68"/>
    </row>
    <row r="1523" ht="26.25" customHeight="1">
      <c r="A1523" s="68"/>
      <c r="B1523" s="68"/>
      <c r="C1523" s="68"/>
      <c r="D1523" s="71"/>
      <c r="E1523" s="71"/>
      <c r="F1523" s="71"/>
      <c r="G1523" s="65"/>
      <c r="H1523" s="74"/>
      <c r="I1523" s="67" t="str">
        <f>IFERROR(__xludf.DUMMYFUNCTION("if($H1523="""", """", AVERAGE(split($H1523, "";"")))"),"")</f>
        <v/>
      </c>
      <c r="J1523" s="67" t="str">
        <f>IFERROR(__xludf.DUMMYFUNCTION("if(H1523="""", """", SUM(split(H1523, "";"")))"),"")</f>
        <v/>
      </c>
      <c r="K1523" s="68"/>
      <c r="L1523" s="68"/>
      <c r="M1523" s="68"/>
      <c r="N1523" s="68"/>
      <c r="O1523" s="68"/>
      <c r="P1523" s="68"/>
      <c r="Q1523" s="68"/>
      <c r="R1523" s="68"/>
      <c r="S1523" s="68"/>
      <c r="T1523" s="68"/>
      <c r="U1523" s="68"/>
      <c r="V1523" s="68"/>
      <c r="W1523" s="68"/>
      <c r="X1523" s="68"/>
      <c r="Y1523" s="68"/>
      <c r="Z1523" s="68"/>
      <c r="AA1523" s="68"/>
    </row>
    <row r="1524" ht="26.25" customHeight="1">
      <c r="A1524" s="68"/>
      <c r="B1524" s="68"/>
      <c r="C1524" s="68"/>
      <c r="D1524" s="71"/>
      <c r="E1524" s="71"/>
      <c r="F1524" s="71"/>
      <c r="G1524" s="65"/>
      <c r="H1524" s="74"/>
      <c r="I1524" s="67" t="str">
        <f>IFERROR(__xludf.DUMMYFUNCTION("if($H1524="""", """", AVERAGE(split($H1524, "";"")))"),"")</f>
        <v/>
      </c>
      <c r="J1524" s="67" t="str">
        <f>IFERROR(__xludf.DUMMYFUNCTION("if(H1524="""", """", SUM(split(H1524, "";"")))"),"")</f>
        <v/>
      </c>
      <c r="K1524" s="68"/>
      <c r="L1524" s="68"/>
      <c r="M1524" s="68"/>
      <c r="N1524" s="68"/>
      <c r="O1524" s="68"/>
      <c r="P1524" s="68"/>
      <c r="Q1524" s="68"/>
      <c r="R1524" s="68"/>
      <c r="S1524" s="68"/>
      <c r="T1524" s="68"/>
      <c r="U1524" s="68"/>
      <c r="V1524" s="68"/>
      <c r="W1524" s="68"/>
      <c r="X1524" s="68"/>
      <c r="Y1524" s="68"/>
      <c r="Z1524" s="68"/>
      <c r="AA1524" s="68"/>
    </row>
    <row r="1525" ht="26.25" customHeight="1">
      <c r="A1525" s="68"/>
      <c r="B1525" s="68"/>
      <c r="C1525" s="68"/>
      <c r="D1525" s="71"/>
      <c r="E1525" s="71"/>
      <c r="F1525" s="71"/>
      <c r="G1525" s="65"/>
      <c r="H1525" s="74"/>
      <c r="I1525" s="67" t="str">
        <f>IFERROR(__xludf.DUMMYFUNCTION("if($H1525="""", """", AVERAGE(split($H1525, "";"")))"),"")</f>
        <v/>
      </c>
      <c r="J1525" s="67" t="str">
        <f>IFERROR(__xludf.DUMMYFUNCTION("if(H1525="""", """", SUM(split(H1525, "";"")))"),"")</f>
        <v/>
      </c>
      <c r="K1525" s="68"/>
      <c r="L1525" s="68"/>
      <c r="M1525" s="68"/>
      <c r="N1525" s="68"/>
      <c r="O1525" s="68"/>
      <c r="P1525" s="68"/>
      <c r="Q1525" s="68"/>
      <c r="R1525" s="68"/>
      <c r="S1525" s="68"/>
      <c r="T1525" s="68"/>
      <c r="U1525" s="68"/>
      <c r="V1525" s="68"/>
      <c r="W1525" s="68"/>
      <c r="X1525" s="68"/>
      <c r="Y1525" s="68"/>
      <c r="Z1525" s="68"/>
      <c r="AA1525" s="68"/>
    </row>
    <row r="1526" ht="26.25" customHeight="1">
      <c r="A1526" s="68"/>
      <c r="B1526" s="68"/>
      <c r="C1526" s="68"/>
      <c r="D1526" s="71"/>
      <c r="E1526" s="71"/>
      <c r="F1526" s="71"/>
      <c r="G1526" s="65"/>
      <c r="H1526" s="74"/>
      <c r="I1526" s="67" t="str">
        <f>IFERROR(__xludf.DUMMYFUNCTION("if($H1526="""", """", AVERAGE(split($H1526, "";"")))"),"")</f>
        <v/>
      </c>
      <c r="J1526" s="67" t="str">
        <f>IFERROR(__xludf.DUMMYFUNCTION("if(H1526="""", """", SUM(split(H1526, "";"")))"),"")</f>
        <v/>
      </c>
      <c r="K1526" s="68"/>
      <c r="L1526" s="68"/>
      <c r="M1526" s="68"/>
      <c r="N1526" s="68"/>
      <c r="O1526" s="68"/>
      <c r="P1526" s="68"/>
      <c r="Q1526" s="68"/>
      <c r="R1526" s="68"/>
      <c r="S1526" s="68"/>
      <c r="T1526" s="68"/>
      <c r="U1526" s="68"/>
      <c r="V1526" s="68"/>
      <c r="W1526" s="68"/>
      <c r="X1526" s="68"/>
      <c r="Y1526" s="68"/>
      <c r="Z1526" s="68"/>
      <c r="AA1526" s="68"/>
    </row>
    <row r="1527" ht="26.25" customHeight="1">
      <c r="A1527" s="68"/>
      <c r="B1527" s="68"/>
      <c r="C1527" s="68"/>
      <c r="D1527" s="71"/>
      <c r="E1527" s="71"/>
      <c r="F1527" s="71"/>
      <c r="G1527" s="65"/>
      <c r="H1527" s="74"/>
      <c r="I1527" s="67" t="str">
        <f>IFERROR(__xludf.DUMMYFUNCTION("if($H1527="""", """", AVERAGE(split($H1527, "";"")))"),"")</f>
        <v/>
      </c>
      <c r="J1527" s="67" t="str">
        <f>IFERROR(__xludf.DUMMYFUNCTION("if(H1527="""", """", SUM(split(H1527, "";"")))"),"")</f>
        <v/>
      </c>
      <c r="K1527" s="68"/>
      <c r="L1527" s="68"/>
      <c r="M1527" s="68"/>
      <c r="N1527" s="68"/>
      <c r="O1527" s="68"/>
      <c r="P1527" s="68"/>
      <c r="Q1527" s="68"/>
      <c r="R1527" s="68"/>
      <c r="S1527" s="68"/>
      <c r="T1527" s="68"/>
      <c r="U1527" s="68"/>
      <c r="V1527" s="68"/>
      <c r="W1527" s="68"/>
      <c r="X1527" s="68"/>
      <c r="Y1527" s="68"/>
      <c r="Z1527" s="68"/>
      <c r="AA1527" s="68"/>
    </row>
    <row r="1528" ht="26.25" customHeight="1">
      <c r="A1528" s="68"/>
      <c r="B1528" s="68"/>
      <c r="C1528" s="68"/>
      <c r="D1528" s="71"/>
      <c r="E1528" s="71"/>
      <c r="F1528" s="71"/>
      <c r="G1528" s="65"/>
      <c r="H1528" s="74"/>
      <c r="I1528" s="67" t="str">
        <f>IFERROR(__xludf.DUMMYFUNCTION("if($H1528="""", """", AVERAGE(split($H1528, "";"")))"),"")</f>
        <v/>
      </c>
      <c r="J1528" s="67" t="str">
        <f>IFERROR(__xludf.DUMMYFUNCTION("if(H1528="""", """", SUM(split(H1528, "";"")))"),"")</f>
        <v/>
      </c>
      <c r="K1528" s="68"/>
      <c r="L1528" s="68"/>
      <c r="M1528" s="68"/>
      <c r="N1528" s="68"/>
      <c r="O1528" s="68"/>
      <c r="P1528" s="68"/>
      <c r="Q1528" s="68"/>
      <c r="R1528" s="68"/>
      <c r="S1528" s="68"/>
      <c r="T1528" s="68"/>
      <c r="U1528" s="68"/>
      <c r="V1528" s="68"/>
      <c r="W1528" s="68"/>
      <c r="X1528" s="68"/>
      <c r="Y1528" s="68"/>
      <c r="Z1528" s="68"/>
      <c r="AA1528" s="68"/>
    </row>
    <row r="1529" ht="26.25" customHeight="1">
      <c r="A1529" s="68"/>
      <c r="B1529" s="68"/>
      <c r="C1529" s="68"/>
      <c r="D1529" s="71"/>
      <c r="E1529" s="71"/>
      <c r="F1529" s="71"/>
      <c r="G1529" s="65"/>
      <c r="H1529" s="74"/>
      <c r="I1529" s="67" t="str">
        <f>IFERROR(__xludf.DUMMYFUNCTION("if($H1529="""", """", AVERAGE(split($H1529, "";"")))"),"")</f>
        <v/>
      </c>
      <c r="J1529" s="67" t="str">
        <f>IFERROR(__xludf.DUMMYFUNCTION("if(H1529="""", """", SUM(split(H1529, "";"")))"),"")</f>
        <v/>
      </c>
      <c r="K1529" s="68"/>
      <c r="L1529" s="68"/>
      <c r="M1529" s="68"/>
      <c r="N1529" s="68"/>
      <c r="O1529" s="68"/>
      <c r="P1529" s="68"/>
      <c r="Q1529" s="68"/>
      <c r="R1529" s="68"/>
      <c r="S1529" s="68"/>
      <c r="T1529" s="68"/>
      <c r="U1529" s="68"/>
      <c r="V1529" s="68"/>
      <c r="W1529" s="68"/>
      <c r="X1529" s="68"/>
      <c r="Y1529" s="68"/>
      <c r="Z1529" s="68"/>
      <c r="AA1529" s="68"/>
    </row>
    <row r="1530" ht="26.25" customHeight="1">
      <c r="A1530" s="68"/>
      <c r="B1530" s="68"/>
      <c r="C1530" s="68"/>
      <c r="D1530" s="71"/>
      <c r="E1530" s="71"/>
      <c r="F1530" s="71"/>
      <c r="G1530" s="65"/>
      <c r="H1530" s="74"/>
      <c r="I1530" s="67" t="str">
        <f>IFERROR(__xludf.DUMMYFUNCTION("if($H1530="""", """", AVERAGE(split($H1530, "";"")))"),"")</f>
        <v/>
      </c>
      <c r="J1530" s="67" t="str">
        <f>IFERROR(__xludf.DUMMYFUNCTION("if(H1530="""", """", SUM(split(H1530, "";"")))"),"")</f>
        <v/>
      </c>
      <c r="K1530" s="68"/>
      <c r="L1530" s="68"/>
      <c r="M1530" s="68"/>
      <c r="N1530" s="68"/>
      <c r="O1530" s="68"/>
      <c r="P1530" s="68"/>
      <c r="Q1530" s="68"/>
      <c r="R1530" s="68"/>
      <c r="S1530" s="68"/>
      <c r="T1530" s="68"/>
      <c r="U1530" s="68"/>
      <c r="V1530" s="68"/>
      <c r="W1530" s="68"/>
      <c r="X1530" s="68"/>
      <c r="Y1530" s="68"/>
      <c r="Z1530" s="68"/>
      <c r="AA1530" s="68"/>
    </row>
    <row r="1531" ht="26.25" customHeight="1">
      <c r="A1531" s="68"/>
      <c r="B1531" s="68"/>
      <c r="C1531" s="68"/>
      <c r="D1531" s="71"/>
      <c r="E1531" s="71"/>
      <c r="F1531" s="71"/>
      <c r="G1531" s="65"/>
      <c r="H1531" s="74"/>
      <c r="I1531" s="67" t="str">
        <f>IFERROR(__xludf.DUMMYFUNCTION("if($H1531="""", """", AVERAGE(split($H1531, "";"")))"),"")</f>
        <v/>
      </c>
      <c r="J1531" s="67" t="str">
        <f>IFERROR(__xludf.DUMMYFUNCTION("if(H1531="""", """", SUM(split(H1531, "";"")))"),"")</f>
        <v/>
      </c>
      <c r="K1531" s="68"/>
      <c r="L1531" s="68"/>
      <c r="M1531" s="68"/>
      <c r="N1531" s="68"/>
      <c r="O1531" s="68"/>
      <c r="P1531" s="68"/>
      <c r="Q1531" s="68"/>
      <c r="R1531" s="68"/>
      <c r="S1531" s="68"/>
      <c r="T1531" s="68"/>
      <c r="U1531" s="68"/>
      <c r="V1531" s="68"/>
      <c r="W1531" s="68"/>
      <c r="X1531" s="68"/>
      <c r="Y1531" s="68"/>
      <c r="Z1531" s="68"/>
      <c r="AA1531" s="68"/>
    </row>
    <row r="1532" ht="26.25" customHeight="1">
      <c r="A1532" s="68"/>
      <c r="B1532" s="68"/>
      <c r="C1532" s="68"/>
      <c r="D1532" s="71"/>
      <c r="E1532" s="71"/>
      <c r="F1532" s="71"/>
      <c r="G1532" s="65"/>
      <c r="H1532" s="74"/>
      <c r="I1532" s="67" t="str">
        <f>IFERROR(__xludf.DUMMYFUNCTION("if($H1532="""", """", AVERAGE(split($H1532, "";"")))"),"")</f>
        <v/>
      </c>
      <c r="J1532" s="67" t="str">
        <f>IFERROR(__xludf.DUMMYFUNCTION("if(H1532="""", """", SUM(split(H1532, "";"")))"),"")</f>
        <v/>
      </c>
      <c r="K1532" s="68"/>
      <c r="L1532" s="68"/>
      <c r="M1532" s="68"/>
      <c r="N1532" s="68"/>
      <c r="O1532" s="68"/>
      <c r="P1532" s="68"/>
      <c r="Q1532" s="68"/>
      <c r="R1532" s="68"/>
      <c r="S1532" s="68"/>
      <c r="T1532" s="68"/>
      <c r="U1532" s="68"/>
      <c r="V1532" s="68"/>
      <c r="W1532" s="68"/>
      <c r="X1532" s="68"/>
      <c r="Y1532" s="68"/>
      <c r="Z1532" s="68"/>
      <c r="AA1532" s="68"/>
    </row>
    <row r="1533" ht="26.25" customHeight="1">
      <c r="A1533" s="68"/>
      <c r="B1533" s="68"/>
      <c r="C1533" s="68"/>
      <c r="D1533" s="71"/>
      <c r="E1533" s="71"/>
      <c r="F1533" s="71"/>
      <c r="G1533" s="65"/>
      <c r="H1533" s="74"/>
      <c r="I1533" s="67" t="str">
        <f>IFERROR(__xludf.DUMMYFUNCTION("if($H1533="""", """", AVERAGE(split($H1533, "";"")))"),"")</f>
        <v/>
      </c>
      <c r="J1533" s="67" t="str">
        <f>IFERROR(__xludf.DUMMYFUNCTION("if(H1533="""", """", SUM(split(H1533, "";"")))"),"")</f>
        <v/>
      </c>
      <c r="K1533" s="68"/>
      <c r="L1533" s="68"/>
      <c r="M1533" s="68"/>
      <c r="N1533" s="68"/>
      <c r="O1533" s="68"/>
      <c r="P1533" s="68"/>
      <c r="Q1533" s="68"/>
      <c r="R1533" s="68"/>
      <c r="S1533" s="68"/>
      <c r="T1533" s="68"/>
      <c r="U1533" s="68"/>
      <c r="V1533" s="68"/>
      <c r="W1533" s="68"/>
      <c r="X1533" s="68"/>
      <c r="Y1533" s="68"/>
      <c r="Z1533" s="68"/>
      <c r="AA1533" s="68"/>
    </row>
    <row r="1534" ht="26.25" customHeight="1">
      <c r="A1534" s="68"/>
      <c r="B1534" s="68"/>
      <c r="C1534" s="68"/>
      <c r="D1534" s="71"/>
      <c r="E1534" s="71"/>
      <c r="F1534" s="71"/>
      <c r="G1534" s="65"/>
      <c r="H1534" s="74"/>
      <c r="I1534" s="67" t="str">
        <f>IFERROR(__xludf.DUMMYFUNCTION("if($H1534="""", """", AVERAGE(split($H1534, "";"")))"),"")</f>
        <v/>
      </c>
      <c r="J1534" s="67" t="str">
        <f>IFERROR(__xludf.DUMMYFUNCTION("if(H1534="""", """", SUM(split(H1534, "";"")))"),"")</f>
        <v/>
      </c>
      <c r="K1534" s="68"/>
      <c r="L1534" s="68"/>
      <c r="M1534" s="68"/>
      <c r="N1534" s="68"/>
      <c r="O1534" s="68"/>
      <c r="P1534" s="68"/>
      <c r="Q1534" s="68"/>
      <c r="R1534" s="68"/>
      <c r="S1534" s="68"/>
      <c r="T1534" s="68"/>
      <c r="U1534" s="68"/>
      <c r="V1534" s="68"/>
      <c r="W1534" s="68"/>
      <c r="X1534" s="68"/>
      <c r="Y1534" s="68"/>
      <c r="Z1534" s="68"/>
      <c r="AA1534" s="68"/>
    </row>
    <row r="1535" ht="26.25" customHeight="1">
      <c r="A1535" s="68"/>
      <c r="B1535" s="68"/>
      <c r="C1535" s="68"/>
      <c r="D1535" s="71"/>
      <c r="E1535" s="71"/>
      <c r="F1535" s="71"/>
      <c r="G1535" s="65"/>
      <c r="H1535" s="74"/>
      <c r="I1535" s="67" t="str">
        <f>IFERROR(__xludf.DUMMYFUNCTION("if($H1535="""", """", AVERAGE(split($H1535, "";"")))"),"")</f>
        <v/>
      </c>
      <c r="J1535" s="67" t="str">
        <f>IFERROR(__xludf.DUMMYFUNCTION("if(H1535="""", """", SUM(split(H1535, "";"")))"),"")</f>
        <v/>
      </c>
      <c r="K1535" s="68"/>
      <c r="L1535" s="68"/>
      <c r="M1535" s="68"/>
      <c r="N1535" s="68"/>
      <c r="O1535" s="68"/>
      <c r="P1535" s="68"/>
      <c r="Q1535" s="68"/>
      <c r="R1535" s="68"/>
      <c r="S1535" s="68"/>
      <c r="T1535" s="68"/>
      <c r="U1535" s="68"/>
      <c r="V1535" s="68"/>
      <c r="W1535" s="68"/>
      <c r="X1535" s="68"/>
      <c r="Y1535" s="68"/>
      <c r="Z1535" s="68"/>
      <c r="AA1535" s="68"/>
    </row>
    <row r="1536" ht="26.25" customHeight="1">
      <c r="A1536" s="68"/>
      <c r="B1536" s="68"/>
      <c r="C1536" s="68"/>
      <c r="D1536" s="71"/>
      <c r="E1536" s="71"/>
      <c r="F1536" s="71"/>
      <c r="G1536" s="65"/>
      <c r="H1536" s="74"/>
      <c r="I1536" s="67" t="str">
        <f>IFERROR(__xludf.DUMMYFUNCTION("if($H1536="""", """", AVERAGE(split($H1536, "";"")))"),"")</f>
        <v/>
      </c>
      <c r="J1536" s="67" t="str">
        <f>IFERROR(__xludf.DUMMYFUNCTION("if(H1536="""", """", SUM(split(H1536, "";"")))"),"")</f>
        <v/>
      </c>
      <c r="K1536" s="68"/>
      <c r="L1536" s="68"/>
      <c r="M1536" s="68"/>
      <c r="N1536" s="68"/>
      <c r="O1536" s="68"/>
      <c r="P1536" s="68"/>
      <c r="Q1536" s="68"/>
      <c r="R1536" s="68"/>
      <c r="S1536" s="68"/>
      <c r="T1536" s="68"/>
      <c r="U1536" s="68"/>
      <c r="V1536" s="68"/>
      <c r="W1536" s="68"/>
      <c r="X1536" s="68"/>
      <c r="Y1536" s="68"/>
      <c r="Z1536" s="68"/>
      <c r="AA1536" s="68"/>
    </row>
    <row r="1537" ht="26.25" customHeight="1">
      <c r="A1537" s="68"/>
      <c r="B1537" s="68"/>
      <c r="C1537" s="68"/>
      <c r="D1537" s="71"/>
      <c r="E1537" s="71"/>
      <c r="F1537" s="71"/>
      <c r="G1537" s="65"/>
      <c r="H1537" s="74"/>
      <c r="I1537" s="67" t="str">
        <f>IFERROR(__xludf.DUMMYFUNCTION("if($H1537="""", """", AVERAGE(split($H1537, "";"")))"),"")</f>
        <v/>
      </c>
      <c r="J1537" s="67" t="str">
        <f>IFERROR(__xludf.DUMMYFUNCTION("if(H1537="""", """", SUM(split(H1537, "";"")))"),"")</f>
        <v/>
      </c>
      <c r="K1537" s="68"/>
      <c r="L1537" s="68"/>
      <c r="M1537" s="68"/>
      <c r="N1537" s="68"/>
      <c r="O1537" s="68"/>
      <c r="P1537" s="68"/>
      <c r="Q1537" s="68"/>
      <c r="R1537" s="68"/>
      <c r="S1537" s="68"/>
      <c r="T1537" s="68"/>
      <c r="U1537" s="68"/>
      <c r="V1537" s="68"/>
      <c r="W1537" s="68"/>
      <c r="X1537" s="68"/>
      <c r="Y1537" s="68"/>
      <c r="Z1537" s="68"/>
      <c r="AA1537" s="68"/>
    </row>
    <row r="1538" ht="26.25" customHeight="1">
      <c r="A1538" s="68"/>
      <c r="B1538" s="68"/>
      <c r="C1538" s="68"/>
      <c r="D1538" s="71"/>
      <c r="E1538" s="71"/>
      <c r="F1538" s="71"/>
      <c r="G1538" s="65"/>
      <c r="H1538" s="74"/>
      <c r="I1538" s="67" t="str">
        <f>IFERROR(__xludf.DUMMYFUNCTION("if($H1538="""", """", AVERAGE(split($H1538, "";"")))"),"")</f>
        <v/>
      </c>
      <c r="J1538" s="67" t="str">
        <f>IFERROR(__xludf.DUMMYFUNCTION("if(H1538="""", """", SUM(split(H1538, "";"")))"),"")</f>
        <v/>
      </c>
      <c r="K1538" s="68"/>
      <c r="L1538" s="68"/>
      <c r="M1538" s="68"/>
      <c r="N1538" s="68"/>
      <c r="O1538" s="68"/>
      <c r="P1538" s="68"/>
      <c r="Q1538" s="68"/>
      <c r="R1538" s="68"/>
      <c r="S1538" s="68"/>
      <c r="T1538" s="68"/>
      <c r="U1538" s="68"/>
      <c r="V1538" s="68"/>
      <c r="W1538" s="68"/>
      <c r="X1538" s="68"/>
      <c r="Y1538" s="68"/>
      <c r="Z1538" s="68"/>
      <c r="AA1538" s="68"/>
    </row>
    <row r="1539" ht="26.25" customHeight="1">
      <c r="A1539" s="68"/>
      <c r="B1539" s="68"/>
      <c r="C1539" s="68"/>
      <c r="D1539" s="71"/>
      <c r="E1539" s="71"/>
      <c r="F1539" s="71"/>
      <c r="G1539" s="65"/>
      <c r="H1539" s="74"/>
      <c r="I1539" s="67" t="str">
        <f>IFERROR(__xludf.DUMMYFUNCTION("if($H1539="""", """", AVERAGE(split($H1539, "";"")))"),"")</f>
        <v/>
      </c>
      <c r="J1539" s="67" t="str">
        <f>IFERROR(__xludf.DUMMYFUNCTION("if(H1539="""", """", SUM(split(H1539, "";"")))"),"")</f>
        <v/>
      </c>
      <c r="K1539" s="68"/>
      <c r="L1539" s="68"/>
      <c r="M1539" s="68"/>
      <c r="N1539" s="68"/>
      <c r="O1539" s="68"/>
      <c r="P1539" s="68"/>
      <c r="Q1539" s="68"/>
      <c r="R1539" s="68"/>
      <c r="S1539" s="68"/>
      <c r="T1539" s="68"/>
      <c r="U1539" s="68"/>
      <c r="V1539" s="68"/>
      <c r="W1539" s="68"/>
      <c r="X1539" s="68"/>
      <c r="Y1539" s="68"/>
      <c r="Z1539" s="68"/>
      <c r="AA1539" s="68"/>
    </row>
    <row r="1540" ht="26.25" customHeight="1">
      <c r="A1540" s="68"/>
      <c r="B1540" s="68"/>
      <c r="C1540" s="68"/>
      <c r="D1540" s="71"/>
      <c r="E1540" s="71"/>
      <c r="F1540" s="71"/>
      <c r="G1540" s="65"/>
      <c r="H1540" s="74"/>
      <c r="I1540" s="67" t="str">
        <f>IFERROR(__xludf.DUMMYFUNCTION("if($H1540="""", """", AVERAGE(split($H1540, "";"")))"),"")</f>
        <v/>
      </c>
      <c r="J1540" s="67" t="str">
        <f>IFERROR(__xludf.DUMMYFUNCTION("if(H1540="""", """", SUM(split(H1540, "";"")))"),"")</f>
        <v/>
      </c>
      <c r="K1540" s="68"/>
      <c r="L1540" s="68"/>
      <c r="M1540" s="68"/>
      <c r="N1540" s="68"/>
      <c r="O1540" s="68"/>
      <c r="P1540" s="68"/>
      <c r="Q1540" s="68"/>
      <c r="R1540" s="68"/>
      <c r="S1540" s="68"/>
      <c r="T1540" s="68"/>
      <c r="U1540" s="68"/>
      <c r="V1540" s="68"/>
      <c r="W1540" s="68"/>
      <c r="X1540" s="68"/>
      <c r="Y1540" s="68"/>
      <c r="Z1540" s="68"/>
      <c r="AA1540" s="68"/>
    </row>
    <row r="1541" ht="26.25" customHeight="1">
      <c r="A1541" s="68"/>
      <c r="B1541" s="68"/>
      <c r="C1541" s="68"/>
      <c r="D1541" s="71"/>
      <c r="E1541" s="71"/>
      <c r="F1541" s="71"/>
      <c r="G1541" s="65"/>
      <c r="H1541" s="74"/>
      <c r="I1541" s="67" t="str">
        <f>IFERROR(__xludf.DUMMYFUNCTION("if($H1541="""", """", AVERAGE(split($H1541, "";"")))"),"")</f>
        <v/>
      </c>
      <c r="J1541" s="67" t="str">
        <f>IFERROR(__xludf.DUMMYFUNCTION("if(H1541="""", """", SUM(split(H1541, "";"")))"),"")</f>
        <v/>
      </c>
      <c r="K1541" s="68"/>
      <c r="L1541" s="68"/>
      <c r="M1541" s="68"/>
      <c r="N1541" s="68"/>
      <c r="O1541" s="68"/>
      <c r="P1541" s="68"/>
      <c r="Q1541" s="68"/>
      <c r="R1541" s="68"/>
      <c r="S1541" s="68"/>
      <c r="T1541" s="68"/>
      <c r="U1541" s="68"/>
      <c r="V1541" s="68"/>
      <c r="W1541" s="68"/>
      <c r="X1541" s="68"/>
      <c r="Y1541" s="68"/>
      <c r="Z1541" s="68"/>
      <c r="AA1541" s="68"/>
    </row>
    <row r="1542" ht="26.25" customHeight="1">
      <c r="A1542" s="68"/>
      <c r="B1542" s="68"/>
      <c r="C1542" s="68"/>
      <c r="D1542" s="71"/>
      <c r="E1542" s="71"/>
      <c r="F1542" s="71"/>
      <c r="G1542" s="65"/>
      <c r="H1542" s="74"/>
      <c r="I1542" s="67" t="str">
        <f>IFERROR(__xludf.DUMMYFUNCTION("if($H1542="""", """", AVERAGE(split($H1542, "";"")))"),"")</f>
        <v/>
      </c>
      <c r="J1542" s="67" t="str">
        <f>IFERROR(__xludf.DUMMYFUNCTION("if(H1542="""", """", SUM(split(H1542, "";"")))"),"")</f>
        <v/>
      </c>
      <c r="K1542" s="68"/>
      <c r="L1542" s="68"/>
      <c r="M1542" s="68"/>
      <c r="N1542" s="68"/>
      <c r="O1542" s="68"/>
      <c r="P1542" s="68"/>
      <c r="Q1542" s="68"/>
      <c r="R1542" s="68"/>
      <c r="S1542" s="68"/>
      <c r="T1542" s="68"/>
      <c r="U1542" s="68"/>
      <c r="V1542" s="68"/>
      <c r="W1542" s="68"/>
      <c r="X1542" s="68"/>
      <c r="Y1542" s="68"/>
      <c r="Z1542" s="68"/>
      <c r="AA1542" s="68"/>
    </row>
    <row r="1543" ht="26.25" customHeight="1">
      <c r="A1543" s="68"/>
      <c r="B1543" s="68"/>
      <c r="C1543" s="68"/>
      <c r="D1543" s="71"/>
      <c r="E1543" s="71"/>
      <c r="F1543" s="71"/>
      <c r="G1543" s="65"/>
      <c r="H1543" s="74"/>
      <c r="I1543" s="67" t="str">
        <f>IFERROR(__xludf.DUMMYFUNCTION("if($H1543="""", """", AVERAGE(split($H1543, "";"")))"),"")</f>
        <v/>
      </c>
      <c r="J1543" s="67" t="str">
        <f>IFERROR(__xludf.DUMMYFUNCTION("if(H1543="""", """", SUM(split(H1543, "";"")))"),"")</f>
        <v/>
      </c>
      <c r="K1543" s="68"/>
      <c r="L1543" s="68"/>
      <c r="M1543" s="68"/>
      <c r="N1543" s="68"/>
      <c r="O1543" s="68"/>
      <c r="P1543" s="68"/>
      <c r="Q1543" s="68"/>
      <c r="R1543" s="68"/>
      <c r="S1543" s="68"/>
      <c r="T1543" s="68"/>
      <c r="U1543" s="68"/>
      <c r="V1543" s="68"/>
      <c r="W1543" s="68"/>
      <c r="X1543" s="68"/>
      <c r="Y1543" s="68"/>
      <c r="Z1543" s="68"/>
      <c r="AA1543" s="68"/>
    </row>
    <row r="1544" ht="26.25" customHeight="1">
      <c r="A1544" s="68"/>
      <c r="B1544" s="68"/>
      <c r="C1544" s="68"/>
      <c r="D1544" s="71"/>
      <c r="E1544" s="71"/>
      <c r="F1544" s="71"/>
      <c r="G1544" s="65"/>
      <c r="H1544" s="74"/>
      <c r="I1544" s="67" t="str">
        <f>IFERROR(__xludf.DUMMYFUNCTION("if($H1544="""", """", AVERAGE(split($H1544, "";"")))"),"")</f>
        <v/>
      </c>
      <c r="J1544" s="67" t="str">
        <f>IFERROR(__xludf.DUMMYFUNCTION("if(H1544="""", """", SUM(split(H1544, "";"")))"),"")</f>
        <v/>
      </c>
      <c r="K1544" s="68"/>
      <c r="L1544" s="68"/>
      <c r="M1544" s="68"/>
      <c r="N1544" s="68"/>
      <c r="O1544" s="68"/>
      <c r="P1544" s="68"/>
      <c r="Q1544" s="68"/>
      <c r="R1544" s="68"/>
      <c r="S1544" s="68"/>
      <c r="T1544" s="68"/>
      <c r="U1544" s="68"/>
      <c r="V1544" s="68"/>
      <c r="W1544" s="68"/>
      <c r="X1544" s="68"/>
      <c r="Y1544" s="68"/>
      <c r="Z1544" s="68"/>
      <c r="AA1544" s="68"/>
    </row>
    <row r="1545" ht="26.25" customHeight="1">
      <c r="A1545" s="68"/>
      <c r="B1545" s="68"/>
      <c r="C1545" s="68"/>
      <c r="D1545" s="71"/>
      <c r="E1545" s="71"/>
      <c r="F1545" s="71"/>
      <c r="G1545" s="65"/>
      <c r="H1545" s="74"/>
      <c r="I1545" s="67" t="str">
        <f>IFERROR(__xludf.DUMMYFUNCTION("if($H1545="""", """", AVERAGE(split($H1545, "";"")))"),"")</f>
        <v/>
      </c>
      <c r="J1545" s="67" t="str">
        <f>IFERROR(__xludf.DUMMYFUNCTION("if(H1545="""", """", SUM(split(H1545, "";"")))"),"")</f>
        <v/>
      </c>
      <c r="K1545" s="68"/>
      <c r="L1545" s="68"/>
      <c r="M1545" s="68"/>
      <c r="N1545" s="68"/>
      <c r="O1545" s="68"/>
      <c r="P1545" s="68"/>
      <c r="Q1545" s="68"/>
      <c r="R1545" s="68"/>
      <c r="S1545" s="68"/>
      <c r="T1545" s="68"/>
      <c r="U1545" s="68"/>
      <c r="V1545" s="68"/>
      <c r="W1545" s="68"/>
      <c r="X1545" s="68"/>
      <c r="Y1545" s="68"/>
      <c r="Z1545" s="68"/>
      <c r="AA1545" s="68"/>
    </row>
    <row r="1546" ht="26.25" customHeight="1">
      <c r="A1546" s="68"/>
      <c r="B1546" s="68"/>
      <c r="C1546" s="68"/>
      <c r="D1546" s="71"/>
      <c r="E1546" s="71"/>
      <c r="F1546" s="71"/>
      <c r="G1546" s="65"/>
      <c r="H1546" s="74"/>
      <c r="I1546" s="67" t="str">
        <f>IFERROR(__xludf.DUMMYFUNCTION("if($H1546="""", """", AVERAGE(split($H1546, "";"")))"),"")</f>
        <v/>
      </c>
      <c r="J1546" s="67" t="str">
        <f>IFERROR(__xludf.DUMMYFUNCTION("if(H1546="""", """", SUM(split(H1546, "";"")))"),"")</f>
        <v/>
      </c>
      <c r="K1546" s="68"/>
      <c r="L1546" s="68"/>
      <c r="M1546" s="68"/>
      <c r="N1546" s="68"/>
      <c r="O1546" s="68"/>
      <c r="P1546" s="68"/>
      <c r="Q1546" s="68"/>
      <c r="R1546" s="68"/>
      <c r="S1546" s="68"/>
      <c r="T1546" s="68"/>
      <c r="U1546" s="68"/>
      <c r="V1546" s="68"/>
      <c r="W1546" s="68"/>
      <c r="X1546" s="68"/>
      <c r="Y1546" s="68"/>
      <c r="Z1546" s="68"/>
      <c r="AA1546" s="68"/>
    </row>
    <row r="1547" ht="26.25" customHeight="1">
      <c r="A1547" s="68"/>
      <c r="B1547" s="68"/>
      <c r="C1547" s="68"/>
      <c r="D1547" s="71"/>
      <c r="E1547" s="71"/>
      <c r="F1547" s="71"/>
      <c r="G1547" s="65"/>
      <c r="H1547" s="74"/>
      <c r="I1547" s="67" t="str">
        <f>IFERROR(__xludf.DUMMYFUNCTION("if($H1547="""", """", AVERAGE(split($H1547, "";"")))"),"")</f>
        <v/>
      </c>
      <c r="J1547" s="67" t="str">
        <f>IFERROR(__xludf.DUMMYFUNCTION("if(H1547="""", """", SUM(split(H1547, "";"")))"),"")</f>
        <v/>
      </c>
      <c r="K1547" s="68"/>
      <c r="L1547" s="68"/>
      <c r="M1547" s="68"/>
      <c r="N1547" s="68"/>
      <c r="O1547" s="68"/>
      <c r="P1547" s="68"/>
      <c r="Q1547" s="68"/>
      <c r="R1547" s="68"/>
      <c r="S1547" s="68"/>
      <c r="T1547" s="68"/>
      <c r="U1547" s="68"/>
      <c r="V1547" s="68"/>
      <c r="W1547" s="68"/>
      <c r="X1547" s="68"/>
      <c r="Y1547" s="68"/>
      <c r="Z1547" s="68"/>
      <c r="AA1547" s="68"/>
    </row>
    <row r="1548" ht="26.25" customHeight="1">
      <c r="A1548" s="68"/>
      <c r="B1548" s="68"/>
      <c r="C1548" s="68"/>
      <c r="D1548" s="71"/>
      <c r="E1548" s="71"/>
      <c r="F1548" s="71"/>
      <c r="G1548" s="65"/>
      <c r="H1548" s="74"/>
      <c r="I1548" s="67" t="str">
        <f>IFERROR(__xludf.DUMMYFUNCTION("if($H1548="""", """", AVERAGE(split($H1548, "";"")))"),"")</f>
        <v/>
      </c>
      <c r="J1548" s="67" t="str">
        <f>IFERROR(__xludf.DUMMYFUNCTION("if(H1548="""", """", SUM(split(H1548, "";"")))"),"")</f>
        <v/>
      </c>
      <c r="K1548" s="68"/>
      <c r="L1548" s="68"/>
      <c r="M1548" s="68"/>
      <c r="N1548" s="68"/>
      <c r="O1548" s="68"/>
      <c r="P1548" s="68"/>
      <c r="Q1548" s="68"/>
      <c r="R1548" s="68"/>
      <c r="S1548" s="68"/>
      <c r="T1548" s="68"/>
      <c r="U1548" s="68"/>
      <c r="V1548" s="68"/>
      <c r="W1548" s="68"/>
      <c r="X1548" s="68"/>
      <c r="Y1548" s="68"/>
      <c r="Z1548" s="68"/>
      <c r="AA1548" s="68"/>
    </row>
    <row r="1549" ht="26.25" customHeight="1">
      <c r="A1549" s="68"/>
      <c r="B1549" s="68"/>
      <c r="C1549" s="68"/>
      <c r="D1549" s="71"/>
      <c r="E1549" s="71"/>
      <c r="F1549" s="71"/>
      <c r="G1549" s="65"/>
      <c r="H1549" s="74"/>
      <c r="I1549" s="67" t="str">
        <f>IFERROR(__xludf.DUMMYFUNCTION("if($H1549="""", """", AVERAGE(split($H1549, "";"")))"),"")</f>
        <v/>
      </c>
      <c r="J1549" s="67" t="str">
        <f>IFERROR(__xludf.DUMMYFUNCTION("if(H1549="""", """", SUM(split(H1549, "";"")))"),"")</f>
        <v/>
      </c>
      <c r="K1549" s="68"/>
      <c r="L1549" s="68"/>
      <c r="M1549" s="68"/>
      <c r="N1549" s="68"/>
      <c r="O1549" s="68"/>
      <c r="P1549" s="68"/>
      <c r="Q1549" s="68"/>
      <c r="R1549" s="68"/>
      <c r="S1549" s="68"/>
      <c r="T1549" s="68"/>
      <c r="U1549" s="68"/>
      <c r="V1549" s="68"/>
      <c r="W1549" s="68"/>
      <c r="X1549" s="68"/>
      <c r="Y1549" s="68"/>
      <c r="Z1549" s="68"/>
      <c r="AA1549" s="68"/>
    </row>
    <row r="1550" ht="26.25" customHeight="1">
      <c r="A1550" s="68"/>
      <c r="B1550" s="68"/>
      <c r="C1550" s="68"/>
      <c r="D1550" s="71"/>
      <c r="E1550" s="71"/>
      <c r="F1550" s="71"/>
      <c r="G1550" s="65"/>
      <c r="H1550" s="74"/>
      <c r="I1550" s="67" t="str">
        <f>IFERROR(__xludf.DUMMYFUNCTION("if($H1550="""", """", AVERAGE(split($H1550, "";"")))"),"")</f>
        <v/>
      </c>
      <c r="J1550" s="67" t="str">
        <f>IFERROR(__xludf.DUMMYFUNCTION("if(H1550="""", """", SUM(split(H1550, "";"")))"),"")</f>
        <v/>
      </c>
      <c r="K1550" s="68"/>
      <c r="L1550" s="68"/>
      <c r="M1550" s="68"/>
      <c r="N1550" s="68"/>
      <c r="O1550" s="68"/>
      <c r="P1550" s="68"/>
      <c r="Q1550" s="68"/>
      <c r="R1550" s="68"/>
      <c r="S1550" s="68"/>
      <c r="T1550" s="68"/>
      <c r="U1550" s="68"/>
      <c r="V1550" s="68"/>
      <c r="W1550" s="68"/>
      <c r="X1550" s="68"/>
      <c r="Y1550" s="68"/>
      <c r="Z1550" s="68"/>
      <c r="AA1550" s="68"/>
    </row>
    <row r="1551" ht="26.25" customHeight="1">
      <c r="A1551" s="68"/>
      <c r="B1551" s="68"/>
      <c r="C1551" s="68"/>
      <c r="D1551" s="71"/>
      <c r="E1551" s="71"/>
      <c r="F1551" s="71"/>
      <c r="G1551" s="65"/>
      <c r="H1551" s="74"/>
      <c r="I1551" s="67" t="str">
        <f>IFERROR(__xludf.DUMMYFUNCTION("if($H1551="""", """", AVERAGE(split($H1551, "";"")))"),"")</f>
        <v/>
      </c>
      <c r="J1551" s="67" t="str">
        <f>IFERROR(__xludf.DUMMYFUNCTION("if(H1551="""", """", SUM(split(H1551, "";"")))"),"")</f>
        <v/>
      </c>
      <c r="K1551" s="68"/>
      <c r="L1551" s="68"/>
      <c r="M1551" s="68"/>
      <c r="N1551" s="68"/>
      <c r="O1551" s="68"/>
      <c r="P1551" s="68"/>
      <c r="Q1551" s="68"/>
      <c r="R1551" s="68"/>
      <c r="S1551" s="68"/>
      <c r="T1551" s="68"/>
      <c r="U1551" s="68"/>
      <c r="V1551" s="68"/>
      <c r="W1551" s="68"/>
      <c r="X1551" s="68"/>
      <c r="Y1551" s="68"/>
      <c r="Z1551" s="68"/>
      <c r="AA1551" s="68"/>
    </row>
    <row r="1552" ht="26.25" customHeight="1">
      <c r="A1552" s="68"/>
      <c r="B1552" s="68"/>
      <c r="C1552" s="68"/>
      <c r="D1552" s="71"/>
      <c r="E1552" s="71"/>
      <c r="F1552" s="71"/>
      <c r="G1552" s="65"/>
      <c r="H1552" s="74"/>
      <c r="I1552" s="67" t="str">
        <f>IFERROR(__xludf.DUMMYFUNCTION("if($H1552="""", """", AVERAGE(split($H1552, "";"")))"),"")</f>
        <v/>
      </c>
      <c r="J1552" s="67" t="str">
        <f>IFERROR(__xludf.DUMMYFUNCTION("if(H1552="""", """", SUM(split(H1552, "";"")))"),"")</f>
        <v/>
      </c>
      <c r="K1552" s="68"/>
      <c r="L1552" s="68"/>
      <c r="M1552" s="68"/>
      <c r="N1552" s="68"/>
      <c r="O1552" s="68"/>
      <c r="P1552" s="68"/>
      <c r="Q1552" s="68"/>
      <c r="R1552" s="68"/>
      <c r="S1552" s="68"/>
      <c r="T1552" s="68"/>
      <c r="U1552" s="68"/>
      <c r="V1552" s="68"/>
      <c r="W1552" s="68"/>
      <c r="X1552" s="68"/>
      <c r="Y1552" s="68"/>
      <c r="Z1552" s="68"/>
      <c r="AA1552" s="68"/>
    </row>
    <row r="1553" ht="26.25" customHeight="1">
      <c r="A1553" s="68"/>
      <c r="B1553" s="68"/>
      <c r="C1553" s="68"/>
      <c r="D1553" s="71"/>
      <c r="E1553" s="71"/>
      <c r="F1553" s="71"/>
      <c r="G1553" s="65"/>
      <c r="H1553" s="74"/>
      <c r="I1553" s="67" t="str">
        <f>IFERROR(__xludf.DUMMYFUNCTION("if($H1553="""", """", AVERAGE(split($H1553, "";"")))"),"")</f>
        <v/>
      </c>
      <c r="J1553" s="67" t="str">
        <f>IFERROR(__xludf.DUMMYFUNCTION("if(H1553="""", """", SUM(split(H1553, "";"")))"),"")</f>
        <v/>
      </c>
      <c r="K1553" s="68"/>
      <c r="L1553" s="68"/>
      <c r="M1553" s="68"/>
      <c r="N1553" s="68"/>
      <c r="O1553" s="68"/>
      <c r="P1553" s="68"/>
      <c r="Q1553" s="68"/>
      <c r="R1553" s="68"/>
      <c r="S1553" s="68"/>
      <c r="T1553" s="68"/>
      <c r="U1553" s="68"/>
      <c r="V1553" s="68"/>
      <c r="W1553" s="68"/>
      <c r="X1553" s="68"/>
      <c r="Y1553" s="68"/>
      <c r="Z1553" s="68"/>
      <c r="AA1553" s="68"/>
    </row>
    <row r="1554" ht="26.25" customHeight="1">
      <c r="A1554" s="68"/>
      <c r="B1554" s="68"/>
      <c r="C1554" s="68"/>
      <c r="D1554" s="71"/>
      <c r="E1554" s="71"/>
      <c r="F1554" s="71"/>
      <c r="G1554" s="65"/>
      <c r="H1554" s="74"/>
      <c r="I1554" s="67" t="str">
        <f>IFERROR(__xludf.DUMMYFUNCTION("if($H1554="""", """", AVERAGE(split($H1554, "";"")))"),"")</f>
        <v/>
      </c>
      <c r="J1554" s="67" t="str">
        <f>IFERROR(__xludf.DUMMYFUNCTION("if(H1554="""", """", SUM(split(H1554, "";"")))"),"")</f>
        <v/>
      </c>
      <c r="K1554" s="68"/>
      <c r="L1554" s="68"/>
      <c r="M1554" s="68"/>
      <c r="N1554" s="68"/>
      <c r="O1554" s="68"/>
      <c r="P1554" s="68"/>
      <c r="Q1554" s="68"/>
      <c r="R1554" s="68"/>
      <c r="S1554" s="68"/>
      <c r="T1554" s="68"/>
      <c r="U1554" s="68"/>
      <c r="V1554" s="68"/>
      <c r="W1554" s="68"/>
      <c r="X1554" s="68"/>
      <c r="Y1554" s="68"/>
      <c r="Z1554" s="68"/>
      <c r="AA1554" s="68"/>
    </row>
    <row r="1555" ht="26.25" customHeight="1">
      <c r="A1555" s="68"/>
      <c r="B1555" s="68"/>
      <c r="C1555" s="68"/>
      <c r="D1555" s="71"/>
      <c r="E1555" s="71"/>
      <c r="F1555" s="71"/>
      <c r="G1555" s="65"/>
      <c r="H1555" s="74"/>
      <c r="I1555" s="67" t="str">
        <f>IFERROR(__xludf.DUMMYFUNCTION("if($H1555="""", """", AVERAGE(split($H1555, "";"")))"),"")</f>
        <v/>
      </c>
      <c r="J1555" s="67" t="str">
        <f>IFERROR(__xludf.DUMMYFUNCTION("if(H1555="""", """", SUM(split(H1555, "";"")))"),"")</f>
        <v/>
      </c>
      <c r="K1555" s="68"/>
      <c r="L1555" s="68"/>
      <c r="M1555" s="68"/>
      <c r="N1555" s="68"/>
      <c r="O1555" s="68"/>
      <c r="P1555" s="68"/>
      <c r="Q1555" s="68"/>
      <c r="R1555" s="68"/>
      <c r="S1555" s="68"/>
      <c r="T1555" s="68"/>
      <c r="U1555" s="68"/>
      <c r="V1555" s="68"/>
      <c r="W1555" s="68"/>
      <c r="X1555" s="68"/>
      <c r="Y1555" s="68"/>
      <c r="Z1555" s="68"/>
      <c r="AA1555" s="68"/>
    </row>
    <row r="1556" ht="26.25" customHeight="1">
      <c r="A1556" s="68"/>
      <c r="B1556" s="68"/>
      <c r="C1556" s="68"/>
      <c r="D1556" s="71"/>
      <c r="E1556" s="71"/>
      <c r="F1556" s="71"/>
      <c r="G1556" s="65"/>
      <c r="H1556" s="74"/>
      <c r="I1556" s="67" t="str">
        <f>IFERROR(__xludf.DUMMYFUNCTION("if($H1556="""", """", AVERAGE(split($H1556, "";"")))"),"")</f>
        <v/>
      </c>
      <c r="J1556" s="67" t="str">
        <f>IFERROR(__xludf.DUMMYFUNCTION("if(H1556="""", """", SUM(split(H1556, "";"")))"),"")</f>
        <v/>
      </c>
      <c r="K1556" s="68"/>
      <c r="L1556" s="68"/>
      <c r="M1556" s="68"/>
      <c r="N1556" s="68"/>
      <c r="O1556" s="68"/>
      <c r="P1556" s="68"/>
      <c r="Q1556" s="68"/>
      <c r="R1556" s="68"/>
      <c r="S1556" s="68"/>
      <c r="T1556" s="68"/>
      <c r="U1556" s="68"/>
      <c r="V1556" s="68"/>
      <c r="W1556" s="68"/>
      <c r="X1556" s="68"/>
      <c r="Y1556" s="68"/>
      <c r="Z1556" s="68"/>
      <c r="AA1556" s="68"/>
    </row>
    <row r="1557" ht="26.25" customHeight="1">
      <c r="A1557" s="68"/>
      <c r="B1557" s="68"/>
      <c r="C1557" s="68"/>
      <c r="D1557" s="71"/>
      <c r="E1557" s="71"/>
      <c r="F1557" s="71"/>
      <c r="G1557" s="65"/>
      <c r="H1557" s="74"/>
      <c r="I1557" s="67" t="str">
        <f>IFERROR(__xludf.DUMMYFUNCTION("if($H1557="""", """", AVERAGE(split($H1557, "";"")))"),"")</f>
        <v/>
      </c>
      <c r="J1557" s="67" t="str">
        <f>IFERROR(__xludf.DUMMYFUNCTION("if(H1557="""", """", SUM(split(H1557, "";"")))"),"")</f>
        <v/>
      </c>
      <c r="K1557" s="68"/>
      <c r="L1557" s="68"/>
      <c r="M1557" s="68"/>
      <c r="N1557" s="68"/>
      <c r="O1557" s="68"/>
      <c r="P1557" s="68"/>
      <c r="Q1557" s="68"/>
      <c r="R1557" s="68"/>
      <c r="S1557" s="68"/>
      <c r="T1557" s="68"/>
      <c r="U1557" s="68"/>
      <c r="V1557" s="68"/>
      <c r="W1557" s="68"/>
      <c r="X1557" s="68"/>
      <c r="Y1557" s="68"/>
      <c r="Z1557" s="68"/>
      <c r="AA1557" s="68"/>
    </row>
    <row r="1558" ht="26.25" customHeight="1">
      <c r="A1558" s="68"/>
      <c r="B1558" s="68"/>
      <c r="C1558" s="68"/>
      <c r="D1558" s="71"/>
      <c r="E1558" s="71"/>
      <c r="F1558" s="71"/>
      <c r="G1558" s="65"/>
      <c r="H1558" s="74"/>
      <c r="I1558" s="67" t="str">
        <f>IFERROR(__xludf.DUMMYFUNCTION("if($H1558="""", """", AVERAGE(split($H1558, "";"")))"),"")</f>
        <v/>
      </c>
      <c r="J1558" s="67" t="str">
        <f>IFERROR(__xludf.DUMMYFUNCTION("if(H1558="""", """", SUM(split(H1558, "";"")))"),"")</f>
        <v/>
      </c>
      <c r="K1558" s="68"/>
      <c r="L1558" s="68"/>
      <c r="M1558" s="68"/>
      <c r="N1558" s="68"/>
      <c r="O1558" s="68"/>
      <c r="P1558" s="68"/>
      <c r="Q1558" s="68"/>
      <c r="R1558" s="68"/>
      <c r="S1558" s="68"/>
      <c r="T1558" s="68"/>
      <c r="U1558" s="68"/>
      <c r="V1558" s="68"/>
      <c r="W1558" s="68"/>
      <c r="X1558" s="68"/>
      <c r="Y1558" s="68"/>
      <c r="Z1558" s="68"/>
      <c r="AA1558" s="68"/>
    </row>
    <row r="1559" ht="26.25" customHeight="1">
      <c r="A1559" s="68"/>
      <c r="B1559" s="68"/>
      <c r="C1559" s="68"/>
      <c r="D1559" s="71"/>
      <c r="E1559" s="71"/>
      <c r="F1559" s="71"/>
      <c r="G1559" s="65"/>
      <c r="H1559" s="74"/>
      <c r="I1559" s="67" t="str">
        <f>IFERROR(__xludf.DUMMYFUNCTION("if($H1559="""", """", AVERAGE(split($H1559, "";"")))"),"")</f>
        <v/>
      </c>
      <c r="J1559" s="67" t="str">
        <f>IFERROR(__xludf.DUMMYFUNCTION("if(H1559="""", """", SUM(split(H1559, "";"")))"),"")</f>
        <v/>
      </c>
      <c r="K1559" s="68"/>
      <c r="L1559" s="68"/>
      <c r="M1559" s="68"/>
      <c r="N1559" s="68"/>
      <c r="O1559" s="68"/>
      <c r="P1559" s="68"/>
      <c r="Q1559" s="68"/>
      <c r="R1559" s="68"/>
      <c r="S1559" s="68"/>
      <c r="T1559" s="68"/>
      <c r="U1559" s="68"/>
      <c r="V1559" s="68"/>
      <c r="W1559" s="68"/>
      <c r="X1559" s="68"/>
      <c r="Y1559" s="68"/>
      <c r="Z1559" s="68"/>
      <c r="AA1559" s="68"/>
    </row>
    <row r="1560" ht="26.25" customHeight="1">
      <c r="A1560" s="68"/>
      <c r="B1560" s="68"/>
      <c r="C1560" s="68"/>
      <c r="D1560" s="71"/>
      <c r="E1560" s="71"/>
      <c r="F1560" s="71"/>
      <c r="G1560" s="65"/>
      <c r="H1560" s="74"/>
      <c r="I1560" s="67" t="str">
        <f>IFERROR(__xludf.DUMMYFUNCTION("if($H1560="""", """", AVERAGE(split($H1560, "";"")))"),"")</f>
        <v/>
      </c>
      <c r="J1560" s="67" t="str">
        <f>IFERROR(__xludf.DUMMYFUNCTION("if(H1560="""", """", SUM(split(H1560, "";"")))"),"")</f>
        <v/>
      </c>
      <c r="K1560" s="68"/>
      <c r="L1560" s="68"/>
      <c r="M1560" s="68"/>
      <c r="N1560" s="68"/>
      <c r="O1560" s="68"/>
      <c r="P1560" s="68"/>
      <c r="Q1560" s="68"/>
      <c r="R1560" s="68"/>
      <c r="S1560" s="68"/>
      <c r="T1560" s="68"/>
      <c r="U1560" s="68"/>
      <c r="V1560" s="68"/>
      <c r="W1560" s="68"/>
      <c r="X1560" s="68"/>
      <c r="Y1560" s="68"/>
      <c r="Z1560" s="68"/>
      <c r="AA1560" s="68"/>
    </row>
    <row r="1561" ht="26.25" customHeight="1">
      <c r="A1561" s="68"/>
      <c r="B1561" s="68"/>
      <c r="C1561" s="68"/>
      <c r="D1561" s="71"/>
      <c r="E1561" s="71"/>
      <c r="F1561" s="71"/>
      <c r="G1561" s="65"/>
      <c r="H1561" s="74"/>
      <c r="I1561" s="67" t="str">
        <f>IFERROR(__xludf.DUMMYFUNCTION("if($H1561="""", """", AVERAGE(split($H1561, "";"")))"),"")</f>
        <v/>
      </c>
      <c r="J1561" s="67" t="str">
        <f>IFERROR(__xludf.DUMMYFUNCTION("if(H1561="""", """", SUM(split(H1561, "";"")))"),"")</f>
        <v/>
      </c>
      <c r="K1561" s="68"/>
      <c r="L1561" s="68"/>
      <c r="M1561" s="68"/>
      <c r="N1561" s="68"/>
      <c r="O1561" s="68"/>
      <c r="P1561" s="68"/>
      <c r="Q1561" s="68"/>
      <c r="R1561" s="68"/>
      <c r="S1561" s="68"/>
      <c r="T1561" s="68"/>
      <c r="U1561" s="68"/>
      <c r="V1561" s="68"/>
      <c r="W1561" s="68"/>
      <c r="X1561" s="68"/>
      <c r="Y1561" s="68"/>
      <c r="Z1561" s="68"/>
      <c r="AA1561" s="68"/>
    </row>
    <row r="1562" ht="26.25" customHeight="1">
      <c r="A1562" s="68"/>
      <c r="B1562" s="68"/>
      <c r="C1562" s="68"/>
      <c r="D1562" s="71"/>
      <c r="E1562" s="71"/>
      <c r="F1562" s="71"/>
      <c r="G1562" s="65"/>
      <c r="H1562" s="74"/>
      <c r="I1562" s="67" t="str">
        <f>IFERROR(__xludf.DUMMYFUNCTION("if($H1562="""", """", AVERAGE(split($H1562, "";"")))"),"")</f>
        <v/>
      </c>
      <c r="J1562" s="67" t="str">
        <f>IFERROR(__xludf.DUMMYFUNCTION("if(H1562="""", """", SUM(split(H1562, "";"")))"),"")</f>
        <v/>
      </c>
      <c r="K1562" s="68"/>
      <c r="L1562" s="68"/>
      <c r="M1562" s="68"/>
      <c r="N1562" s="68"/>
      <c r="O1562" s="68"/>
      <c r="P1562" s="68"/>
      <c r="Q1562" s="68"/>
      <c r="R1562" s="68"/>
      <c r="S1562" s="68"/>
      <c r="T1562" s="68"/>
      <c r="U1562" s="68"/>
      <c r="V1562" s="68"/>
      <c r="W1562" s="68"/>
      <c r="X1562" s="68"/>
      <c r="Y1562" s="68"/>
      <c r="Z1562" s="68"/>
      <c r="AA1562" s="68"/>
    </row>
    <row r="1563" ht="26.25" customHeight="1">
      <c r="A1563" s="68"/>
      <c r="B1563" s="68"/>
      <c r="C1563" s="68"/>
      <c r="D1563" s="71"/>
      <c r="E1563" s="71"/>
      <c r="F1563" s="71"/>
      <c r="G1563" s="65"/>
      <c r="H1563" s="74"/>
      <c r="I1563" s="67" t="str">
        <f>IFERROR(__xludf.DUMMYFUNCTION("if($H1563="""", """", AVERAGE(split($H1563, "";"")))"),"")</f>
        <v/>
      </c>
      <c r="J1563" s="67" t="str">
        <f>IFERROR(__xludf.DUMMYFUNCTION("if(H1563="""", """", SUM(split(H1563, "";"")))"),"")</f>
        <v/>
      </c>
      <c r="K1563" s="68"/>
      <c r="L1563" s="68"/>
      <c r="M1563" s="68"/>
      <c r="N1563" s="68"/>
      <c r="O1563" s="68"/>
      <c r="P1563" s="68"/>
      <c r="Q1563" s="68"/>
      <c r="R1563" s="68"/>
      <c r="S1563" s="68"/>
      <c r="T1563" s="68"/>
      <c r="U1563" s="68"/>
      <c r="V1563" s="68"/>
      <c r="W1563" s="68"/>
      <c r="X1563" s="68"/>
      <c r="Y1563" s="68"/>
      <c r="Z1563" s="68"/>
      <c r="AA1563" s="68"/>
    </row>
    <row r="1564" ht="26.25" customHeight="1">
      <c r="A1564" s="68"/>
      <c r="B1564" s="68"/>
      <c r="C1564" s="68"/>
      <c r="D1564" s="71"/>
      <c r="E1564" s="71"/>
      <c r="F1564" s="71"/>
      <c r="G1564" s="65"/>
      <c r="H1564" s="74"/>
      <c r="I1564" s="67" t="str">
        <f>IFERROR(__xludf.DUMMYFUNCTION("if($H1564="""", """", AVERAGE(split($H1564, "";"")))"),"")</f>
        <v/>
      </c>
      <c r="J1564" s="67" t="str">
        <f>IFERROR(__xludf.DUMMYFUNCTION("if(H1564="""", """", SUM(split(H1564, "";"")))"),"")</f>
        <v/>
      </c>
      <c r="K1564" s="68"/>
      <c r="L1564" s="68"/>
      <c r="M1564" s="68"/>
      <c r="N1564" s="68"/>
      <c r="O1564" s="68"/>
      <c r="P1564" s="68"/>
      <c r="Q1564" s="68"/>
      <c r="R1564" s="68"/>
      <c r="S1564" s="68"/>
      <c r="T1564" s="68"/>
      <c r="U1564" s="68"/>
      <c r="V1564" s="68"/>
      <c r="W1564" s="68"/>
      <c r="X1564" s="68"/>
      <c r="Y1564" s="68"/>
      <c r="Z1564" s="68"/>
      <c r="AA1564" s="68"/>
    </row>
    <row r="1565" ht="26.25" customHeight="1">
      <c r="A1565" s="68"/>
      <c r="B1565" s="68"/>
      <c r="C1565" s="68"/>
      <c r="D1565" s="71"/>
      <c r="E1565" s="71"/>
      <c r="F1565" s="71"/>
      <c r="G1565" s="65"/>
      <c r="H1565" s="74"/>
      <c r="I1565" s="67" t="str">
        <f>IFERROR(__xludf.DUMMYFUNCTION("if($H1565="""", """", AVERAGE(split($H1565, "";"")))"),"")</f>
        <v/>
      </c>
      <c r="J1565" s="67" t="str">
        <f>IFERROR(__xludf.DUMMYFUNCTION("if(H1565="""", """", SUM(split(H1565, "";"")))"),"")</f>
        <v/>
      </c>
      <c r="K1565" s="68"/>
      <c r="L1565" s="68"/>
      <c r="M1565" s="68"/>
      <c r="N1565" s="68"/>
      <c r="O1565" s="68"/>
      <c r="P1565" s="68"/>
      <c r="Q1565" s="68"/>
      <c r="R1565" s="68"/>
      <c r="S1565" s="68"/>
      <c r="T1565" s="68"/>
      <c r="U1565" s="68"/>
      <c r="V1565" s="68"/>
      <c r="W1565" s="68"/>
      <c r="X1565" s="68"/>
      <c r="Y1565" s="68"/>
      <c r="Z1565" s="68"/>
      <c r="AA1565" s="68"/>
    </row>
    <row r="1566" ht="26.25" customHeight="1">
      <c r="A1566" s="68"/>
      <c r="B1566" s="68"/>
      <c r="C1566" s="68"/>
      <c r="D1566" s="71"/>
      <c r="E1566" s="71"/>
      <c r="F1566" s="71"/>
      <c r="G1566" s="65"/>
      <c r="H1566" s="74"/>
      <c r="I1566" s="67" t="str">
        <f>IFERROR(__xludf.DUMMYFUNCTION("if($H1566="""", """", AVERAGE(split($H1566, "";"")))"),"")</f>
        <v/>
      </c>
      <c r="J1566" s="67" t="str">
        <f>IFERROR(__xludf.DUMMYFUNCTION("if(H1566="""", """", SUM(split(H1566, "";"")))"),"")</f>
        <v/>
      </c>
      <c r="K1566" s="68"/>
      <c r="L1566" s="68"/>
      <c r="M1566" s="68"/>
      <c r="N1566" s="68"/>
      <c r="O1566" s="68"/>
      <c r="P1566" s="68"/>
      <c r="Q1566" s="68"/>
      <c r="R1566" s="68"/>
      <c r="S1566" s="68"/>
      <c r="T1566" s="68"/>
      <c r="U1566" s="68"/>
      <c r="V1566" s="68"/>
      <c r="W1566" s="68"/>
      <c r="X1566" s="68"/>
      <c r="Y1566" s="68"/>
      <c r="Z1566" s="68"/>
      <c r="AA1566" s="68"/>
    </row>
    <row r="1567" ht="26.25" customHeight="1">
      <c r="A1567" s="68"/>
      <c r="B1567" s="68"/>
      <c r="C1567" s="68"/>
      <c r="D1567" s="71"/>
      <c r="E1567" s="71"/>
      <c r="F1567" s="71"/>
      <c r="G1567" s="65"/>
      <c r="H1567" s="74"/>
      <c r="I1567" s="67" t="str">
        <f>IFERROR(__xludf.DUMMYFUNCTION("if($H1567="""", """", AVERAGE(split($H1567, "";"")))"),"")</f>
        <v/>
      </c>
      <c r="J1567" s="67" t="str">
        <f>IFERROR(__xludf.DUMMYFUNCTION("if(H1567="""", """", SUM(split(H1567, "";"")))"),"")</f>
        <v/>
      </c>
      <c r="K1567" s="68"/>
      <c r="L1567" s="68"/>
      <c r="M1567" s="68"/>
      <c r="N1567" s="68"/>
      <c r="O1567" s="68"/>
      <c r="P1567" s="68"/>
      <c r="Q1567" s="68"/>
      <c r="R1567" s="68"/>
      <c r="S1567" s="68"/>
      <c r="T1567" s="68"/>
      <c r="U1567" s="68"/>
      <c r="V1567" s="68"/>
      <c r="W1567" s="68"/>
      <c r="X1567" s="68"/>
      <c r="Y1567" s="68"/>
      <c r="Z1567" s="68"/>
      <c r="AA1567" s="68"/>
    </row>
    <row r="1568" ht="26.25" customHeight="1">
      <c r="A1568" s="68"/>
      <c r="B1568" s="68"/>
      <c r="C1568" s="68"/>
      <c r="D1568" s="71"/>
      <c r="E1568" s="71"/>
      <c r="F1568" s="71"/>
      <c r="G1568" s="65"/>
      <c r="H1568" s="74"/>
      <c r="I1568" s="67" t="str">
        <f>IFERROR(__xludf.DUMMYFUNCTION("if($H1568="""", """", AVERAGE(split($H1568, "";"")))"),"")</f>
        <v/>
      </c>
      <c r="J1568" s="67" t="str">
        <f>IFERROR(__xludf.DUMMYFUNCTION("if(H1568="""", """", SUM(split(H1568, "";"")))"),"")</f>
        <v/>
      </c>
      <c r="K1568" s="68"/>
      <c r="L1568" s="68"/>
      <c r="M1568" s="68"/>
      <c r="N1568" s="68"/>
      <c r="O1568" s="68"/>
      <c r="P1568" s="68"/>
      <c r="Q1568" s="68"/>
      <c r="R1568" s="68"/>
      <c r="S1568" s="68"/>
      <c r="T1568" s="68"/>
      <c r="U1568" s="68"/>
      <c r="V1568" s="68"/>
      <c r="W1568" s="68"/>
      <c r="X1568" s="68"/>
      <c r="Y1568" s="68"/>
      <c r="Z1568" s="68"/>
      <c r="AA1568" s="68"/>
    </row>
    <row r="1569" ht="26.25" customHeight="1">
      <c r="A1569" s="68"/>
      <c r="B1569" s="68"/>
      <c r="C1569" s="68"/>
      <c r="D1569" s="71"/>
      <c r="E1569" s="71"/>
      <c r="F1569" s="71"/>
      <c r="G1569" s="65"/>
      <c r="H1569" s="74"/>
      <c r="I1569" s="67" t="str">
        <f>IFERROR(__xludf.DUMMYFUNCTION("if($H1569="""", """", AVERAGE(split($H1569, "";"")))"),"")</f>
        <v/>
      </c>
      <c r="J1569" s="67" t="str">
        <f>IFERROR(__xludf.DUMMYFUNCTION("if(H1569="""", """", SUM(split(H1569, "";"")))"),"")</f>
        <v/>
      </c>
      <c r="K1569" s="68"/>
      <c r="L1569" s="68"/>
      <c r="M1569" s="68"/>
      <c r="N1569" s="68"/>
      <c r="O1569" s="68"/>
      <c r="P1569" s="68"/>
      <c r="Q1569" s="68"/>
      <c r="R1569" s="68"/>
      <c r="S1569" s="68"/>
      <c r="T1569" s="68"/>
      <c r="U1569" s="68"/>
      <c r="V1569" s="68"/>
      <c r="W1569" s="68"/>
      <c r="X1569" s="68"/>
      <c r="Y1569" s="68"/>
      <c r="Z1569" s="68"/>
      <c r="AA1569" s="68"/>
    </row>
    <row r="1570" ht="26.25" customHeight="1">
      <c r="A1570" s="68"/>
      <c r="B1570" s="68"/>
      <c r="C1570" s="68"/>
      <c r="D1570" s="71"/>
      <c r="E1570" s="71"/>
      <c r="F1570" s="71"/>
      <c r="G1570" s="65"/>
      <c r="H1570" s="74"/>
      <c r="I1570" s="67" t="str">
        <f>IFERROR(__xludf.DUMMYFUNCTION("if($H1570="""", """", AVERAGE(split($H1570, "";"")))"),"")</f>
        <v/>
      </c>
      <c r="J1570" s="67" t="str">
        <f>IFERROR(__xludf.DUMMYFUNCTION("if(H1570="""", """", SUM(split(H1570, "";"")))"),"")</f>
        <v/>
      </c>
      <c r="K1570" s="68"/>
      <c r="L1570" s="68"/>
      <c r="M1570" s="68"/>
      <c r="N1570" s="68"/>
      <c r="O1570" s="68"/>
      <c r="P1570" s="68"/>
      <c r="Q1570" s="68"/>
      <c r="R1570" s="68"/>
      <c r="S1570" s="68"/>
      <c r="T1570" s="68"/>
      <c r="U1570" s="68"/>
      <c r="V1570" s="68"/>
      <c r="W1570" s="68"/>
      <c r="X1570" s="68"/>
      <c r="Y1570" s="68"/>
      <c r="Z1570" s="68"/>
      <c r="AA1570" s="68"/>
    </row>
    <row r="1571" ht="26.25" customHeight="1">
      <c r="A1571" s="68"/>
      <c r="B1571" s="68"/>
      <c r="C1571" s="68"/>
      <c r="D1571" s="71"/>
      <c r="E1571" s="71"/>
      <c r="F1571" s="71"/>
      <c r="G1571" s="65"/>
      <c r="H1571" s="74"/>
      <c r="I1571" s="67" t="str">
        <f>IFERROR(__xludf.DUMMYFUNCTION("if($H1571="""", """", AVERAGE(split($H1571, "";"")))"),"")</f>
        <v/>
      </c>
      <c r="J1571" s="67" t="str">
        <f>IFERROR(__xludf.DUMMYFUNCTION("if(H1571="""", """", SUM(split(H1571, "";"")))"),"")</f>
        <v/>
      </c>
      <c r="K1571" s="68"/>
      <c r="L1571" s="68"/>
      <c r="M1571" s="68"/>
      <c r="N1571" s="68"/>
      <c r="O1571" s="68"/>
      <c r="P1571" s="68"/>
      <c r="Q1571" s="68"/>
      <c r="R1571" s="68"/>
      <c r="S1571" s="68"/>
      <c r="T1571" s="68"/>
      <c r="U1571" s="68"/>
      <c r="V1571" s="68"/>
      <c r="W1571" s="68"/>
      <c r="X1571" s="68"/>
      <c r="Y1571" s="68"/>
      <c r="Z1571" s="68"/>
      <c r="AA1571" s="68"/>
    </row>
    <row r="1572" ht="26.25" customHeight="1">
      <c r="A1572" s="68"/>
      <c r="B1572" s="68"/>
      <c r="C1572" s="68"/>
      <c r="D1572" s="71"/>
      <c r="E1572" s="71"/>
      <c r="F1572" s="71"/>
      <c r="G1572" s="65"/>
      <c r="H1572" s="74"/>
      <c r="I1572" s="67" t="str">
        <f>IFERROR(__xludf.DUMMYFUNCTION("if($H1572="""", """", AVERAGE(split($H1572, "";"")))"),"")</f>
        <v/>
      </c>
      <c r="J1572" s="67" t="str">
        <f>IFERROR(__xludf.DUMMYFUNCTION("if(H1572="""", """", SUM(split(H1572, "";"")))"),"")</f>
        <v/>
      </c>
      <c r="K1572" s="68"/>
      <c r="L1572" s="68"/>
      <c r="M1572" s="68"/>
      <c r="N1572" s="68"/>
      <c r="O1572" s="68"/>
      <c r="P1572" s="68"/>
      <c r="Q1572" s="68"/>
      <c r="R1572" s="68"/>
      <c r="S1572" s="68"/>
      <c r="T1572" s="68"/>
      <c r="U1572" s="68"/>
      <c r="V1572" s="68"/>
      <c r="W1572" s="68"/>
      <c r="X1572" s="68"/>
      <c r="Y1572" s="68"/>
      <c r="Z1572" s="68"/>
      <c r="AA1572" s="68"/>
    </row>
    <row r="1573" ht="26.25" customHeight="1">
      <c r="A1573" s="68"/>
      <c r="B1573" s="68"/>
      <c r="C1573" s="68"/>
      <c r="D1573" s="71"/>
      <c r="E1573" s="71"/>
      <c r="F1573" s="71"/>
      <c r="G1573" s="65"/>
      <c r="H1573" s="74"/>
      <c r="I1573" s="67" t="str">
        <f>IFERROR(__xludf.DUMMYFUNCTION("if($H1573="""", """", AVERAGE(split($H1573, "";"")))"),"")</f>
        <v/>
      </c>
      <c r="J1573" s="67" t="str">
        <f>IFERROR(__xludf.DUMMYFUNCTION("if(H1573="""", """", SUM(split(H1573, "";"")))"),"")</f>
        <v/>
      </c>
      <c r="K1573" s="68"/>
      <c r="L1573" s="68"/>
      <c r="M1573" s="68"/>
      <c r="N1573" s="68"/>
      <c r="O1573" s="68"/>
      <c r="P1573" s="68"/>
      <c r="Q1573" s="68"/>
      <c r="R1573" s="68"/>
      <c r="S1573" s="68"/>
      <c r="T1573" s="68"/>
      <c r="U1573" s="68"/>
      <c r="V1573" s="68"/>
      <c r="W1573" s="68"/>
      <c r="X1573" s="68"/>
      <c r="Y1573" s="68"/>
      <c r="Z1573" s="68"/>
      <c r="AA1573" s="68"/>
    </row>
    <row r="1574" ht="26.25" customHeight="1">
      <c r="A1574" s="68"/>
      <c r="B1574" s="68"/>
      <c r="C1574" s="68"/>
      <c r="D1574" s="71"/>
      <c r="E1574" s="71"/>
      <c r="F1574" s="71"/>
      <c r="G1574" s="65"/>
      <c r="H1574" s="74"/>
      <c r="I1574" s="67" t="str">
        <f>IFERROR(__xludf.DUMMYFUNCTION("if($H1574="""", """", AVERAGE(split($H1574, "";"")))"),"")</f>
        <v/>
      </c>
      <c r="J1574" s="67" t="str">
        <f>IFERROR(__xludf.DUMMYFUNCTION("if(H1574="""", """", SUM(split(H1574, "";"")))"),"")</f>
        <v/>
      </c>
      <c r="K1574" s="68"/>
      <c r="L1574" s="68"/>
      <c r="M1574" s="68"/>
      <c r="N1574" s="68"/>
      <c r="O1574" s="68"/>
      <c r="P1574" s="68"/>
      <c r="Q1574" s="68"/>
      <c r="R1574" s="68"/>
      <c r="S1574" s="68"/>
      <c r="T1574" s="68"/>
      <c r="U1574" s="68"/>
      <c r="V1574" s="68"/>
      <c r="W1574" s="68"/>
      <c r="X1574" s="68"/>
      <c r="Y1574" s="68"/>
      <c r="Z1574" s="68"/>
      <c r="AA1574" s="68"/>
    </row>
    <row r="1575" ht="26.25" customHeight="1">
      <c r="A1575" s="68"/>
      <c r="B1575" s="68"/>
      <c r="C1575" s="68"/>
      <c r="D1575" s="71"/>
      <c r="E1575" s="71"/>
      <c r="F1575" s="71"/>
      <c r="G1575" s="65"/>
      <c r="H1575" s="74"/>
      <c r="I1575" s="67" t="str">
        <f>IFERROR(__xludf.DUMMYFUNCTION("if($H1575="""", """", AVERAGE(split($H1575, "";"")))"),"")</f>
        <v/>
      </c>
      <c r="J1575" s="67" t="str">
        <f>IFERROR(__xludf.DUMMYFUNCTION("if(H1575="""", """", SUM(split(H1575, "";"")))"),"")</f>
        <v/>
      </c>
      <c r="K1575" s="68"/>
      <c r="L1575" s="68"/>
      <c r="M1575" s="68"/>
      <c r="N1575" s="68"/>
      <c r="O1575" s="68"/>
      <c r="P1575" s="68"/>
      <c r="Q1575" s="68"/>
      <c r="R1575" s="68"/>
      <c r="S1575" s="68"/>
      <c r="T1575" s="68"/>
      <c r="U1575" s="68"/>
      <c r="V1575" s="68"/>
      <c r="W1575" s="68"/>
      <c r="X1575" s="68"/>
      <c r="Y1575" s="68"/>
      <c r="Z1575" s="68"/>
      <c r="AA1575" s="68"/>
    </row>
    <row r="1576" ht="26.25" customHeight="1">
      <c r="A1576" s="68"/>
      <c r="B1576" s="68"/>
      <c r="C1576" s="68"/>
      <c r="D1576" s="71"/>
      <c r="E1576" s="71"/>
      <c r="F1576" s="71"/>
      <c r="G1576" s="65"/>
      <c r="H1576" s="74"/>
      <c r="I1576" s="67" t="str">
        <f>IFERROR(__xludf.DUMMYFUNCTION("if($H1576="""", """", AVERAGE(split($H1576, "";"")))"),"")</f>
        <v/>
      </c>
      <c r="J1576" s="67" t="str">
        <f>IFERROR(__xludf.DUMMYFUNCTION("if(H1576="""", """", SUM(split(H1576, "";"")))"),"")</f>
        <v/>
      </c>
      <c r="K1576" s="68"/>
      <c r="L1576" s="68"/>
      <c r="M1576" s="68"/>
      <c r="N1576" s="68"/>
      <c r="O1576" s="68"/>
      <c r="P1576" s="68"/>
      <c r="Q1576" s="68"/>
      <c r="R1576" s="68"/>
      <c r="S1576" s="68"/>
      <c r="T1576" s="68"/>
      <c r="U1576" s="68"/>
      <c r="V1576" s="68"/>
      <c r="W1576" s="68"/>
      <c r="X1576" s="68"/>
      <c r="Y1576" s="68"/>
      <c r="Z1576" s="68"/>
      <c r="AA1576" s="68"/>
    </row>
    <row r="1577" ht="26.25" customHeight="1">
      <c r="A1577" s="68"/>
      <c r="B1577" s="68"/>
      <c r="C1577" s="68"/>
      <c r="D1577" s="71"/>
      <c r="E1577" s="71"/>
      <c r="F1577" s="71"/>
      <c r="G1577" s="65"/>
      <c r="H1577" s="74"/>
      <c r="I1577" s="67" t="str">
        <f>IFERROR(__xludf.DUMMYFUNCTION("if($H1577="""", """", AVERAGE(split($H1577, "";"")))"),"")</f>
        <v/>
      </c>
      <c r="J1577" s="67" t="str">
        <f>IFERROR(__xludf.DUMMYFUNCTION("if(H1577="""", """", SUM(split(H1577, "";"")))"),"")</f>
        <v/>
      </c>
      <c r="K1577" s="68"/>
      <c r="L1577" s="68"/>
      <c r="M1577" s="68"/>
      <c r="N1577" s="68"/>
      <c r="O1577" s="68"/>
      <c r="P1577" s="68"/>
      <c r="Q1577" s="68"/>
      <c r="R1577" s="68"/>
      <c r="S1577" s="68"/>
      <c r="T1577" s="68"/>
      <c r="U1577" s="68"/>
      <c r="V1577" s="68"/>
      <c r="W1577" s="68"/>
      <c r="X1577" s="68"/>
      <c r="Y1577" s="68"/>
      <c r="Z1577" s="68"/>
      <c r="AA1577" s="68"/>
    </row>
    <row r="1578" ht="26.25" customHeight="1">
      <c r="A1578" s="68"/>
      <c r="B1578" s="68"/>
      <c r="C1578" s="68"/>
      <c r="D1578" s="71"/>
      <c r="E1578" s="71"/>
      <c r="F1578" s="71"/>
      <c r="G1578" s="65"/>
      <c r="H1578" s="74"/>
      <c r="I1578" s="67" t="str">
        <f>IFERROR(__xludf.DUMMYFUNCTION("if($H1578="""", """", AVERAGE(split($H1578, "";"")))"),"")</f>
        <v/>
      </c>
      <c r="J1578" s="67" t="str">
        <f>IFERROR(__xludf.DUMMYFUNCTION("if(H1578="""", """", SUM(split(H1578, "";"")))"),"")</f>
        <v/>
      </c>
      <c r="K1578" s="68"/>
      <c r="L1578" s="68"/>
      <c r="M1578" s="68"/>
      <c r="N1578" s="68"/>
      <c r="O1578" s="68"/>
      <c r="P1578" s="68"/>
      <c r="Q1578" s="68"/>
      <c r="R1578" s="68"/>
      <c r="S1578" s="68"/>
      <c r="T1578" s="68"/>
      <c r="U1578" s="68"/>
      <c r="V1578" s="68"/>
      <c r="W1578" s="68"/>
      <c r="X1578" s="68"/>
      <c r="Y1578" s="68"/>
      <c r="Z1578" s="68"/>
      <c r="AA1578" s="68"/>
    </row>
    <row r="1579" ht="26.25" customHeight="1">
      <c r="A1579" s="68"/>
      <c r="B1579" s="68"/>
      <c r="C1579" s="68"/>
      <c r="D1579" s="71"/>
      <c r="E1579" s="71"/>
      <c r="F1579" s="71"/>
      <c r="G1579" s="65"/>
      <c r="H1579" s="74"/>
      <c r="I1579" s="67" t="str">
        <f>IFERROR(__xludf.DUMMYFUNCTION("if($H1579="""", """", AVERAGE(split($H1579, "";"")))"),"")</f>
        <v/>
      </c>
      <c r="J1579" s="67" t="str">
        <f>IFERROR(__xludf.DUMMYFUNCTION("if(H1579="""", """", SUM(split(H1579, "";"")))"),"")</f>
        <v/>
      </c>
      <c r="K1579" s="68"/>
      <c r="L1579" s="68"/>
      <c r="M1579" s="68"/>
      <c r="N1579" s="68"/>
      <c r="O1579" s="68"/>
      <c r="P1579" s="68"/>
      <c r="Q1579" s="68"/>
      <c r="R1579" s="68"/>
      <c r="S1579" s="68"/>
      <c r="T1579" s="68"/>
      <c r="U1579" s="68"/>
      <c r="V1579" s="68"/>
      <c r="W1579" s="68"/>
      <c r="X1579" s="68"/>
      <c r="Y1579" s="68"/>
      <c r="Z1579" s="68"/>
      <c r="AA1579" s="68"/>
    </row>
    <row r="1580" ht="26.25" customHeight="1">
      <c r="A1580" s="68"/>
      <c r="B1580" s="68"/>
      <c r="C1580" s="68"/>
      <c r="D1580" s="71"/>
      <c r="E1580" s="71"/>
      <c r="F1580" s="71"/>
      <c r="G1580" s="65"/>
      <c r="H1580" s="74"/>
      <c r="I1580" s="67" t="str">
        <f>IFERROR(__xludf.DUMMYFUNCTION("if($H1580="""", """", AVERAGE(split($H1580, "";"")))"),"")</f>
        <v/>
      </c>
      <c r="J1580" s="67" t="str">
        <f>IFERROR(__xludf.DUMMYFUNCTION("if(H1580="""", """", SUM(split(H1580, "";"")))"),"")</f>
        <v/>
      </c>
      <c r="K1580" s="68"/>
      <c r="L1580" s="68"/>
      <c r="M1580" s="68"/>
      <c r="N1580" s="68"/>
      <c r="O1580" s="68"/>
      <c r="P1580" s="68"/>
      <c r="Q1580" s="68"/>
      <c r="R1580" s="68"/>
      <c r="S1580" s="68"/>
      <c r="T1580" s="68"/>
      <c r="U1580" s="68"/>
      <c r="V1580" s="68"/>
      <c r="W1580" s="68"/>
      <c r="X1580" s="68"/>
      <c r="Y1580" s="68"/>
      <c r="Z1580" s="68"/>
      <c r="AA1580" s="68"/>
    </row>
    <row r="1581" ht="26.25" customHeight="1">
      <c r="A1581" s="68"/>
      <c r="B1581" s="68"/>
      <c r="C1581" s="68"/>
      <c r="D1581" s="71"/>
      <c r="E1581" s="71"/>
      <c r="F1581" s="71"/>
      <c r="G1581" s="65"/>
      <c r="H1581" s="74"/>
      <c r="I1581" s="67" t="str">
        <f>IFERROR(__xludf.DUMMYFUNCTION("if($H1581="""", """", AVERAGE(split($H1581, "";"")))"),"")</f>
        <v/>
      </c>
      <c r="J1581" s="67" t="str">
        <f>IFERROR(__xludf.DUMMYFUNCTION("if(H1581="""", """", SUM(split(H1581, "";"")))"),"")</f>
        <v/>
      </c>
      <c r="K1581" s="68"/>
      <c r="L1581" s="68"/>
      <c r="M1581" s="68"/>
      <c r="N1581" s="68"/>
      <c r="O1581" s="68"/>
      <c r="P1581" s="68"/>
      <c r="Q1581" s="68"/>
      <c r="R1581" s="68"/>
      <c r="S1581" s="68"/>
      <c r="T1581" s="68"/>
      <c r="U1581" s="68"/>
      <c r="V1581" s="68"/>
      <c r="W1581" s="68"/>
      <c r="X1581" s="68"/>
      <c r="Y1581" s="68"/>
      <c r="Z1581" s="68"/>
      <c r="AA1581" s="68"/>
    </row>
    <row r="1582" ht="26.25" customHeight="1">
      <c r="A1582" s="68"/>
      <c r="B1582" s="68"/>
      <c r="C1582" s="68"/>
      <c r="D1582" s="71"/>
      <c r="E1582" s="71"/>
      <c r="F1582" s="71"/>
      <c r="G1582" s="65"/>
      <c r="H1582" s="74"/>
      <c r="I1582" s="67" t="str">
        <f>IFERROR(__xludf.DUMMYFUNCTION("if($H1582="""", """", AVERAGE(split($H1582, "";"")))"),"")</f>
        <v/>
      </c>
      <c r="J1582" s="67" t="str">
        <f>IFERROR(__xludf.DUMMYFUNCTION("if(H1582="""", """", SUM(split(H1582, "";"")))"),"")</f>
        <v/>
      </c>
      <c r="K1582" s="68"/>
      <c r="L1582" s="68"/>
      <c r="M1582" s="68"/>
      <c r="N1582" s="68"/>
      <c r="O1582" s="68"/>
      <c r="P1582" s="68"/>
      <c r="Q1582" s="68"/>
      <c r="R1582" s="68"/>
      <c r="S1582" s="68"/>
      <c r="T1582" s="68"/>
      <c r="U1582" s="68"/>
      <c r="V1582" s="68"/>
      <c r="W1582" s="68"/>
      <c r="X1582" s="68"/>
      <c r="Y1582" s="68"/>
      <c r="Z1582" s="68"/>
      <c r="AA1582" s="68"/>
    </row>
    <row r="1583" ht="26.25" customHeight="1">
      <c r="A1583" s="68"/>
      <c r="B1583" s="68"/>
      <c r="C1583" s="68"/>
      <c r="D1583" s="71"/>
      <c r="E1583" s="71"/>
      <c r="F1583" s="71"/>
      <c r="G1583" s="65"/>
      <c r="H1583" s="74"/>
      <c r="I1583" s="67" t="str">
        <f>IFERROR(__xludf.DUMMYFUNCTION("if($H1583="""", """", AVERAGE(split($H1583, "";"")))"),"")</f>
        <v/>
      </c>
      <c r="J1583" s="67" t="str">
        <f>IFERROR(__xludf.DUMMYFUNCTION("if(H1583="""", """", SUM(split(H1583, "";"")))"),"")</f>
        <v/>
      </c>
      <c r="K1583" s="68"/>
      <c r="L1583" s="68"/>
      <c r="M1583" s="68"/>
      <c r="N1583" s="68"/>
      <c r="O1583" s="68"/>
      <c r="P1583" s="68"/>
      <c r="Q1583" s="68"/>
      <c r="R1583" s="68"/>
      <c r="S1583" s="68"/>
      <c r="T1583" s="68"/>
      <c r="U1583" s="68"/>
      <c r="V1583" s="68"/>
      <c r="W1583" s="68"/>
      <c r="X1583" s="68"/>
      <c r="Y1583" s="68"/>
      <c r="Z1583" s="68"/>
      <c r="AA1583" s="68"/>
    </row>
    <row r="1584" ht="26.25" customHeight="1">
      <c r="A1584" s="68"/>
      <c r="B1584" s="68"/>
      <c r="C1584" s="68"/>
      <c r="D1584" s="71"/>
      <c r="E1584" s="71"/>
      <c r="F1584" s="71"/>
      <c r="G1584" s="65"/>
      <c r="H1584" s="74"/>
      <c r="I1584" s="67" t="str">
        <f>IFERROR(__xludf.DUMMYFUNCTION("if($H1584="""", """", AVERAGE(split($H1584, "";"")))"),"")</f>
        <v/>
      </c>
      <c r="J1584" s="67" t="str">
        <f>IFERROR(__xludf.DUMMYFUNCTION("if(H1584="""", """", SUM(split(H1584, "";"")))"),"")</f>
        <v/>
      </c>
      <c r="K1584" s="68"/>
      <c r="L1584" s="68"/>
      <c r="M1584" s="68"/>
      <c r="N1584" s="68"/>
      <c r="O1584" s="68"/>
      <c r="P1584" s="68"/>
      <c r="Q1584" s="68"/>
      <c r="R1584" s="68"/>
      <c r="S1584" s="68"/>
      <c r="T1584" s="68"/>
      <c r="U1584" s="68"/>
      <c r="V1584" s="68"/>
      <c r="W1584" s="68"/>
      <c r="X1584" s="68"/>
      <c r="Y1584" s="68"/>
      <c r="Z1584" s="68"/>
      <c r="AA1584" s="68"/>
    </row>
    <row r="1585" ht="26.25" customHeight="1">
      <c r="A1585" s="68"/>
      <c r="B1585" s="68"/>
      <c r="C1585" s="68"/>
      <c r="D1585" s="71"/>
      <c r="E1585" s="71"/>
      <c r="F1585" s="71"/>
      <c r="G1585" s="65"/>
      <c r="H1585" s="74"/>
      <c r="I1585" s="67" t="str">
        <f>IFERROR(__xludf.DUMMYFUNCTION("if($H1585="""", """", AVERAGE(split($H1585, "";"")))"),"")</f>
        <v/>
      </c>
      <c r="J1585" s="67" t="str">
        <f>IFERROR(__xludf.DUMMYFUNCTION("if(H1585="""", """", SUM(split(H1585, "";"")))"),"")</f>
        <v/>
      </c>
      <c r="K1585" s="68"/>
      <c r="L1585" s="68"/>
      <c r="M1585" s="68"/>
      <c r="N1585" s="68"/>
      <c r="O1585" s="68"/>
      <c r="P1585" s="68"/>
      <c r="Q1585" s="68"/>
      <c r="R1585" s="68"/>
      <c r="S1585" s="68"/>
      <c r="T1585" s="68"/>
      <c r="U1585" s="68"/>
      <c r="V1585" s="68"/>
      <c r="W1585" s="68"/>
      <c r="X1585" s="68"/>
      <c r="Y1585" s="68"/>
      <c r="Z1585" s="68"/>
      <c r="AA1585" s="68"/>
    </row>
    <row r="1586" ht="26.25" customHeight="1">
      <c r="A1586" s="68"/>
      <c r="B1586" s="68"/>
      <c r="C1586" s="68"/>
      <c r="D1586" s="71"/>
      <c r="E1586" s="71"/>
      <c r="F1586" s="71"/>
      <c r="G1586" s="65"/>
      <c r="H1586" s="74"/>
      <c r="I1586" s="67" t="str">
        <f>IFERROR(__xludf.DUMMYFUNCTION("if($H1586="""", """", AVERAGE(split($H1586, "";"")))"),"")</f>
        <v/>
      </c>
      <c r="J1586" s="67" t="str">
        <f>IFERROR(__xludf.DUMMYFUNCTION("if(H1586="""", """", SUM(split(H1586, "";"")))"),"")</f>
        <v/>
      </c>
      <c r="K1586" s="68"/>
      <c r="L1586" s="68"/>
      <c r="M1586" s="68"/>
      <c r="N1586" s="68"/>
      <c r="O1586" s="68"/>
      <c r="P1586" s="68"/>
      <c r="Q1586" s="68"/>
      <c r="R1586" s="68"/>
      <c r="S1586" s="68"/>
      <c r="T1586" s="68"/>
      <c r="U1586" s="68"/>
      <c r="V1586" s="68"/>
      <c r="W1586" s="68"/>
      <c r="X1586" s="68"/>
      <c r="Y1586" s="68"/>
      <c r="Z1586" s="68"/>
      <c r="AA1586" s="68"/>
    </row>
    <row r="1587" ht="26.25" customHeight="1">
      <c r="A1587" s="68"/>
      <c r="B1587" s="68"/>
      <c r="C1587" s="68"/>
      <c r="D1587" s="71"/>
      <c r="E1587" s="71"/>
      <c r="F1587" s="71"/>
      <c r="G1587" s="65"/>
      <c r="H1587" s="74"/>
      <c r="I1587" s="67" t="str">
        <f>IFERROR(__xludf.DUMMYFUNCTION("if($H1587="""", """", AVERAGE(split($H1587, "";"")))"),"")</f>
        <v/>
      </c>
      <c r="J1587" s="67" t="str">
        <f>IFERROR(__xludf.DUMMYFUNCTION("if(H1587="""", """", SUM(split(H1587, "";"")))"),"")</f>
        <v/>
      </c>
      <c r="K1587" s="68"/>
      <c r="L1587" s="68"/>
      <c r="M1587" s="68"/>
      <c r="N1587" s="68"/>
      <c r="O1587" s="68"/>
      <c r="P1587" s="68"/>
      <c r="Q1587" s="68"/>
      <c r="R1587" s="68"/>
      <c r="S1587" s="68"/>
      <c r="T1587" s="68"/>
      <c r="U1587" s="68"/>
      <c r="V1587" s="68"/>
      <c r="W1587" s="68"/>
      <c r="X1587" s="68"/>
      <c r="Y1587" s="68"/>
      <c r="Z1587" s="68"/>
      <c r="AA1587" s="68"/>
    </row>
    <row r="1588" ht="26.25" customHeight="1">
      <c r="A1588" s="68"/>
      <c r="B1588" s="68"/>
      <c r="C1588" s="68"/>
      <c r="D1588" s="71"/>
      <c r="E1588" s="71"/>
      <c r="F1588" s="71"/>
      <c r="G1588" s="65"/>
      <c r="H1588" s="74"/>
      <c r="I1588" s="67" t="str">
        <f>IFERROR(__xludf.DUMMYFUNCTION("if($H1588="""", """", AVERAGE(split($H1588, "";"")))"),"")</f>
        <v/>
      </c>
      <c r="J1588" s="67" t="str">
        <f>IFERROR(__xludf.DUMMYFUNCTION("if(H1588="""", """", SUM(split(H1588, "";"")))"),"")</f>
        <v/>
      </c>
      <c r="K1588" s="68"/>
      <c r="L1588" s="68"/>
      <c r="M1588" s="68"/>
      <c r="N1588" s="68"/>
      <c r="O1588" s="68"/>
      <c r="P1588" s="68"/>
      <c r="Q1588" s="68"/>
      <c r="R1588" s="68"/>
      <c r="S1588" s="68"/>
      <c r="T1588" s="68"/>
      <c r="U1588" s="68"/>
      <c r="V1588" s="68"/>
      <c r="W1588" s="68"/>
      <c r="X1588" s="68"/>
      <c r="Y1588" s="68"/>
      <c r="Z1588" s="68"/>
      <c r="AA1588" s="68"/>
    </row>
    <row r="1589" ht="26.25" customHeight="1">
      <c r="A1589" s="68"/>
      <c r="B1589" s="68"/>
      <c r="C1589" s="68"/>
      <c r="D1589" s="71"/>
      <c r="E1589" s="71"/>
      <c r="F1589" s="71"/>
      <c r="G1589" s="65"/>
      <c r="H1589" s="74"/>
      <c r="I1589" s="67" t="str">
        <f>IFERROR(__xludf.DUMMYFUNCTION("if($H1589="""", """", AVERAGE(split($H1589, "";"")))"),"")</f>
        <v/>
      </c>
      <c r="J1589" s="67" t="str">
        <f>IFERROR(__xludf.DUMMYFUNCTION("if(H1589="""", """", SUM(split(H1589, "";"")))"),"")</f>
        <v/>
      </c>
      <c r="K1589" s="68"/>
      <c r="L1589" s="68"/>
      <c r="M1589" s="68"/>
      <c r="N1589" s="68"/>
      <c r="O1589" s="68"/>
      <c r="P1589" s="68"/>
      <c r="Q1589" s="68"/>
      <c r="R1589" s="68"/>
      <c r="S1589" s="68"/>
      <c r="T1589" s="68"/>
      <c r="U1589" s="68"/>
      <c r="V1589" s="68"/>
      <c r="W1589" s="68"/>
      <c r="X1589" s="68"/>
      <c r="Y1589" s="68"/>
      <c r="Z1589" s="68"/>
      <c r="AA1589" s="68"/>
    </row>
    <row r="1590" ht="26.25" customHeight="1">
      <c r="A1590" s="68"/>
      <c r="B1590" s="68"/>
      <c r="C1590" s="68"/>
      <c r="D1590" s="71"/>
      <c r="E1590" s="71"/>
      <c r="F1590" s="71"/>
      <c r="G1590" s="65"/>
      <c r="H1590" s="74"/>
      <c r="I1590" s="67" t="str">
        <f>IFERROR(__xludf.DUMMYFUNCTION("if($H1590="""", """", AVERAGE(split($H1590, "";"")))"),"")</f>
        <v/>
      </c>
      <c r="J1590" s="67" t="str">
        <f>IFERROR(__xludf.DUMMYFUNCTION("if(H1590="""", """", SUM(split(H1590, "";"")))"),"")</f>
        <v/>
      </c>
      <c r="K1590" s="68"/>
      <c r="L1590" s="68"/>
      <c r="M1590" s="68"/>
      <c r="N1590" s="68"/>
      <c r="O1590" s="68"/>
      <c r="P1590" s="68"/>
      <c r="Q1590" s="68"/>
      <c r="R1590" s="68"/>
      <c r="S1590" s="68"/>
      <c r="T1590" s="68"/>
      <c r="U1590" s="68"/>
      <c r="V1590" s="68"/>
      <c r="W1590" s="68"/>
      <c r="X1590" s="68"/>
      <c r="Y1590" s="68"/>
      <c r="Z1590" s="68"/>
      <c r="AA1590" s="68"/>
    </row>
    <row r="1591" ht="26.25" customHeight="1">
      <c r="A1591" s="68"/>
      <c r="B1591" s="68"/>
      <c r="C1591" s="68"/>
      <c r="D1591" s="71"/>
      <c r="E1591" s="71"/>
      <c r="F1591" s="71"/>
      <c r="G1591" s="65"/>
      <c r="H1591" s="74"/>
      <c r="I1591" s="67" t="str">
        <f>IFERROR(__xludf.DUMMYFUNCTION("if($H1591="""", """", AVERAGE(split($H1591, "";"")))"),"")</f>
        <v/>
      </c>
      <c r="J1591" s="67" t="str">
        <f>IFERROR(__xludf.DUMMYFUNCTION("if(H1591="""", """", SUM(split(H1591, "";"")))"),"")</f>
        <v/>
      </c>
      <c r="K1591" s="68"/>
      <c r="L1591" s="68"/>
      <c r="M1591" s="68"/>
      <c r="N1591" s="68"/>
      <c r="O1591" s="68"/>
      <c r="P1591" s="68"/>
      <c r="Q1591" s="68"/>
      <c r="R1591" s="68"/>
      <c r="S1591" s="68"/>
      <c r="T1591" s="68"/>
      <c r="U1591" s="68"/>
      <c r="V1591" s="68"/>
      <c r="W1591" s="68"/>
      <c r="X1591" s="68"/>
      <c r="Y1591" s="68"/>
      <c r="Z1591" s="68"/>
      <c r="AA1591" s="68"/>
    </row>
    <row r="1592" ht="26.25" customHeight="1">
      <c r="A1592" s="68"/>
      <c r="B1592" s="68"/>
      <c r="C1592" s="68"/>
      <c r="D1592" s="71"/>
      <c r="E1592" s="71"/>
      <c r="F1592" s="71"/>
      <c r="G1592" s="65"/>
      <c r="H1592" s="74"/>
      <c r="I1592" s="67" t="str">
        <f>IFERROR(__xludf.DUMMYFUNCTION("if($H1592="""", """", AVERAGE(split($H1592, "";"")))"),"")</f>
        <v/>
      </c>
      <c r="J1592" s="67" t="str">
        <f>IFERROR(__xludf.DUMMYFUNCTION("if(H1592="""", """", SUM(split(H1592, "";"")))"),"")</f>
        <v/>
      </c>
      <c r="K1592" s="68"/>
      <c r="L1592" s="68"/>
      <c r="M1592" s="68"/>
      <c r="N1592" s="68"/>
      <c r="O1592" s="68"/>
      <c r="P1592" s="68"/>
      <c r="Q1592" s="68"/>
      <c r="R1592" s="68"/>
      <c r="S1592" s="68"/>
      <c r="T1592" s="68"/>
      <c r="U1592" s="68"/>
      <c r="V1592" s="68"/>
      <c r="W1592" s="68"/>
      <c r="X1592" s="68"/>
      <c r="Y1592" s="68"/>
      <c r="Z1592" s="68"/>
      <c r="AA1592" s="68"/>
    </row>
    <row r="1593" ht="26.25" customHeight="1">
      <c r="A1593" s="68"/>
      <c r="B1593" s="68"/>
      <c r="C1593" s="68"/>
      <c r="D1593" s="71"/>
      <c r="E1593" s="71"/>
      <c r="F1593" s="71"/>
      <c r="G1593" s="65"/>
      <c r="H1593" s="74"/>
      <c r="I1593" s="67" t="str">
        <f>IFERROR(__xludf.DUMMYFUNCTION("if($H1593="""", """", AVERAGE(split($H1593, "";"")))"),"")</f>
        <v/>
      </c>
      <c r="J1593" s="67" t="str">
        <f>IFERROR(__xludf.DUMMYFUNCTION("if(H1593="""", """", SUM(split(H1593, "";"")))"),"")</f>
        <v/>
      </c>
      <c r="K1593" s="68"/>
      <c r="L1593" s="68"/>
      <c r="M1593" s="68"/>
      <c r="N1593" s="68"/>
      <c r="O1593" s="68"/>
      <c r="P1593" s="68"/>
      <c r="Q1593" s="68"/>
      <c r="R1593" s="68"/>
      <c r="S1593" s="68"/>
      <c r="T1593" s="68"/>
      <c r="U1593" s="68"/>
      <c r="V1593" s="68"/>
      <c r="W1593" s="68"/>
      <c r="X1593" s="68"/>
      <c r="Y1593" s="68"/>
      <c r="Z1593" s="68"/>
      <c r="AA1593" s="68"/>
    </row>
    <row r="1594" ht="26.25" customHeight="1">
      <c r="A1594" s="68"/>
      <c r="B1594" s="68"/>
      <c r="C1594" s="68"/>
      <c r="D1594" s="71"/>
      <c r="E1594" s="71"/>
      <c r="F1594" s="71"/>
      <c r="G1594" s="65"/>
      <c r="H1594" s="74"/>
      <c r="I1594" s="67" t="str">
        <f>IFERROR(__xludf.DUMMYFUNCTION("if($H1594="""", """", AVERAGE(split($H1594, "";"")))"),"")</f>
        <v/>
      </c>
      <c r="J1594" s="67" t="str">
        <f>IFERROR(__xludf.DUMMYFUNCTION("if(H1594="""", """", SUM(split(H1594, "";"")))"),"")</f>
        <v/>
      </c>
      <c r="K1594" s="68"/>
      <c r="L1594" s="68"/>
      <c r="M1594" s="68"/>
      <c r="N1594" s="68"/>
      <c r="O1594" s="68"/>
      <c r="P1594" s="68"/>
      <c r="Q1594" s="68"/>
      <c r="R1594" s="68"/>
      <c r="S1594" s="68"/>
      <c r="T1594" s="68"/>
      <c r="U1594" s="68"/>
      <c r="V1594" s="68"/>
      <c r="W1594" s="68"/>
      <c r="X1594" s="68"/>
      <c r="Y1594" s="68"/>
      <c r="Z1594" s="68"/>
      <c r="AA1594" s="68"/>
    </row>
    <row r="1595" ht="26.25" customHeight="1">
      <c r="A1595" s="68"/>
      <c r="B1595" s="68"/>
      <c r="C1595" s="68"/>
      <c r="D1595" s="71"/>
      <c r="E1595" s="71"/>
      <c r="F1595" s="71"/>
      <c r="G1595" s="65"/>
      <c r="H1595" s="74"/>
      <c r="I1595" s="67" t="str">
        <f>IFERROR(__xludf.DUMMYFUNCTION("if($H1595="""", """", AVERAGE(split($H1595, "";"")))"),"")</f>
        <v/>
      </c>
      <c r="J1595" s="67" t="str">
        <f>IFERROR(__xludf.DUMMYFUNCTION("if(H1595="""", """", SUM(split(H1595, "";"")))"),"")</f>
        <v/>
      </c>
      <c r="K1595" s="68"/>
      <c r="L1595" s="68"/>
      <c r="M1595" s="68"/>
      <c r="N1595" s="68"/>
      <c r="O1595" s="68"/>
      <c r="P1595" s="68"/>
      <c r="Q1595" s="68"/>
      <c r="R1595" s="68"/>
      <c r="S1595" s="68"/>
      <c r="T1595" s="68"/>
      <c r="U1595" s="68"/>
      <c r="V1595" s="68"/>
      <c r="W1595" s="68"/>
      <c r="X1595" s="68"/>
      <c r="Y1595" s="68"/>
      <c r="Z1595" s="68"/>
      <c r="AA1595" s="68"/>
    </row>
    <row r="1596" ht="26.25" customHeight="1">
      <c r="A1596" s="68"/>
      <c r="B1596" s="68"/>
      <c r="C1596" s="68"/>
      <c r="D1596" s="71"/>
      <c r="E1596" s="71"/>
      <c r="F1596" s="71"/>
      <c r="G1596" s="65"/>
      <c r="H1596" s="74"/>
      <c r="I1596" s="67" t="str">
        <f>IFERROR(__xludf.DUMMYFUNCTION("if($H1596="""", """", AVERAGE(split($H1596, "";"")))"),"")</f>
        <v/>
      </c>
      <c r="J1596" s="67" t="str">
        <f>IFERROR(__xludf.DUMMYFUNCTION("if(H1596="""", """", SUM(split(H1596, "";"")))"),"")</f>
        <v/>
      </c>
      <c r="K1596" s="68"/>
      <c r="L1596" s="68"/>
      <c r="M1596" s="68"/>
      <c r="N1596" s="68"/>
      <c r="O1596" s="68"/>
      <c r="P1596" s="68"/>
      <c r="Q1596" s="68"/>
      <c r="R1596" s="68"/>
      <c r="S1596" s="68"/>
      <c r="T1596" s="68"/>
      <c r="U1596" s="68"/>
      <c r="V1596" s="68"/>
      <c r="W1596" s="68"/>
      <c r="X1596" s="68"/>
      <c r="Y1596" s="68"/>
      <c r="Z1596" s="68"/>
      <c r="AA1596" s="68"/>
    </row>
    <row r="1597" ht="26.25" customHeight="1">
      <c r="A1597" s="68"/>
      <c r="B1597" s="68"/>
      <c r="C1597" s="68"/>
      <c r="D1597" s="71"/>
      <c r="E1597" s="71"/>
      <c r="F1597" s="71"/>
      <c r="G1597" s="65"/>
      <c r="H1597" s="74"/>
      <c r="I1597" s="67" t="str">
        <f>IFERROR(__xludf.DUMMYFUNCTION("if($H1597="""", """", AVERAGE(split($H1597, "";"")))"),"")</f>
        <v/>
      </c>
      <c r="J1597" s="67" t="str">
        <f>IFERROR(__xludf.DUMMYFUNCTION("if(H1597="""", """", SUM(split(H1597, "";"")))"),"")</f>
        <v/>
      </c>
      <c r="K1597" s="68"/>
      <c r="L1597" s="68"/>
      <c r="M1597" s="68"/>
      <c r="N1597" s="68"/>
      <c r="O1597" s="68"/>
      <c r="P1597" s="68"/>
      <c r="Q1597" s="68"/>
      <c r="R1597" s="68"/>
      <c r="S1597" s="68"/>
      <c r="T1597" s="68"/>
      <c r="U1597" s="68"/>
      <c r="V1597" s="68"/>
      <c r="W1597" s="68"/>
      <c r="X1597" s="68"/>
      <c r="Y1597" s="68"/>
      <c r="Z1597" s="68"/>
      <c r="AA1597" s="68"/>
    </row>
    <row r="1598" ht="26.25" customHeight="1">
      <c r="A1598" s="68"/>
      <c r="B1598" s="68"/>
      <c r="C1598" s="68"/>
      <c r="D1598" s="71"/>
      <c r="E1598" s="71"/>
      <c r="F1598" s="71"/>
      <c r="G1598" s="65"/>
      <c r="H1598" s="74"/>
      <c r="I1598" s="67" t="str">
        <f>IFERROR(__xludf.DUMMYFUNCTION("if($H1598="""", """", AVERAGE(split($H1598, "";"")))"),"")</f>
        <v/>
      </c>
      <c r="J1598" s="67" t="str">
        <f>IFERROR(__xludf.DUMMYFUNCTION("if(H1598="""", """", SUM(split(H1598, "";"")))"),"")</f>
        <v/>
      </c>
      <c r="K1598" s="68"/>
      <c r="L1598" s="68"/>
      <c r="M1598" s="68"/>
      <c r="N1598" s="68"/>
      <c r="O1598" s="68"/>
      <c r="P1598" s="68"/>
      <c r="Q1598" s="68"/>
      <c r="R1598" s="68"/>
      <c r="S1598" s="68"/>
      <c r="T1598" s="68"/>
      <c r="U1598" s="68"/>
      <c r="V1598" s="68"/>
      <c r="W1598" s="68"/>
      <c r="X1598" s="68"/>
      <c r="Y1598" s="68"/>
      <c r="Z1598" s="68"/>
      <c r="AA1598" s="68"/>
    </row>
    <row r="1599" ht="26.25" customHeight="1">
      <c r="A1599" s="68"/>
      <c r="B1599" s="68"/>
      <c r="C1599" s="68"/>
      <c r="D1599" s="71"/>
      <c r="E1599" s="71"/>
      <c r="F1599" s="71"/>
      <c r="G1599" s="65"/>
      <c r="H1599" s="74"/>
      <c r="I1599" s="67" t="str">
        <f>IFERROR(__xludf.DUMMYFUNCTION("if($H1599="""", """", AVERAGE(split($H1599, "";"")))"),"")</f>
        <v/>
      </c>
      <c r="J1599" s="67" t="str">
        <f>IFERROR(__xludf.DUMMYFUNCTION("if(H1599="""", """", SUM(split(H1599, "";"")))"),"")</f>
        <v/>
      </c>
      <c r="K1599" s="68"/>
      <c r="L1599" s="68"/>
      <c r="M1599" s="68"/>
      <c r="N1599" s="68"/>
      <c r="O1599" s="68"/>
      <c r="P1599" s="68"/>
      <c r="Q1599" s="68"/>
      <c r="R1599" s="68"/>
      <c r="S1599" s="68"/>
      <c r="T1599" s="68"/>
      <c r="U1599" s="68"/>
      <c r="V1599" s="68"/>
      <c r="W1599" s="68"/>
      <c r="X1599" s="68"/>
      <c r="Y1599" s="68"/>
      <c r="Z1599" s="68"/>
      <c r="AA1599" s="68"/>
    </row>
    <row r="1600" ht="26.25" customHeight="1">
      <c r="A1600" s="68"/>
      <c r="B1600" s="68"/>
      <c r="C1600" s="68"/>
      <c r="D1600" s="71"/>
      <c r="E1600" s="71"/>
      <c r="F1600" s="71"/>
      <c r="G1600" s="65"/>
      <c r="H1600" s="74"/>
      <c r="I1600" s="67" t="str">
        <f>IFERROR(__xludf.DUMMYFUNCTION("if($H1600="""", """", AVERAGE(split($H1600, "";"")))"),"")</f>
        <v/>
      </c>
      <c r="J1600" s="67" t="str">
        <f>IFERROR(__xludf.DUMMYFUNCTION("if(H1600="""", """", SUM(split(H1600, "";"")))"),"")</f>
        <v/>
      </c>
      <c r="K1600" s="68"/>
      <c r="L1600" s="68"/>
      <c r="M1600" s="68"/>
      <c r="N1600" s="68"/>
      <c r="O1600" s="68"/>
      <c r="P1600" s="68"/>
      <c r="Q1600" s="68"/>
      <c r="R1600" s="68"/>
      <c r="S1600" s="68"/>
      <c r="T1600" s="68"/>
      <c r="U1600" s="68"/>
      <c r="V1600" s="68"/>
      <c r="W1600" s="68"/>
      <c r="X1600" s="68"/>
      <c r="Y1600" s="68"/>
      <c r="Z1600" s="68"/>
      <c r="AA1600" s="68"/>
    </row>
    <row r="1601" ht="26.25" customHeight="1">
      <c r="A1601" s="68"/>
      <c r="B1601" s="68"/>
      <c r="C1601" s="68"/>
      <c r="D1601" s="71"/>
      <c r="E1601" s="71"/>
      <c r="F1601" s="71"/>
      <c r="G1601" s="65"/>
      <c r="H1601" s="74"/>
      <c r="I1601" s="67" t="str">
        <f>IFERROR(__xludf.DUMMYFUNCTION("if($H1601="""", """", AVERAGE(split($H1601, "";"")))"),"")</f>
        <v/>
      </c>
      <c r="J1601" s="67" t="str">
        <f>IFERROR(__xludf.DUMMYFUNCTION("if(H1601="""", """", SUM(split(H1601, "";"")))"),"")</f>
        <v/>
      </c>
      <c r="K1601" s="68"/>
      <c r="L1601" s="68"/>
      <c r="M1601" s="68"/>
      <c r="N1601" s="68"/>
      <c r="O1601" s="68"/>
      <c r="P1601" s="68"/>
      <c r="Q1601" s="68"/>
      <c r="R1601" s="68"/>
      <c r="S1601" s="68"/>
      <c r="T1601" s="68"/>
      <c r="U1601" s="68"/>
      <c r="V1601" s="68"/>
      <c r="W1601" s="68"/>
      <c r="X1601" s="68"/>
      <c r="Y1601" s="68"/>
      <c r="Z1601" s="68"/>
      <c r="AA1601" s="68"/>
    </row>
    <row r="1602" ht="26.25" customHeight="1">
      <c r="A1602" s="68"/>
      <c r="B1602" s="68"/>
      <c r="C1602" s="68"/>
      <c r="D1602" s="71"/>
      <c r="E1602" s="71"/>
      <c r="F1602" s="71"/>
      <c r="G1602" s="65"/>
      <c r="H1602" s="74"/>
      <c r="I1602" s="67" t="str">
        <f>IFERROR(__xludf.DUMMYFUNCTION("if($H1602="""", """", AVERAGE(split($H1602, "";"")))"),"")</f>
        <v/>
      </c>
      <c r="J1602" s="67" t="str">
        <f>IFERROR(__xludf.DUMMYFUNCTION("if(H1602="""", """", SUM(split(H1602, "";"")))"),"")</f>
        <v/>
      </c>
      <c r="K1602" s="68"/>
      <c r="L1602" s="68"/>
      <c r="M1602" s="68"/>
      <c r="N1602" s="68"/>
      <c r="O1602" s="68"/>
      <c r="P1602" s="68"/>
      <c r="Q1602" s="68"/>
      <c r="R1602" s="68"/>
      <c r="S1602" s="68"/>
      <c r="T1602" s="68"/>
      <c r="U1602" s="68"/>
      <c r="V1602" s="68"/>
      <c r="W1602" s="68"/>
      <c r="X1602" s="68"/>
      <c r="Y1602" s="68"/>
      <c r="Z1602" s="68"/>
      <c r="AA1602" s="68"/>
    </row>
    <row r="1603" ht="26.25" customHeight="1">
      <c r="A1603" s="68"/>
      <c r="B1603" s="68"/>
      <c r="C1603" s="68"/>
      <c r="D1603" s="71"/>
      <c r="E1603" s="71"/>
      <c r="F1603" s="71"/>
      <c r="G1603" s="65"/>
      <c r="H1603" s="74"/>
      <c r="I1603" s="67" t="str">
        <f>IFERROR(__xludf.DUMMYFUNCTION("if($H1603="""", """", AVERAGE(split($H1603, "";"")))"),"")</f>
        <v/>
      </c>
      <c r="J1603" s="67" t="str">
        <f>IFERROR(__xludf.DUMMYFUNCTION("if(H1603="""", """", SUM(split(H1603, "";"")))"),"")</f>
        <v/>
      </c>
      <c r="K1603" s="68"/>
      <c r="L1603" s="68"/>
      <c r="M1603" s="68"/>
      <c r="N1603" s="68"/>
      <c r="O1603" s="68"/>
      <c r="P1603" s="68"/>
      <c r="Q1603" s="68"/>
      <c r="R1603" s="68"/>
      <c r="S1603" s="68"/>
      <c r="T1603" s="68"/>
      <c r="U1603" s="68"/>
      <c r="V1603" s="68"/>
      <c r="W1603" s="68"/>
      <c r="X1603" s="68"/>
      <c r="Y1603" s="68"/>
      <c r="Z1603" s="68"/>
      <c r="AA1603" s="68"/>
    </row>
    <row r="1604" ht="26.25" customHeight="1">
      <c r="A1604" s="68"/>
      <c r="B1604" s="68"/>
      <c r="C1604" s="68"/>
      <c r="D1604" s="71"/>
      <c r="E1604" s="71"/>
      <c r="F1604" s="71"/>
      <c r="G1604" s="65"/>
      <c r="H1604" s="74"/>
      <c r="I1604" s="67" t="str">
        <f>IFERROR(__xludf.DUMMYFUNCTION("if($H1604="""", """", AVERAGE(split($H1604, "";"")))"),"")</f>
        <v/>
      </c>
      <c r="J1604" s="67" t="str">
        <f>IFERROR(__xludf.DUMMYFUNCTION("if(H1604="""", """", SUM(split(H1604, "";"")))"),"")</f>
        <v/>
      </c>
      <c r="K1604" s="68"/>
      <c r="L1604" s="68"/>
      <c r="M1604" s="68"/>
      <c r="N1604" s="68"/>
      <c r="O1604" s="68"/>
      <c r="P1604" s="68"/>
      <c r="Q1604" s="68"/>
      <c r="R1604" s="68"/>
      <c r="S1604" s="68"/>
      <c r="T1604" s="68"/>
      <c r="U1604" s="68"/>
      <c r="V1604" s="68"/>
      <c r="W1604" s="68"/>
      <c r="X1604" s="68"/>
      <c r="Y1604" s="68"/>
      <c r="Z1604" s="68"/>
      <c r="AA1604" s="68"/>
    </row>
    <row r="1605" ht="26.25" customHeight="1">
      <c r="A1605" s="68"/>
      <c r="B1605" s="68"/>
      <c r="C1605" s="68"/>
      <c r="D1605" s="71"/>
      <c r="E1605" s="71"/>
      <c r="F1605" s="71"/>
      <c r="G1605" s="65"/>
      <c r="H1605" s="74"/>
      <c r="I1605" s="67" t="str">
        <f>IFERROR(__xludf.DUMMYFUNCTION("if($H1605="""", """", AVERAGE(split($H1605, "";"")))"),"")</f>
        <v/>
      </c>
      <c r="J1605" s="67" t="str">
        <f>IFERROR(__xludf.DUMMYFUNCTION("if(H1605="""", """", SUM(split(H1605, "";"")))"),"")</f>
        <v/>
      </c>
      <c r="K1605" s="68"/>
      <c r="L1605" s="68"/>
      <c r="M1605" s="68"/>
      <c r="N1605" s="68"/>
      <c r="O1605" s="68"/>
      <c r="P1605" s="68"/>
      <c r="Q1605" s="68"/>
      <c r="R1605" s="68"/>
      <c r="S1605" s="68"/>
      <c r="T1605" s="68"/>
      <c r="U1605" s="68"/>
      <c r="V1605" s="68"/>
      <c r="W1605" s="68"/>
      <c r="X1605" s="68"/>
      <c r="Y1605" s="68"/>
      <c r="Z1605" s="68"/>
      <c r="AA1605" s="68"/>
    </row>
    <row r="1606" ht="26.25" customHeight="1">
      <c r="A1606" s="68"/>
      <c r="B1606" s="68"/>
      <c r="C1606" s="68"/>
      <c r="D1606" s="71"/>
      <c r="E1606" s="71"/>
      <c r="F1606" s="71"/>
      <c r="G1606" s="65"/>
      <c r="H1606" s="74"/>
      <c r="I1606" s="67" t="str">
        <f>IFERROR(__xludf.DUMMYFUNCTION("if($H1606="""", """", AVERAGE(split($H1606, "";"")))"),"")</f>
        <v/>
      </c>
      <c r="J1606" s="67" t="str">
        <f>IFERROR(__xludf.DUMMYFUNCTION("if(H1606="""", """", SUM(split(H1606, "";"")))"),"")</f>
        <v/>
      </c>
      <c r="K1606" s="68"/>
      <c r="L1606" s="68"/>
      <c r="M1606" s="68"/>
      <c r="N1606" s="68"/>
      <c r="O1606" s="68"/>
      <c r="P1606" s="68"/>
      <c r="Q1606" s="68"/>
      <c r="R1606" s="68"/>
      <c r="S1606" s="68"/>
      <c r="T1606" s="68"/>
      <c r="U1606" s="68"/>
      <c r="V1606" s="68"/>
      <c r="W1606" s="68"/>
      <c r="X1606" s="68"/>
      <c r="Y1606" s="68"/>
      <c r="Z1606" s="68"/>
      <c r="AA1606" s="68"/>
    </row>
    <row r="1607" ht="26.25" customHeight="1">
      <c r="A1607" s="68"/>
      <c r="B1607" s="68"/>
      <c r="C1607" s="68"/>
      <c r="D1607" s="71"/>
      <c r="E1607" s="71"/>
      <c r="F1607" s="71"/>
      <c r="G1607" s="65"/>
      <c r="H1607" s="74"/>
      <c r="I1607" s="67" t="str">
        <f>IFERROR(__xludf.DUMMYFUNCTION("if($H1607="""", """", AVERAGE(split($H1607, "";"")))"),"")</f>
        <v/>
      </c>
      <c r="J1607" s="67" t="str">
        <f>IFERROR(__xludf.DUMMYFUNCTION("if(H1607="""", """", SUM(split(H1607, "";"")))"),"")</f>
        <v/>
      </c>
      <c r="K1607" s="68"/>
      <c r="L1607" s="68"/>
      <c r="M1607" s="68"/>
      <c r="N1607" s="68"/>
      <c r="O1607" s="68"/>
      <c r="P1607" s="68"/>
      <c r="Q1607" s="68"/>
      <c r="R1607" s="68"/>
      <c r="S1607" s="68"/>
      <c r="T1607" s="68"/>
      <c r="U1607" s="68"/>
      <c r="V1607" s="68"/>
      <c r="W1607" s="68"/>
      <c r="X1607" s="68"/>
      <c r="Y1607" s="68"/>
      <c r="Z1607" s="68"/>
      <c r="AA1607" s="68"/>
    </row>
    <row r="1608" ht="26.25" customHeight="1">
      <c r="A1608" s="68"/>
      <c r="B1608" s="68"/>
      <c r="C1608" s="68"/>
      <c r="D1608" s="71"/>
      <c r="E1608" s="71"/>
      <c r="F1608" s="71"/>
      <c r="G1608" s="65"/>
      <c r="H1608" s="74"/>
      <c r="I1608" s="67" t="str">
        <f>IFERROR(__xludf.DUMMYFUNCTION("if($H1608="""", """", AVERAGE(split($H1608, "";"")))"),"")</f>
        <v/>
      </c>
      <c r="J1608" s="67" t="str">
        <f>IFERROR(__xludf.DUMMYFUNCTION("if(H1608="""", """", SUM(split(H1608, "";"")))"),"")</f>
        <v/>
      </c>
      <c r="K1608" s="68"/>
      <c r="L1608" s="68"/>
      <c r="M1608" s="68"/>
      <c r="N1608" s="68"/>
      <c r="O1608" s="68"/>
      <c r="P1608" s="68"/>
      <c r="Q1608" s="68"/>
      <c r="R1608" s="68"/>
      <c r="S1608" s="68"/>
      <c r="T1608" s="68"/>
      <c r="U1608" s="68"/>
      <c r="V1608" s="68"/>
      <c r="W1608" s="68"/>
      <c r="X1608" s="68"/>
      <c r="Y1608" s="68"/>
      <c r="Z1608" s="68"/>
      <c r="AA1608" s="68"/>
    </row>
    <row r="1609" ht="26.25" customHeight="1">
      <c r="A1609" s="68"/>
      <c r="B1609" s="68"/>
      <c r="C1609" s="68"/>
      <c r="D1609" s="71"/>
      <c r="E1609" s="71"/>
      <c r="F1609" s="71"/>
      <c r="G1609" s="65"/>
      <c r="H1609" s="74"/>
      <c r="I1609" s="67" t="str">
        <f>IFERROR(__xludf.DUMMYFUNCTION("if($H1609="""", """", AVERAGE(split($H1609, "";"")))"),"")</f>
        <v/>
      </c>
      <c r="J1609" s="67" t="str">
        <f>IFERROR(__xludf.DUMMYFUNCTION("if(H1609="""", """", SUM(split(H1609, "";"")))"),"")</f>
        <v/>
      </c>
      <c r="K1609" s="68"/>
      <c r="L1609" s="68"/>
      <c r="M1609" s="68"/>
      <c r="N1609" s="68"/>
      <c r="O1609" s="68"/>
      <c r="P1609" s="68"/>
      <c r="Q1609" s="68"/>
      <c r="R1609" s="68"/>
      <c r="S1609" s="68"/>
      <c r="T1609" s="68"/>
      <c r="U1609" s="68"/>
      <c r="V1609" s="68"/>
      <c r="W1609" s="68"/>
      <c r="X1609" s="68"/>
      <c r="Y1609" s="68"/>
      <c r="Z1609" s="68"/>
      <c r="AA1609" s="68"/>
    </row>
    <row r="1610" ht="26.25" customHeight="1">
      <c r="A1610" s="68"/>
      <c r="B1610" s="68"/>
      <c r="C1610" s="68"/>
      <c r="D1610" s="71"/>
      <c r="E1610" s="71"/>
      <c r="F1610" s="71"/>
      <c r="G1610" s="65"/>
      <c r="H1610" s="74"/>
      <c r="I1610" s="67" t="str">
        <f>IFERROR(__xludf.DUMMYFUNCTION("if($H1610="""", """", AVERAGE(split($H1610, "";"")))"),"")</f>
        <v/>
      </c>
      <c r="J1610" s="67" t="str">
        <f>IFERROR(__xludf.DUMMYFUNCTION("if(H1610="""", """", SUM(split(H1610, "";"")))"),"")</f>
        <v/>
      </c>
      <c r="K1610" s="68"/>
      <c r="L1610" s="68"/>
      <c r="M1610" s="68"/>
      <c r="N1610" s="68"/>
      <c r="O1610" s="68"/>
      <c r="P1610" s="68"/>
      <c r="Q1610" s="68"/>
      <c r="R1610" s="68"/>
      <c r="S1610" s="68"/>
      <c r="T1610" s="68"/>
      <c r="U1610" s="68"/>
      <c r="V1610" s="68"/>
      <c r="W1610" s="68"/>
      <c r="X1610" s="68"/>
      <c r="Y1610" s="68"/>
      <c r="Z1610" s="68"/>
      <c r="AA1610" s="68"/>
    </row>
    <row r="1611" ht="26.25" customHeight="1">
      <c r="A1611" s="68"/>
      <c r="B1611" s="68"/>
      <c r="C1611" s="68"/>
      <c r="D1611" s="71"/>
      <c r="E1611" s="71"/>
      <c r="F1611" s="71"/>
      <c r="G1611" s="65"/>
      <c r="H1611" s="74"/>
      <c r="I1611" s="67" t="str">
        <f>IFERROR(__xludf.DUMMYFUNCTION("if($H1611="""", """", AVERAGE(split($H1611, "";"")))"),"")</f>
        <v/>
      </c>
      <c r="J1611" s="67" t="str">
        <f>IFERROR(__xludf.DUMMYFUNCTION("if(H1611="""", """", SUM(split(H1611, "";"")))"),"")</f>
        <v/>
      </c>
      <c r="K1611" s="68"/>
      <c r="L1611" s="68"/>
      <c r="M1611" s="68"/>
      <c r="N1611" s="68"/>
      <c r="O1611" s="68"/>
      <c r="P1611" s="68"/>
      <c r="Q1611" s="68"/>
      <c r="R1611" s="68"/>
      <c r="S1611" s="68"/>
      <c r="T1611" s="68"/>
      <c r="U1611" s="68"/>
      <c r="V1611" s="68"/>
      <c r="W1611" s="68"/>
      <c r="X1611" s="68"/>
      <c r="Y1611" s="68"/>
      <c r="Z1611" s="68"/>
      <c r="AA1611" s="68"/>
    </row>
    <row r="1612" ht="26.25" customHeight="1">
      <c r="A1612" s="68"/>
      <c r="B1612" s="68"/>
      <c r="C1612" s="68"/>
      <c r="D1612" s="71"/>
      <c r="E1612" s="71"/>
      <c r="F1612" s="71"/>
      <c r="G1612" s="65"/>
      <c r="H1612" s="74"/>
      <c r="I1612" s="67" t="str">
        <f>IFERROR(__xludf.DUMMYFUNCTION("if($H1612="""", """", AVERAGE(split($H1612, "";"")))"),"")</f>
        <v/>
      </c>
      <c r="J1612" s="67" t="str">
        <f>IFERROR(__xludf.DUMMYFUNCTION("if(H1612="""", """", SUM(split(H1612, "";"")))"),"")</f>
        <v/>
      </c>
      <c r="K1612" s="68"/>
      <c r="L1612" s="68"/>
      <c r="M1612" s="68"/>
      <c r="N1612" s="68"/>
      <c r="O1612" s="68"/>
      <c r="P1612" s="68"/>
      <c r="Q1612" s="68"/>
      <c r="R1612" s="68"/>
      <c r="S1612" s="68"/>
      <c r="T1612" s="68"/>
      <c r="U1612" s="68"/>
      <c r="V1612" s="68"/>
      <c r="W1612" s="68"/>
      <c r="X1612" s="68"/>
      <c r="Y1612" s="68"/>
      <c r="Z1612" s="68"/>
      <c r="AA1612" s="68"/>
    </row>
    <row r="1613" ht="26.25" customHeight="1">
      <c r="A1613" s="68"/>
      <c r="B1613" s="68"/>
      <c r="C1613" s="68"/>
      <c r="D1613" s="71"/>
      <c r="E1613" s="71"/>
      <c r="F1613" s="71"/>
      <c r="G1613" s="65"/>
      <c r="H1613" s="74"/>
      <c r="I1613" s="67" t="str">
        <f>IFERROR(__xludf.DUMMYFUNCTION("if($H1613="""", """", AVERAGE(split($H1613, "";"")))"),"")</f>
        <v/>
      </c>
      <c r="J1613" s="67" t="str">
        <f>IFERROR(__xludf.DUMMYFUNCTION("if(H1613="""", """", SUM(split(H1613, "";"")))"),"")</f>
        <v/>
      </c>
      <c r="K1613" s="68"/>
      <c r="L1613" s="68"/>
      <c r="M1613" s="68"/>
      <c r="N1613" s="68"/>
      <c r="O1613" s="68"/>
      <c r="P1613" s="68"/>
      <c r="Q1613" s="68"/>
      <c r="R1613" s="68"/>
      <c r="S1613" s="68"/>
      <c r="T1613" s="68"/>
      <c r="U1613" s="68"/>
      <c r="V1613" s="68"/>
      <c r="W1613" s="68"/>
      <c r="X1613" s="68"/>
      <c r="Y1613" s="68"/>
      <c r="Z1613" s="68"/>
      <c r="AA1613" s="68"/>
    </row>
    <row r="1614" ht="26.25" customHeight="1">
      <c r="A1614" s="68"/>
      <c r="B1614" s="68"/>
      <c r="C1614" s="68"/>
      <c r="D1614" s="71"/>
      <c r="E1614" s="71"/>
      <c r="F1614" s="71"/>
      <c r="G1614" s="65"/>
      <c r="H1614" s="74"/>
      <c r="I1614" s="67" t="str">
        <f>IFERROR(__xludf.DUMMYFUNCTION("if($H1614="""", """", AVERAGE(split($H1614, "";"")))"),"")</f>
        <v/>
      </c>
      <c r="J1614" s="67" t="str">
        <f>IFERROR(__xludf.DUMMYFUNCTION("if(H1614="""", """", SUM(split(H1614, "";"")))"),"")</f>
        <v/>
      </c>
      <c r="K1614" s="68"/>
      <c r="L1614" s="68"/>
      <c r="M1614" s="68"/>
      <c r="N1614" s="68"/>
      <c r="O1614" s="68"/>
      <c r="P1614" s="68"/>
      <c r="Q1614" s="68"/>
      <c r="R1614" s="68"/>
      <c r="S1614" s="68"/>
      <c r="T1614" s="68"/>
      <c r="U1614" s="68"/>
      <c r="V1614" s="68"/>
      <c r="W1614" s="68"/>
      <c r="X1614" s="68"/>
      <c r="Y1614" s="68"/>
      <c r="Z1614" s="68"/>
      <c r="AA1614" s="68"/>
    </row>
    <row r="1615" ht="26.25" customHeight="1">
      <c r="A1615" s="68"/>
      <c r="B1615" s="68"/>
      <c r="C1615" s="68"/>
      <c r="D1615" s="71"/>
      <c r="E1615" s="71"/>
      <c r="F1615" s="71"/>
      <c r="G1615" s="65"/>
      <c r="H1615" s="74"/>
      <c r="I1615" s="67" t="str">
        <f>IFERROR(__xludf.DUMMYFUNCTION("if($H1615="""", """", AVERAGE(split($H1615, "";"")))"),"")</f>
        <v/>
      </c>
      <c r="J1615" s="67" t="str">
        <f>IFERROR(__xludf.DUMMYFUNCTION("if(H1615="""", """", SUM(split(H1615, "";"")))"),"")</f>
        <v/>
      </c>
      <c r="K1615" s="68"/>
      <c r="L1615" s="68"/>
      <c r="M1615" s="68"/>
      <c r="N1615" s="68"/>
      <c r="O1615" s="68"/>
      <c r="P1615" s="68"/>
      <c r="Q1615" s="68"/>
      <c r="R1615" s="68"/>
      <c r="S1615" s="68"/>
      <c r="T1615" s="68"/>
      <c r="U1615" s="68"/>
      <c r="V1615" s="68"/>
      <c r="W1615" s="68"/>
      <c r="X1615" s="68"/>
      <c r="Y1615" s="68"/>
      <c r="Z1615" s="68"/>
      <c r="AA1615" s="68"/>
    </row>
    <row r="1616" ht="26.25" customHeight="1">
      <c r="A1616" s="68"/>
      <c r="B1616" s="68"/>
      <c r="C1616" s="68"/>
      <c r="D1616" s="71"/>
      <c r="E1616" s="71"/>
      <c r="F1616" s="71"/>
      <c r="G1616" s="65"/>
      <c r="H1616" s="74"/>
      <c r="I1616" s="67" t="str">
        <f>IFERROR(__xludf.DUMMYFUNCTION("if($H1616="""", """", AVERAGE(split($H1616, "";"")))"),"")</f>
        <v/>
      </c>
      <c r="J1616" s="67" t="str">
        <f>IFERROR(__xludf.DUMMYFUNCTION("if(H1616="""", """", SUM(split(H1616, "";"")))"),"")</f>
        <v/>
      </c>
      <c r="K1616" s="68"/>
      <c r="L1616" s="68"/>
      <c r="M1616" s="68"/>
      <c r="N1616" s="68"/>
      <c r="O1616" s="68"/>
      <c r="P1616" s="68"/>
      <c r="Q1616" s="68"/>
      <c r="R1616" s="68"/>
      <c r="S1616" s="68"/>
      <c r="T1616" s="68"/>
      <c r="U1616" s="68"/>
      <c r="V1616" s="68"/>
      <c r="W1616" s="68"/>
      <c r="X1616" s="68"/>
      <c r="Y1616" s="68"/>
      <c r="Z1616" s="68"/>
      <c r="AA1616" s="68"/>
    </row>
    <row r="1617" ht="26.25" customHeight="1">
      <c r="A1617" s="68"/>
      <c r="B1617" s="68"/>
      <c r="C1617" s="68"/>
      <c r="D1617" s="71"/>
      <c r="E1617" s="71"/>
      <c r="F1617" s="71"/>
      <c r="G1617" s="65"/>
      <c r="H1617" s="74"/>
      <c r="I1617" s="67" t="str">
        <f>IFERROR(__xludf.DUMMYFUNCTION("if($H1617="""", """", AVERAGE(split($H1617, "";"")))"),"")</f>
        <v/>
      </c>
      <c r="J1617" s="67" t="str">
        <f>IFERROR(__xludf.DUMMYFUNCTION("if(H1617="""", """", SUM(split(H1617, "";"")))"),"")</f>
        <v/>
      </c>
      <c r="K1617" s="68"/>
      <c r="L1617" s="68"/>
      <c r="M1617" s="68"/>
      <c r="N1617" s="68"/>
      <c r="O1617" s="68"/>
      <c r="P1617" s="68"/>
      <c r="Q1617" s="68"/>
      <c r="R1617" s="68"/>
      <c r="S1617" s="68"/>
      <c r="T1617" s="68"/>
      <c r="U1617" s="68"/>
      <c r="V1617" s="68"/>
      <c r="W1617" s="68"/>
      <c r="X1617" s="68"/>
      <c r="Y1617" s="68"/>
      <c r="Z1617" s="68"/>
      <c r="AA1617" s="68"/>
    </row>
    <row r="1618" ht="26.25" customHeight="1">
      <c r="A1618" s="68"/>
      <c r="B1618" s="68"/>
      <c r="C1618" s="68"/>
      <c r="D1618" s="71"/>
      <c r="E1618" s="71"/>
      <c r="F1618" s="71"/>
      <c r="G1618" s="65"/>
      <c r="H1618" s="74"/>
      <c r="I1618" s="67" t="str">
        <f>IFERROR(__xludf.DUMMYFUNCTION("if($H1618="""", """", AVERAGE(split($H1618, "";"")))"),"")</f>
        <v/>
      </c>
      <c r="J1618" s="67" t="str">
        <f>IFERROR(__xludf.DUMMYFUNCTION("if(H1618="""", """", SUM(split(H1618, "";"")))"),"")</f>
        <v/>
      </c>
      <c r="K1618" s="68"/>
      <c r="L1618" s="68"/>
      <c r="M1618" s="68"/>
      <c r="N1618" s="68"/>
      <c r="O1618" s="68"/>
      <c r="P1618" s="68"/>
      <c r="Q1618" s="68"/>
      <c r="R1618" s="68"/>
      <c r="S1618" s="68"/>
      <c r="T1618" s="68"/>
      <c r="U1618" s="68"/>
      <c r="V1618" s="68"/>
      <c r="W1618" s="68"/>
      <c r="X1618" s="68"/>
      <c r="Y1618" s="68"/>
      <c r="Z1618" s="68"/>
      <c r="AA1618" s="68"/>
    </row>
    <row r="1619" ht="26.25" customHeight="1">
      <c r="A1619" s="68"/>
      <c r="B1619" s="68"/>
      <c r="C1619" s="68"/>
      <c r="D1619" s="71"/>
      <c r="E1619" s="71"/>
      <c r="F1619" s="71"/>
      <c r="G1619" s="65"/>
      <c r="H1619" s="74"/>
      <c r="I1619" s="67" t="str">
        <f>IFERROR(__xludf.DUMMYFUNCTION("if($H1619="""", """", AVERAGE(split($H1619, "";"")))"),"")</f>
        <v/>
      </c>
      <c r="J1619" s="67" t="str">
        <f>IFERROR(__xludf.DUMMYFUNCTION("if(H1619="""", """", SUM(split(H1619, "";"")))"),"")</f>
        <v/>
      </c>
      <c r="K1619" s="68"/>
      <c r="L1619" s="68"/>
      <c r="M1619" s="68"/>
      <c r="N1619" s="68"/>
      <c r="O1619" s="68"/>
      <c r="P1619" s="68"/>
      <c r="Q1619" s="68"/>
      <c r="R1619" s="68"/>
      <c r="S1619" s="68"/>
      <c r="T1619" s="68"/>
      <c r="U1619" s="68"/>
      <c r="V1619" s="68"/>
      <c r="W1619" s="68"/>
      <c r="X1619" s="68"/>
      <c r="Y1619" s="68"/>
      <c r="Z1619" s="68"/>
      <c r="AA1619" s="68"/>
    </row>
    <row r="1620" ht="26.25" customHeight="1">
      <c r="A1620" s="68"/>
      <c r="B1620" s="68"/>
      <c r="C1620" s="68"/>
      <c r="D1620" s="71"/>
      <c r="E1620" s="71"/>
      <c r="F1620" s="71"/>
      <c r="G1620" s="65"/>
      <c r="H1620" s="74"/>
      <c r="I1620" s="67" t="str">
        <f>IFERROR(__xludf.DUMMYFUNCTION("if($H1620="""", """", AVERAGE(split($H1620, "";"")))"),"")</f>
        <v/>
      </c>
      <c r="J1620" s="67" t="str">
        <f>IFERROR(__xludf.DUMMYFUNCTION("if(H1620="""", """", SUM(split(H1620, "";"")))"),"")</f>
        <v/>
      </c>
      <c r="K1620" s="68"/>
      <c r="L1620" s="68"/>
      <c r="M1620" s="68"/>
      <c r="N1620" s="68"/>
      <c r="O1620" s="68"/>
      <c r="P1620" s="68"/>
      <c r="Q1620" s="68"/>
      <c r="R1620" s="68"/>
      <c r="S1620" s="68"/>
      <c r="T1620" s="68"/>
      <c r="U1620" s="68"/>
      <c r="V1620" s="68"/>
      <c r="W1620" s="68"/>
      <c r="X1620" s="68"/>
      <c r="Y1620" s="68"/>
      <c r="Z1620" s="68"/>
      <c r="AA1620" s="68"/>
    </row>
    <row r="1621" ht="26.25" customHeight="1">
      <c r="A1621" s="68"/>
      <c r="B1621" s="68"/>
      <c r="C1621" s="68"/>
      <c r="D1621" s="71"/>
      <c r="E1621" s="71"/>
      <c r="F1621" s="71"/>
      <c r="G1621" s="65"/>
      <c r="H1621" s="74"/>
      <c r="I1621" s="67" t="str">
        <f>IFERROR(__xludf.DUMMYFUNCTION("if($H1621="""", """", AVERAGE(split($H1621, "";"")))"),"")</f>
        <v/>
      </c>
      <c r="J1621" s="67" t="str">
        <f>IFERROR(__xludf.DUMMYFUNCTION("if(H1621="""", """", SUM(split(H1621, "";"")))"),"")</f>
        <v/>
      </c>
      <c r="K1621" s="68"/>
      <c r="L1621" s="68"/>
      <c r="M1621" s="68"/>
      <c r="N1621" s="68"/>
      <c r="O1621" s="68"/>
      <c r="P1621" s="68"/>
      <c r="Q1621" s="68"/>
      <c r="R1621" s="68"/>
      <c r="S1621" s="68"/>
      <c r="T1621" s="68"/>
      <c r="U1621" s="68"/>
      <c r="V1621" s="68"/>
      <c r="W1621" s="68"/>
      <c r="X1621" s="68"/>
      <c r="Y1621" s="68"/>
      <c r="Z1621" s="68"/>
      <c r="AA1621" s="68"/>
    </row>
    <row r="1622" ht="26.25" customHeight="1">
      <c r="A1622" s="68"/>
      <c r="B1622" s="68"/>
      <c r="C1622" s="68"/>
      <c r="D1622" s="71"/>
      <c r="E1622" s="71"/>
      <c r="F1622" s="71"/>
      <c r="G1622" s="65"/>
      <c r="H1622" s="74"/>
      <c r="I1622" s="67" t="str">
        <f>IFERROR(__xludf.DUMMYFUNCTION("if($H1622="""", """", AVERAGE(split($H1622, "";"")))"),"")</f>
        <v/>
      </c>
      <c r="J1622" s="67" t="str">
        <f>IFERROR(__xludf.DUMMYFUNCTION("if(H1622="""", """", SUM(split(H1622, "";"")))"),"")</f>
        <v/>
      </c>
      <c r="K1622" s="68"/>
      <c r="L1622" s="68"/>
      <c r="M1622" s="68"/>
      <c r="N1622" s="68"/>
      <c r="O1622" s="68"/>
      <c r="P1622" s="68"/>
      <c r="Q1622" s="68"/>
      <c r="R1622" s="68"/>
      <c r="S1622" s="68"/>
      <c r="T1622" s="68"/>
      <c r="U1622" s="68"/>
      <c r="V1622" s="68"/>
      <c r="W1622" s="68"/>
      <c r="X1622" s="68"/>
      <c r="Y1622" s="68"/>
      <c r="Z1622" s="68"/>
      <c r="AA1622" s="68"/>
    </row>
    <row r="1623" ht="26.25" customHeight="1">
      <c r="A1623" s="68"/>
      <c r="B1623" s="68"/>
      <c r="C1623" s="68"/>
      <c r="D1623" s="71"/>
      <c r="E1623" s="71"/>
      <c r="F1623" s="71"/>
      <c r="G1623" s="65"/>
      <c r="H1623" s="74"/>
      <c r="I1623" s="67" t="str">
        <f>IFERROR(__xludf.DUMMYFUNCTION("if($H1623="""", """", AVERAGE(split($H1623, "";"")))"),"")</f>
        <v/>
      </c>
      <c r="J1623" s="67" t="str">
        <f>IFERROR(__xludf.DUMMYFUNCTION("if(H1623="""", """", SUM(split(H1623, "";"")))"),"")</f>
        <v/>
      </c>
      <c r="K1623" s="68"/>
      <c r="L1623" s="68"/>
      <c r="M1623" s="68"/>
      <c r="N1623" s="68"/>
      <c r="O1623" s="68"/>
      <c r="P1623" s="68"/>
      <c r="Q1623" s="68"/>
      <c r="R1623" s="68"/>
      <c r="S1623" s="68"/>
      <c r="T1623" s="68"/>
      <c r="U1623" s="68"/>
      <c r="V1623" s="68"/>
      <c r="W1623" s="68"/>
      <c r="X1623" s="68"/>
      <c r="Y1623" s="68"/>
      <c r="Z1623" s="68"/>
      <c r="AA1623" s="68"/>
    </row>
    <row r="1624" ht="26.25" customHeight="1">
      <c r="A1624" s="68"/>
      <c r="B1624" s="68"/>
      <c r="C1624" s="68"/>
      <c r="D1624" s="71"/>
      <c r="E1624" s="71"/>
      <c r="F1624" s="71"/>
      <c r="G1624" s="65"/>
      <c r="H1624" s="74"/>
      <c r="I1624" s="67" t="str">
        <f>IFERROR(__xludf.DUMMYFUNCTION("if($H1624="""", """", AVERAGE(split($H1624, "";"")))"),"")</f>
        <v/>
      </c>
      <c r="J1624" s="67" t="str">
        <f>IFERROR(__xludf.DUMMYFUNCTION("if(H1624="""", """", SUM(split(H1624, "";"")))"),"")</f>
        <v/>
      </c>
      <c r="K1624" s="68"/>
      <c r="L1624" s="68"/>
      <c r="M1624" s="68"/>
      <c r="N1624" s="68"/>
      <c r="O1624" s="68"/>
      <c r="P1624" s="68"/>
      <c r="Q1624" s="68"/>
      <c r="R1624" s="68"/>
      <c r="S1624" s="68"/>
      <c r="T1624" s="68"/>
      <c r="U1624" s="68"/>
      <c r="V1624" s="68"/>
      <c r="W1624" s="68"/>
      <c r="X1624" s="68"/>
      <c r="Y1624" s="68"/>
      <c r="Z1624" s="68"/>
      <c r="AA1624" s="68"/>
    </row>
    <row r="1625" ht="26.25" customHeight="1">
      <c r="A1625" s="68"/>
      <c r="B1625" s="68"/>
      <c r="C1625" s="68"/>
      <c r="D1625" s="71"/>
      <c r="E1625" s="71"/>
      <c r="F1625" s="71"/>
      <c r="G1625" s="65"/>
      <c r="H1625" s="74"/>
      <c r="I1625" s="67" t="str">
        <f>IFERROR(__xludf.DUMMYFUNCTION("if($H1625="""", """", AVERAGE(split($H1625, "";"")))"),"")</f>
        <v/>
      </c>
      <c r="J1625" s="67" t="str">
        <f>IFERROR(__xludf.DUMMYFUNCTION("if(H1625="""", """", SUM(split(H1625, "";"")))"),"")</f>
        <v/>
      </c>
      <c r="K1625" s="68"/>
      <c r="L1625" s="68"/>
      <c r="M1625" s="68"/>
      <c r="N1625" s="68"/>
      <c r="O1625" s="68"/>
      <c r="P1625" s="68"/>
      <c r="Q1625" s="68"/>
      <c r="R1625" s="68"/>
      <c r="S1625" s="68"/>
      <c r="T1625" s="68"/>
      <c r="U1625" s="68"/>
      <c r="V1625" s="68"/>
      <c r="W1625" s="68"/>
      <c r="X1625" s="68"/>
      <c r="Y1625" s="68"/>
      <c r="Z1625" s="68"/>
      <c r="AA1625" s="68"/>
    </row>
    <row r="1626" ht="26.25" customHeight="1">
      <c r="A1626" s="68"/>
      <c r="B1626" s="68"/>
      <c r="C1626" s="68"/>
      <c r="D1626" s="71"/>
      <c r="E1626" s="71"/>
      <c r="F1626" s="71"/>
      <c r="G1626" s="65"/>
      <c r="H1626" s="74"/>
      <c r="I1626" s="67" t="str">
        <f>IFERROR(__xludf.DUMMYFUNCTION("if($H1626="""", """", AVERAGE(split($H1626, "";"")))"),"")</f>
        <v/>
      </c>
      <c r="J1626" s="67" t="str">
        <f>IFERROR(__xludf.DUMMYFUNCTION("if(H1626="""", """", SUM(split(H1626, "";"")))"),"")</f>
        <v/>
      </c>
      <c r="K1626" s="68"/>
      <c r="L1626" s="68"/>
      <c r="M1626" s="68"/>
      <c r="N1626" s="68"/>
      <c r="O1626" s="68"/>
      <c r="P1626" s="68"/>
      <c r="Q1626" s="68"/>
      <c r="R1626" s="68"/>
      <c r="S1626" s="68"/>
      <c r="T1626" s="68"/>
      <c r="U1626" s="68"/>
      <c r="V1626" s="68"/>
      <c r="W1626" s="68"/>
      <c r="X1626" s="68"/>
      <c r="Y1626" s="68"/>
      <c r="Z1626" s="68"/>
      <c r="AA1626" s="68"/>
    </row>
    <row r="1627" ht="26.25" customHeight="1">
      <c r="A1627" s="68"/>
      <c r="B1627" s="68"/>
      <c r="C1627" s="68"/>
      <c r="D1627" s="71"/>
      <c r="E1627" s="71"/>
      <c r="F1627" s="71"/>
      <c r="G1627" s="65"/>
      <c r="H1627" s="74"/>
      <c r="I1627" s="67" t="str">
        <f>IFERROR(__xludf.DUMMYFUNCTION("if($H1627="""", """", AVERAGE(split($H1627, "";"")))"),"")</f>
        <v/>
      </c>
      <c r="J1627" s="67" t="str">
        <f>IFERROR(__xludf.DUMMYFUNCTION("if(H1627="""", """", SUM(split(H1627, "";"")))"),"")</f>
        <v/>
      </c>
      <c r="K1627" s="68"/>
      <c r="L1627" s="68"/>
      <c r="M1627" s="68"/>
      <c r="N1627" s="68"/>
      <c r="O1627" s="68"/>
      <c r="P1627" s="68"/>
      <c r="Q1627" s="68"/>
      <c r="R1627" s="68"/>
      <c r="S1627" s="68"/>
      <c r="T1627" s="68"/>
      <c r="U1627" s="68"/>
      <c r="V1627" s="68"/>
      <c r="W1627" s="68"/>
      <c r="X1627" s="68"/>
      <c r="Y1627" s="68"/>
      <c r="Z1627" s="68"/>
      <c r="AA1627" s="68"/>
    </row>
    <row r="1628" ht="26.25" customHeight="1">
      <c r="A1628" s="68"/>
      <c r="B1628" s="68"/>
      <c r="C1628" s="68"/>
      <c r="D1628" s="71"/>
      <c r="E1628" s="71"/>
      <c r="F1628" s="71"/>
      <c r="G1628" s="65"/>
      <c r="H1628" s="74"/>
      <c r="I1628" s="67" t="str">
        <f>IFERROR(__xludf.DUMMYFUNCTION("if($H1628="""", """", AVERAGE(split($H1628, "";"")))"),"")</f>
        <v/>
      </c>
      <c r="J1628" s="67" t="str">
        <f>IFERROR(__xludf.DUMMYFUNCTION("if(H1628="""", """", SUM(split(H1628, "";"")))"),"")</f>
        <v/>
      </c>
      <c r="K1628" s="68"/>
      <c r="L1628" s="68"/>
      <c r="M1628" s="68"/>
      <c r="N1628" s="68"/>
      <c r="O1628" s="68"/>
      <c r="P1628" s="68"/>
      <c r="Q1628" s="68"/>
      <c r="R1628" s="68"/>
      <c r="S1628" s="68"/>
      <c r="T1628" s="68"/>
      <c r="U1628" s="68"/>
      <c r="V1628" s="68"/>
      <c r="W1628" s="68"/>
      <c r="X1628" s="68"/>
      <c r="Y1628" s="68"/>
      <c r="Z1628" s="68"/>
      <c r="AA1628" s="68"/>
    </row>
    <row r="1629" ht="26.25" customHeight="1">
      <c r="A1629" s="68"/>
      <c r="B1629" s="68"/>
      <c r="C1629" s="68"/>
      <c r="D1629" s="71"/>
      <c r="E1629" s="71"/>
      <c r="F1629" s="71"/>
      <c r="G1629" s="65"/>
      <c r="H1629" s="74"/>
      <c r="I1629" s="67" t="str">
        <f>IFERROR(__xludf.DUMMYFUNCTION("if($H1629="""", """", AVERAGE(split($H1629, "";"")))"),"")</f>
        <v/>
      </c>
      <c r="J1629" s="67" t="str">
        <f>IFERROR(__xludf.DUMMYFUNCTION("if(H1629="""", """", SUM(split(H1629, "";"")))"),"")</f>
        <v/>
      </c>
      <c r="K1629" s="68"/>
      <c r="L1629" s="68"/>
      <c r="M1629" s="68"/>
      <c r="N1629" s="68"/>
      <c r="O1629" s="68"/>
      <c r="P1629" s="68"/>
      <c r="Q1629" s="68"/>
      <c r="R1629" s="68"/>
      <c r="S1629" s="68"/>
      <c r="T1629" s="68"/>
      <c r="U1629" s="68"/>
      <c r="V1629" s="68"/>
      <c r="W1629" s="68"/>
      <c r="X1629" s="68"/>
      <c r="Y1629" s="68"/>
      <c r="Z1629" s="68"/>
      <c r="AA1629" s="68"/>
    </row>
    <row r="1630" ht="26.25" customHeight="1">
      <c r="A1630" s="68"/>
      <c r="B1630" s="68"/>
      <c r="C1630" s="68"/>
      <c r="D1630" s="71"/>
      <c r="E1630" s="71"/>
      <c r="F1630" s="71"/>
      <c r="G1630" s="65"/>
      <c r="H1630" s="74"/>
      <c r="I1630" s="67" t="str">
        <f>IFERROR(__xludf.DUMMYFUNCTION("if($H1630="""", """", AVERAGE(split($H1630, "";"")))"),"")</f>
        <v/>
      </c>
      <c r="J1630" s="67" t="str">
        <f>IFERROR(__xludf.DUMMYFUNCTION("if(H1630="""", """", SUM(split(H1630, "";"")))"),"")</f>
        <v/>
      </c>
      <c r="K1630" s="68"/>
      <c r="L1630" s="68"/>
      <c r="M1630" s="68"/>
      <c r="N1630" s="68"/>
      <c r="O1630" s="68"/>
      <c r="P1630" s="68"/>
      <c r="Q1630" s="68"/>
      <c r="R1630" s="68"/>
      <c r="S1630" s="68"/>
      <c r="T1630" s="68"/>
      <c r="U1630" s="68"/>
      <c r="V1630" s="68"/>
      <c r="W1630" s="68"/>
      <c r="X1630" s="68"/>
      <c r="Y1630" s="68"/>
      <c r="Z1630" s="68"/>
      <c r="AA1630" s="68"/>
    </row>
    <row r="1631" ht="26.25" customHeight="1">
      <c r="A1631" s="68"/>
      <c r="B1631" s="68"/>
      <c r="C1631" s="68"/>
      <c r="D1631" s="71"/>
      <c r="E1631" s="71"/>
      <c r="F1631" s="71"/>
      <c r="G1631" s="65"/>
      <c r="H1631" s="74"/>
      <c r="I1631" s="67" t="str">
        <f>IFERROR(__xludf.DUMMYFUNCTION("if($H1631="""", """", AVERAGE(split($H1631, "";"")))"),"")</f>
        <v/>
      </c>
      <c r="J1631" s="67" t="str">
        <f>IFERROR(__xludf.DUMMYFUNCTION("if(H1631="""", """", SUM(split(H1631, "";"")))"),"")</f>
        <v/>
      </c>
      <c r="K1631" s="68"/>
      <c r="L1631" s="68"/>
      <c r="M1631" s="68"/>
      <c r="N1631" s="68"/>
      <c r="O1631" s="68"/>
      <c r="P1631" s="68"/>
      <c r="Q1631" s="68"/>
      <c r="R1631" s="68"/>
      <c r="S1631" s="68"/>
      <c r="T1631" s="68"/>
      <c r="U1631" s="68"/>
      <c r="V1631" s="68"/>
      <c r="W1631" s="68"/>
      <c r="X1631" s="68"/>
      <c r="Y1631" s="68"/>
      <c r="Z1631" s="68"/>
      <c r="AA1631" s="68"/>
    </row>
    <row r="1632" ht="26.25" customHeight="1">
      <c r="A1632" s="68"/>
      <c r="B1632" s="68"/>
      <c r="C1632" s="68"/>
      <c r="D1632" s="71"/>
      <c r="E1632" s="71"/>
      <c r="F1632" s="71"/>
      <c r="G1632" s="65"/>
      <c r="H1632" s="74"/>
      <c r="I1632" s="67" t="str">
        <f>IFERROR(__xludf.DUMMYFUNCTION("if($H1632="""", """", AVERAGE(split($H1632, "";"")))"),"")</f>
        <v/>
      </c>
      <c r="J1632" s="67" t="str">
        <f>IFERROR(__xludf.DUMMYFUNCTION("if(H1632="""", """", SUM(split(H1632, "";"")))"),"")</f>
        <v/>
      </c>
      <c r="K1632" s="68"/>
      <c r="L1632" s="68"/>
      <c r="M1632" s="68"/>
      <c r="N1632" s="68"/>
      <c r="O1632" s="68"/>
      <c r="P1632" s="68"/>
      <c r="Q1632" s="68"/>
      <c r="R1632" s="68"/>
      <c r="S1632" s="68"/>
      <c r="T1632" s="68"/>
      <c r="U1632" s="68"/>
      <c r="V1632" s="68"/>
      <c r="W1632" s="68"/>
      <c r="X1632" s="68"/>
      <c r="Y1632" s="68"/>
      <c r="Z1632" s="68"/>
      <c r="AA1632" s="68"/>
    </row>
    <row r="1633" ht="26.25" customHeight="1">
      <c r="A1633" s="68"/>
      <c r="B1633" s="68"/>
      <c r="C1633" s="68"/>
      <c r="D1633" s="71"/>
      <c r="E1633" s="71"/>
      <c r="F1633" s="71"/>
      <c r="G1633" s="65"/>
      <c r="H1633" s="74"/>
      <c r="I1633" s="67" t="str">
        <f>IFERROR(__xludf.DUMMYFUNCTION("if($H1633="""", """", AVERAGE(split($H1633, "";"")))"),"")</f>
        <v/>
      </c>
      <c r="J1633" s="67" t="str">
        <f>IFERROR(__xludf.DUMMYFUNCTION("if(H1633="""", """", SUM(split(H1633, "";"")))"),"")</f>
        <v/>
      </c>
      <c r="K1633" s="68"/>
      <c r="L1633" s="68"/>
      <c r="M1633" s="68"/>
      <c r="N1633" s="68"/>
      <c r="O1633" s="68"/>
      <c r="P1633" s="68"/>
      <c r="Q1633" s="68"/>
      <c r="R1633" s="68"/>
      <c r="S1633" s="68"/>
      <c r="T1633" s="68"/>
      <c r="U1633" s="68"/>
      <c r="V1633" s="68"/>
      <c r="W1633" s="68"/>
      <c r="X1633" s="68"/>
      <c r="Y1633" s="68"/>
      <c r="Z1633" s="68"/>
      <c r="AA1633" s="68"/>
    </row>
    <row r="1634" ht="26.25" customHeight="1">
      <c r="A1634" s="68"/>
      <c r="B1634" s="68"/>
      <c r="C1634" s="68"/>
      <c r="D1634" s="71"/>
      <c r="E1634" s="71"/>
      <c r="F1634" s="71"/>
      <c r="G1634" s="65"/>
      <c r="H1634" s="74"/>
      <c r="I1634" s="67" t="str">
        <f>IFERROR(__xludf.DUMMYFUNCTION("if($H1634="""", """", AVERAGE(split($H1634, "";"")))"),"")</f>
        <v/>
      </c>
      <c r="J1634" s="67" t="str">
        <f>IFERROR(__xludf.DUMMYFUNCTION("if(H1634="""", """", SUM(split(H1634, "";"")))"),"")</f>
        <v/>
      </c>
      <c r="K1634" s="68"/>
      <c r="L1634" s="68"/>
      <c r="M1634" s="68"/>
      <c r="N1634" s="68"/>
      <c r="O1634" s="68"/>
      <c r="P1634" s="68"/>
      <c r="Q1634" s="68"/>
      <c r="R1634" s="68"/>
      <c r="S1634" s="68"/>
      <c r="T1634" s="68"/>
      <c r="U1634" s="68"/>
      <c r="V1634" s="68"/>
      <c r="W1634" s="68"/>
      <c r="X1634" s="68"/>
      <c r="Y1634" s="68"/>
      <c r="Z1634" s="68"/>
      <c r="AA1634" s="68"/>
    </row>
    <row r="1635" ht="26.25" customHeight="1">
      <c r="A1635" s="68"/>
      <c r="B1635" s="68"/>
      <c r="C1635" s="68"/>
      <c r="D1635" s="71"/>
      <c r="E1635" s="71"/>
      <c r="F1635" s="71"/>
      <c r="G1635" s="65"/>
      <c r="H1635" s="74"/>
      <c r="I1635" s="67" t="str">
        <f>IFERROR(__xludf.DUMMYFUNCTION("if($H1635="""", """", AVERAGE(split($H1635, "";"")))"),"")</f>
        <v/>
      </c>
      <c r="J1635" s="67" t="str">
        <f>IFERROR(__xludf.DUMMYFUNCTION("if(H1635="""", """", SUM(split(H1635, "";"")))"),"")</f>
        <v/>
      </c>
      <c r="K1635" s="68"/>
      <c r="L1635" s="68"/>
      <c r="M1635" s="68"/>
      <c r="N1635" s="68"/>
      <c r="O1635" s="68"/>
      <c r="P1635" s="68"/>
      <c r="Q1635" s="68"/>
      <c r="R1635" s="68"/>
      <c r="S1635" s="68"/>
      <c r="T1635" s="68"/>
      <c r="U1635" s="68"/>
      <c r="V1635" s="68"/>
      <c r="W1635" s="68"/>
      <c r="X1635" s="68"/>
      <c r="Y1635" s="68"/>
      <c r="Z1635" s="68"/>
      <c r="AA1635" s="68"/>
    </row>
    <row r="1636" ht="26.25" customHeight="1">
      <c r="A1636" s="68"/>
      <c r="B1636" s="68"/>
      <c r="C1636" s="68"/>
      <c r="D1636" s="71"/>
      <c r="E1636" s="71"/>
      <c r="F1636" s="71"/>
      <c r="G1636" s="65"/>
      <c r="H1636" s="74"/>
      <c r="I1636" s="67" t="str">
        <f>IFERROR(__xludf.DUMMYFUNCTION("if($H1636="""", """", AVERAGE(split($H1636, "";"")))"),"")</f>
        <v/>
      </c>
      <c r="J1636" s="67" t="str">
        <f>IFERROR(__xludf.DUMMYFUNCTION("if(H1636="""", """", SUM(split(H1636, "";"")))"),"")</f>
        <v/>
      </c>
      <c r="K1636" s="68"/>
      <c r="L1636" s="68"/>
      <c r="M1636" s="68"/>
      <c r="N1636" s="68"/>
      <c r="O1636" s="68"/>
      <c r="P1636" s="68"/>
      <c r="Q1636" s="68"/>
      <c r="R1636" s="68"/>
      <c r="S1636" s="68"/>
      <c r="T1636" s="68"/>
      <c r="U1636" s="68"/>
      <c r="V1636" s="68"/>
      <c r="W1636" s="68"/>
      <c r="X1636" s="68"/>
      <c r="Y1636" s="68"/>
      <c r="Z1636" s="68"/>
      <c r="AA1636" s="68"/>
    </row>
    <row r="1637" ht="26.25" customHeight="1">
      <c r="A1637" s="68"/>
      <c r="B1637" s="68"/>
      <c r="C1637" s="68"/>
      <c r="D1637" s="71"/>
      <c r="E1637" s="71"/>
      <c r="F1637" s="71"/>
      <c r="G1637" s="65"/>
      <c r="H1637" s="74"/>
      <c r="I1637" s="67" t="str">
        <f>IFERROR(__xludf.DUMMYFUNCTION("if($H1637="""", """", AVERAGE(split($H1637, "";"")))"),"")</f>
        <v/>
      </c>
      <c r="J1637" s="67" t="str">
        <f>IFERROR(__xludf.DUMMYFUNCTION("if(H1637="""", """", SUM(split(H1637, "";"")))"),"")</f>
        <v/>
      </c>
      <c r="K1637" s="68"/>
      <c r="L1637" s="68"/>
      <c r="M1637" s="68"/>
      <c r="N1637" s="68"/>
      <c r="O1637" s="68"/>
      <c r="P1637" s="68"/>
      <c r="Q1637" s="68"/>
      <c r="R1637" s="68"/>
      <c r="S1637" s="68"/>
      <c r="T1637" s="68"/>
      <c r="U1637" s="68"/>
      <c r="V1637" s="68"/>
      <c r="W1637" s="68"/>
      <c r="X1637" s="68"/>
      <c r="Y1637" s="68"/>
      <c r="Z1637" s="68"/>
      <c r="AA1637" s="68"/>
    </row>
    <row r="1638" ht="26.25" customHeight="1">
      <c r="A1638" s="68"/>
      <c r="B1638" s="68"/>
      <c r="C1638" s="68"/>
      <c r="D1638" s="71"/>
      <c r="E1638" s="71"/>
      <c r="F1638" s="71"/>
      <c r="G1638" s="65"/>
      <c r="H1638" s="74"/>
      <c r="I1638" s="67" t="str">
        <f>IFERROR(__xludf.DUMMYFUNCTION("if($H1638="""", """", AVERAGE(split($H1638, "";"")))"),"")</f>
        <v/>
      </c>
      <c r="J1638" s="67" t="str">
        <f>IFERROR(__xludf.DUMMYFUNCTION("if(H1638="""", """", SUM(split(H1638, "";"")))"),"")</f>
        <v/>
      </c>
      <c r="K1638" s="68"/>
      <c r="L1638" s="68"/>
      <c r="M1638" s="68"/>
      <c r="N1638" s="68"/>
      <c r="O1638" s="68"/>
      <c r="P1638" s="68"/>
      <c r="Q1638" s="68"/>
      <c r="R1638" s="68"/>
      <c r="S1638" s="68"/>
      <c r="T1638" s="68"/>
      <c r="U1638" s="68"/>
      <c r="V1638" s="68"/>
      <c r="W1638" s="68"/>
      <c r="X1638" s="68"/>
      <c r="Y1638" s="68"/>
      <c r="Z1638" s="68"/>
      <c r="AA1638" s="68"/>
    </row>
    <row r="1639" ht="26.25" customHeight="1">
      <c r="A1639" s="68"/>
      <c r="B1639" s="68"/>
      <c r="C1639" s="68"/>
      <c r="D1639" s="71"/>
      <c r="E1639" s="71"/>
      <c r="F1639" s="71"/>
      <c r="G1639" s="65"/>
      <c r="H1639" s="74"/>
      <c r="I1639" s="67" t="str">
        <f>IFERROR(__xludf.DUMMYFUNCTION("if($H1639="""", """", AVERAGE(split($H1639, "";"")))"),"")</f>
        <v/>
      </c>
      <c r="J1639" s="67" t="str">
        <f>IFERROR(__xludf.DUMMYFUNCTION("if(H1639="""", """", SUM(split(H1639, "";"")))"),"")</f>
        <v/>
      </c>
      <c r="K1639" s="68"/>
      <c r="L1639" s="68"/>
      <c r="M1639" s="68"/>
      <c r="N1639" s="68"/>
      <c r="O1639" s="68"/>
      <c r="P1639" s="68"/>
      <c r="Q1639" s="68"/>
      <c r="R1639" s="68"/>
      <c r="S1639" s="68"/>
      <c r="T1639" s="68"/>
      <c r="U1639" s="68"/>
      <c r="V1639" s="68"/>
      <c r="W1639" s="68"/>
      <c r="X1639" s="68"/>
      <c r="Y1639" s="68"/>
      <c r="Z1639" s="68"/>
      <c r="AA1639" s="68"/>
    </row>
    <row r="1640" ht="26.25" customHeight="1">
      <c r="A1640" s="68"/>
      <c r="B1640" s="68"/>
      <c r="C1640" s="68"/>
      <c r="D1640" s="71"/>
      <c r="E1640" s="71"/>
      <c r="F1640" s="71"/>
      <c r="G1640" s="65"/>
      <c r="H1640" s="74"/>
      <c r="I1640" s="67" t="str">
        <f>IFERROR(__xludf.DUMMYFUNCTION("if($H1640="""", """", AVERAGE(split($H1640, "";"")))"),"")</f>
        <v/>
      </c>
      <c r="J1640" s="67" t="str">
        <f>IFERROR(__xludf.DUMMYFUNCTION("if(H1640="""", """", SUM(split(H1640, "";"")))"),"")</f>
        <v/>
      </c>
      <c r="K1640" s="68"/>
      <c r="L1640" s="68"/>
      <c r="M1640" s="68"/>
      <c r="N1640" s="68"/>
      <c r="O1640" s="68"/>
      <c r="P1640" s="68"/>
      <c r="Q1640" s="68"/>
      <c r="R1640" s="68"/>
      <c r="S1640" s="68"/>
      <c r="T1640" s="68"/>
      <c r="U1640" s="68"/>
      <c r="V1640" s="68"/>
      <c r="W1640" s="68"/>
      <c r="X1640" s="68"/>
      <c r="Y1640" s="68"/>
      <c r="Z1640" s="68"/>
      <c r="AA1640" s="68"/>
    </row>
    <row r="1641" ht="26.25" customHeight="1">
      <c r="A1641" s="68"/>
      <c r="B1641" s="68"/>
      <c r="C1641" s="68"/>
      <c r="D1641" s="71"/>
      <c r="E1641" s="71"/>
      <c r="F1641" s="71"/>
      <c r="G1641" s="65"/>
      <c r="H1641" s="74"/>
      <c r="I1641" s="67" t="str">
        <f>IFERROR(__xludf.DUMMYFUNCTION("if($H1641="""", """", AVERAGE(split($H1641, "";"")))"),"")</f>
        <v/>
      </c>
      <c r="J1641" s="67" t="str">
        <f>IFERROR(__xludf.DUMMYFUNCTION("if(H1641="""", """", SUM(split(H1641, "";"")))"),"")</f>
        <v/>
      </c>
      <c r="K1641" s="68"/>
      <c r="L1641" s="68"/>
      <c r="M1641" s="68"/>
      <c r="N1641" s="68"/>
      <c r="O1641" s="68"/>
      <c r="P1641" s="68"/>
      <c r="Q1641" s="68"/>
      <c r="R1641" s="68"/>
      <c r="S1641" s="68"/>
      <c r="T1641" s="68"/>
      <c r="U1641" s="68"/>
      <c r="V1641" s="68"/>
      <c r="W1641" s="68"/>
      <c r="X1641" s="68"/>
      <c r="Y1641" s="68"/>
      <c r="Z1641" s="68"/>
      <c r="AA1641" s="68"/>
    </row>
    <row r="1642" ht="26.25" customHeight="1">
      <c r="A1642" s="68"/>
      <c r="B1642" s="68"/>
      <c r="C1642" s="68"/>
      <c r="D1642" s="71"/>
      <c r="E1642" s="71"/>
      <c r="F1642" s="71"/>
      <c r="G1642" s="65"/>
      <c r="H1642" s="74"/>
      <c r="I1642" s="67" t="str">
        <f>IFERROR(__xludf.DUMMYFUNCTION("if($H1642="""", """", AVERAGE(split($H1642, "";"")))"),"")</f>
        <v/>
      </c>
      <c r="J1642" s="67" t="str">
        <f>IFERROR(__xludf.DUMMYFUNCTION("if(H1642="""", """", SUM(split(H1642, "";"")))"),"")</f>
        <v/>
      </c>
      <c r="K1642" s="68"/>
      <c r="L1642" s="68"/>
      <c r="M1642" s="68"/>
      <c r="N1642" s="68"/>
      <c r="O1642" s="68"/>
      <c r="P1642" s="68"/>
      <c r="Q1642" s="68"/>
      <c r="R1642" s="68"/>
      <c r="S1642" s="68"/>
      <c r="T1642" s="68"/>
      <c r="U1642" s="68"/>
      <c r="V1642" s="68"/>
      <c r="W1642" s="68"/>
      <c r="X1642" s="68"/>
      <c r="Y1642" s="68"/>
      <c r="Z1642" s="68"/>
      <c r="AA1642" s="68"/>
    </row>
    <row r="1643" ht="26.25" customHeight="1">
      <c r="A1643" s="68"/>
      <c r="B1643" s="68"/>
      <c r="C1643" s="68"/>
      <c r="D1643" s="71"/>
      <c r="E1643" s="71"/>
      <c r="F1643" s="71"/>
      <c r="G1643" s="65"/>
      <c r="H1643" s="74"/>
      <c r="I1643" s="67" t="str">
        <f>IFERROR(__xludf.DUMMYFUNCTION("if($H1643="""", """", AVERAGE(split($H1643, "";"")))"),"")</f>
        <v/>
      </c>
      <c r="J1643" s="67" t="str">
        <f>IFERROR(__xludf.DUMMYFUNCTION("if(H1643="""", """", SUM(split(H1643, "";"")))"),"")</f>
        <v/>
      </c>
      <c r="K1643" s="68"/>
      <c r="L1643" s="68"/>
      <c r="M1643" s="68"/>
      <c r="N1643" s="68"/>
      <c r="O1643" s="68"/>
      <c r="P1643" s="68"/>
      <c r="Q1643" s="68"/>
      <c r="R1643" s="68"/>
      <c r="S1643" s="68"/>
      <c r="T1643" s="68"/>
      <c r="U1643" s="68"/>
      <c r="V1643" s="68"/>
      <c r="W1643" s="68"/>
      <c r="X1643" s="68"/>
      <c r="Y1643" s="68"/>
      <c r="Z1643" s="68"/>
      <c r="AA1643" s="68"/>
    </row>
    <row r="1644" ht="26.25" customHeight="1">
      <c r="A1644" s="68"/>
      <c r="B1644" s="68"/>
      <c r="C1644" s="68"/>
      <c r="D1644" s="71"/>
      <c r="E1644" s="71"/>
      <c r="F1644" s="71"/>
      <c r="G1644" s="65"/>
      <c r="H1644" s="74"/>
      <c r="I1644" s="67" t="str">
        <f>IFERROR(__xludf.DUMMYFUNCTION("if($H1644="""", """", AVERAGE(split($H1644, "";"")))"),"")</f>
        <v/>
      </c>
      <c r="J1644" s="67" t="str">
        <f>IFERROR(__xludf.DUMMYFUNCTION("if(H1644="""", """", SUM(split(H1644, "";"")))"),"")</f>
        <v/>
      </c>
      <c r="K1644" s="68"/>
      <c r="L1644" s="68"/>
      <c r="M1644" s="68"/>
      <c r="N1644" s="68"/>
      <c r="O1644" s="68"/>
      <c r="P1644" s="68"/>
      <c r="Q1644" s="68"/>
      <c r="R1644" s="68"/>
      <c r="S1644" s="68"/>
      <c r="T1644" s="68"/>
      <c r="U1644" s="68"/>
      <c r="V1644" s="68"/>
      <c r="W1644" s="68"/>
      <c r="X1644" s="68"/>
      <c r="Y1644" s="68"/>
      <c r="Z1644" s="68"/>
      <c r="AA1644" s="68"/>
    </row>
    <row r="1645" ht="26.25" customHeight="1">
      <c r="A1645" s="68"/>
      <c r="B1645" s="68"/>
      <c r="C1645" s="68"/>
      <c r="D1645" s="71"/>
      <c r="E1645" s="71"/>
      <c r="F1645" s="71"/>
      <c r="G1645" s="65"/>
      <c r="H1645" s="74"/>
      <c r="I1645" s="67" t="str">
        <f>IFERROR(__xludf.DUMMYFUNCTION("if($H1645="""", """", AVERAGE(split($H1645, "";"")))"),"")</f>
        <v/>
      </c>
      <c r="J1645" s="67" t="str">
        <f>IFERROR(__xludf.DUMMYFUNCTION("if(H1645="""", """", SUM(split(H1645, "";"")))"),"")</f>
        <v/>
      </c>
      <c r="K1645" s="68"/>
      <c r="L1645" s="68"/>
      <c r="M1645" s="68"/>
      <c r="N1645" s="68"/>
      <c r="O1645" s="68"/>
      <c r="P1645" s="68"/>
      <c r="Q1645" s="68"/>
      <c r="R1645" s="68"/>
      <c r="S1645" s="68"/>
      <c r="T1645" s="68"/>
      <c r="U1645" s="68"/>
      <c r="V1645" s="68"/>
      <c r="W1645" s="68"/>
      <c r="X1645" s="68"/>
      <c r="Y1645" s="68"/>
      <c r="Z1645" s="68"/>
      <c r="AA1645" s="68"/>
    </row>
    <row r="1646" ht="26.25" customHeight="1">
      <c r="A1646" s="68"/>
      <c r="B1646" s="68"/>
      <c r="C1646" s="68"/>
      <c r="D1646" s="71"/>
      <c r="E1646" s="71"/>
      <c r="F1646" s="71"/>
      <c r="G1646" s="65"/>
      <c r="H1646" s="74"/>
      <c r="I1646" s="67" t="str">
        <f>IFERROR(__xludf.DUMMYFUNCTION("if($H1646="""", """", AVERAGE(split($H1646, "";"")))"),"")</f>
        <v/>
      </c>
      <c r="J1646" s="67" t="str">
        <f>IFERROR(__xludf.DUMMYFUNCTION("if(H1646="""", """", SUM(split(H1646, "";"")))"),"")</f>
        <v/>
      </c>
      <c r="K1646" s="68"/>
      <c r="L1646" s="68"/>
      <c r="M1646" s="68"/>
      <c r="N1646" s="68"/>
      <c r="O1646" s="68"/>
      <c r="P1646" s="68"/>
      <c r="Q1646" s="68"/>
      <c r="R1646" s="68"/>
      <c r="S1646" s="68"/>
      <c r="T1646" s="68"/>
      <c r="U1646" s="68"/>
      <c r="V1646" s="68"/>
      <c r="W1646" s="68"/>
      <c r="X1646" s="68"/>
      <c r="Y1646" s="68"/>
      <c r="Z1646" s="68"/>
      <c r="AA1646" s="68"/>
    </row>
    <row r="1647" ht="26.25" customHeight="1">
      <c r="A1647" s="68"/>
      <c r="B1647" s="68"/>
      <c r="C1647" s="68"/>
      <c r="D1647" s="71"/>
      <c r="E1647" s="71"/>
      <c r="F1647" s="71"/>
      <c r="G1647" s="65"/>
      <c r="H1647" s="74"/>
      <c r="I1647" s="67" t="str">
        <f>IFERROR(__xludf.DUMMYFUNCTION("if($H1647="""", """", AVERAGE(split($H1647, "";"")))"),"")</f>
        <v/>
      </c>
      <c r="J1647" s="67" t="str">
        <f>IFERROR(__xludf.DUMMYFUNCTION("if(H1647="""", """", SUM(split(H1647, "";"")))"),"")</f>
        <v/>
      </c>
      <c r="K1647" s="68"/>
      <c r="L1647" s="68"/>
      <c r="M1647" s="68"/>
      <c r="N1647" s="68"/>
      <c r="O1647" s="68"/>
      <c r="P1647" s="68"/>
      <c r="Q1647" s="68"/>
      <c r="R1647" s="68"/>
      <c r="S1647" s="68"/>
      <c r="T1647" s="68"/>
      <c r="U1647" s="68"/>
      <c r="V1647" s="68"/>
      <c r="W1647" s="68"/>
      <c r="X1647" s="68"/>
      <c r="Y1647" s="68"/>
      <c r="Z1647" s="68"/>
      <c r="AA1647" s="68"/>
    </row>
    <row r="1648" ht="26.25" customHeight="1">
      <c r="A1648" s="68"/>
      <c r="B1648" s="68"/>
      <c r="C1648" s="68"/>
      <c r="D1648" s="71"/>
      <c r="E1648" s="71"/>
      <c r="F1648" s="71"/>
      <c r="G1648" s="65"/>
      <c r="H1648" s="74"/>
      <c r="I1648" s="67" t="str">
        <f>IFERROR(__xludf.DUMMYFUNCTION("if($H1648="""", """", AVERAGE(split($H1648, "";"")))"),"")</f>
        <v/>
      </c>
      <c r="J1648" s="67" t="str">
        <f>IFERROR(__xludf.DUMMYFUNCTION("if(H1648="""", """", SUM(split(H1648, "";"")))"),"")</f>
        <v/>
      </c>
      <c r="K1648" s="68"/>
      <c r="L1648" s="68"/>
      <c r="M1648" s="68"/>
      <c r="N1648" s="68"/>
      <c r="O1648" s="68"/>
      <c r="P1648" s="68"/>
      <c r="Q1648" s="68"/>
      <c r="R1648" s="68"/>
      <c r="S1648" s="68"/>
      <c r="T1648" s="68"/>
      <c r="U1648" s="68"/>
      <c r="V1648" s="68"/>
      <c r="W1648" s="68"/>
      <c r="X1648" s="68"/>
      <c r="Y1648" s="68"/>
      <c r="Z1648" s="68"/>
      <c r="AA1648" s="68"/>
    </row>
    <row r="1649" ht="26.25" customHeight="1">
      <c r="A1649" s="68"/>
      <c r="B1649" s="68"/>
      <c r="C1649" s="68"/>
      <c r="D1649" s="71"/>
      <c r="E1649" s="71"/>
      <c r="F1649" s="71"/>
      <c r="G1649" s="65"/>
      <c r="H1649" s="74"/>
      <c r="I1649" s="67" t="str">
        <f>IFERROR(__xludf.DUMMYFUNCTION("if($H1649="""", """", AVERAGE(split($H1649, "";"")))"),"")</f>
        <v/>
      </c>
      <c r="J1649" s="67" t="str">
        <f>IFERROR(__xludf.DUMMYFUNCTION("if(H1649="""", """", SUM(split(H1649, "";"")))"),"")</f>
        <v/>
      </c>
      <c r="K1649" s="68"/>
      <c r="L1649" s="68"/>
      <c r="M1649" s="68"/>
      <c r="N1649" s="68"/>
      <c r="O1649" s="68"/>
      <c r="P1649" s="68"/>
      <c r="Q1649" s="68"/>
      <c r="R1649" s="68"/>
      <c r="S1649" s="68"/>
      <c r="T1649" s="68"/>
      <c r="U1649" s="68"/>
      <c r="V1649" s="68"/>
      <c r="W1649" s="68"/>
      <c r="X1649" s="68"/>
      <c r="Y1649" s="68"/>
      <c r="Z1649" s="68"/>
      <c r="AA1649" s="68"/>
    </row>
    <row r="1650" ht="26.25" customHeight="1">
      <c r="A1650" s="68"/>
      <c r="B1650" s="68"/>
      <c r="C1650" s="68"/>
      <c r="D1650" s="71"/>
      <c r="E1650" s="71"/>
      <c r="F1650" s="71"/>
      <c r="G1650" s="65"/>
      <c r="H1650" s="74"/>
      <c r="I1650" s="67" t="str">
        <f>IFERROR(__xludf.DUMMYFUNCTION("if($H1650="""", """", AVERAGE(split($H1650, "";"")))"),"")</f>
        <v/>
      </c>
      <c r="J1650" s="67" t="str">
        <f>IFERROR(__xludf.DUMMYFUNCTION("if(H1650="""", """", SUM(split(H1650, "";"")))"),"")</f>
        <v/>
      </c>
      <c r="K1650" s="68"/>
      <c r="L1650" s="68"/>
      <c r="M1650" s="68"/>
      <c r="N1650" s="68"/>
      <c r="O1650" s="68"/>
      <c r="P1650" s="68"/>
      <c r="Q1650" s="68"/>
      <c r="R1650" s="68"/>
      <c r="S1650" s="68"/>
      <c r="T1650" s="68"/>
      <c r="U1650" s="68"/>
      <c r="V1650" s="68"/>
      <c r="W1650" s="68"/>
      <c r="X1650" s="68"/>
      <c r="Y1650" s="68"/>
      <c r="Z1650" s="68"/>
      <c r="AA1650" s="68"/>
    </row>
    <row r="1651" ht="26.25" customHeight="1">
      <c r="A1651" s="68"/>
      <c r="B1651" s="68"/>
      <c r="C1651" s="68"/>
      <c r="D1651" s="71"/>
      <c r="E1651" s="71"/>
      <c r="F1651" s="71"/>
      <c r="G1651" s="65"/>
      <c r="H1651" s="74"/>
      <c r="I1651" s="67" t="str">
        <f>IFERROR(__xludf.DUMMYFUNCTION("if($H1651="""", """", AVERAGE(split($H1651, "";"")))"),"")</f>
        <v/>
      </c>
      <c r="J1651" s="67" t="str">
        <f>IFERROR(__xludf.DUMMYFUNCTION("if(H1651="""", """", SUM(split(H1651, "";"")))"),"")</f>
        <v/>
      </c>
      <c r="K1651" s="68"/>
      <c r="L1651" s="68"/>
      <c r="M1651" s="68"/>
      <c r="N1651" s="68"/>
      <c r="O1651" s="68"/>
      <c r="P1651" s="68"/>
      <c r="Q1651" s="68"/>
      <c r="R1651" s="68"/>
      <c r="S1651" s="68"/>
      <c r="T1651" s="68"/>
      <c r="U1651" s="68"/>
      <c r="V1651" s="68"/>
      <c r="W1651" s="68"/>
      <c r="X1651" s="68"/>
      <c r="Y1651" s="68"/>
      <c r="Z1651" s="68"/>
      <c r="AA1651" s="68"/>
    </row>
    <row r="1652" ht="26.25" customHeight="1">
      <c r="A1652" s="68"/>
      <c r="B1652" s="68"/>
      <c r="C1652" s="68"/>
      <c r="D1652" s="71"/>
      <c r="E1652" s="71"/>
      <c r="F1652" s="71"/>
      <c r="G1652" s="65"/>
      <c r="H1652" s="74"/>
      <c r="I1652" s="67" t="str">
        <f>IFERROR(__xludf.DUMMYFUNCTION("if($H1652="""", """", AVERAGE(split($H1652, "";"")))"),"")</f>
        <v/>
      </c>
      <c r="J1652" s="67" t="str">
        <f>IFERROR(__xludf.DUMMYFUNCTION("if(H1652="""", """", SUM(split(H1652, "";"")))"),"")</f>
        <v/>
      </c>
      <c r="K1652" s="68"/>
      <c r="L1652" s="68"/>
      <c r="M1652" s="68"/>
      <c r="N1652" s="68"/>
      <c r="O1652" s="68"/>
      <c r="P1652" s="68"/>
      <c r="Q1652" s="68"/>
      <c r="R1652" s="68"/>
      <c r="S1652" s="68"/>
      <c r="T1652" s="68"/>
      <c r="U1652" s="68"/>
      <c r="V1652" s="68"/>
      <c r="W1652" s="68"/>
      <c r="X1652" s="68"/>
      <c r="Y1652" s="68"/>
      <c r="Z1652" s="68"/>
      <c r="AA1652" s="68"/>
    </row>
    <row r="1653" ht="26.25" customHeight="1">
      <c r="A1653" s="68"/>
      <c r="B1653" s="68"/>
      <c r="C1653" s="68"/>
      <c r="D1653" s="71"/>
      <c r="E1653" s="71"/>
      <c r="F1653" s="71"/>
      <c r="G1653" s="65"/>
      <c r="H1653" s="74"/>
      <c r="I1653" s="67" t="str">
        <f>IFERROR(__xludf.DUMMYFUNCTION("if($H1653="""", """", AVERAGE(split($H1653, "";"")))"),"")</f>
        <v/>
      </c>
      <c r="J1653" s="67" t="str">
        <f>IFERROR(__xludf.DUMMYFUNCTION("if(H1653="""", """", SUM(split(H1653, "";"")))"),"")</f>
        <v/>
      </c>
      <c r="K1653" s="68"/>
      <c r="L1653" s="68"/>
      <c r="M1653" s="68"/>
      <c r="N1653" s="68"/>
      <c r="O1653" s="68"/>
      <c r="P1653" s="68"/>
      <c r="Q1653" s="68"/>
      <c r="R1653" s="68"/>
      <c r="S1653" s="68"/>
      <c r="T1653" s="68"/>
      <c r="U1653" s="68"/>
      <c r="V1653" s="68"/>
      <c r="W1653" s="68"/>
      <c r="X1653" s="68"/>
      <c r="Y1653" s="68"/>
      <c r="Z1653" s="68"/>
      <c r="AA1653" s="68"/>
    </row>
    <row r="1654" ht="26.25" customHeight="1">
      <c r="A1654" s="68"/>
      <c r="B1654" s="68"/>
      <c r="C1654" s="68"/>
      <c r="D1654" s="71"/>
      <c r="E1654" s="71"/>
      <c r="F1654" s="71"/>
      <c r="G1654" s="65"/>
      <c r="H1654" s="74"/>
      <c r="I1654" s="67" t="str">
        <f>IFERROR(__xludf.DUMMYFUNCTION("if($H1654="""", """", AVERAGE(split($H1654, "";"")))"),"")</f>
        <v/>
      </c>
      <c r="J1654" s="67" t="str">
        <f>IFERROR(__xludf.DUMMYFUNCTION("if(H1654="""", """", SUM(split(H1654, "";"")))"),"")</f>
        <v/>
      </c>
      <c r="K1654" s="68"/>
      <c r="L1654" s="68"/>
      <c r="M1654" s="68"/>
      <c r="N1654" s="68"/>
      <c r="O1654" s="68"/>
      <c r="P1654" s="68"/>
      <c r="Q1654" s="68"/>
      <c r="R1654" s="68"/>
      <c r="S1654" s="68"/>
      <c r="T1654" s="68"/>
      <c r="U1654" s="68"/>
      <c r="V1654" s="68"/>
      <c r="W1654" s="68"/>
      <c r="X1654" s="68"/>
      <c r="Y1654" s="68"/>
      <c r="Z1654" s="68"/>
      <c r="AA1654" s="68"/>
    </row>
    <row r="1655" ht="26.25" customHeight="1">
      <c r="A1655" s="68"/>
      <c r="B1655" s="68"/>
      <c r="C1655" s="68"/>
      <c r="D1655" s="71"/>
      <c r="E1655" s="71"/>
      <c r="F1655" s="71"/>
      <c r="G1655" s="65"/>
      <c r="H1655" s="74"/>
      <c r="I1655" s="67" t="str">
        <f>IFERROR(__xludf.DUMMYFUNCTION("if($H1655="""", """", AVERAGE(split($H1655, "";"")))"),"")</f>
        <v/>
      </c>
      <c r="J1655" s="67" t="str">
        <f>IFERROR(__xludf.DUMMYFUNCTION("if(H1655="""", """", SUM(split(H1655, "";"")))"),"")</f>
        <v/>
      </c>
      <c r="K1655" s="68"/>
      <c r="L1655" s="68"/>
      <c r="M1655" s="68"/>
      <c r="N1655" s="68"/>
      <c r="O1655" s="68"/>
      <c r="P1655" s="68"/>
      <c r="Q1655" s="68"/>
      <c r="R1655" s="68"/>
      <c r="S1655" s="68"/>
      <c r="T1655" s="68"/>
      <c r="U1655" s="68"/>
      <c r="V1655" s="68"/>
      <c r="W1655" s="68"/>
      <c r="X1655" s="68"/>
      <c r="Y1655" s="68"/>
      <c r="Z1655" s="68"/>
      <c r="AA1655" s="68"/>
    </row>
    <row r="1656" ht="26.25" customHeight="1">
      <c r="A1656" s="68"/>
      <c r="B1656" s="68"/>
      <c r="C1656" s="68"/>
      <c r="D1656" s="71"/>
      <c r="E1656" s="71"/>
      <c r="F1656" s="71"/>
      <c r="G1656" s="65"/>
      <c r="H1656" s="74"/>
      <c r="I1656" s="67" t="str">
        <f>IFERROR(__xludf.DUMMYFUNCTION("if($H1656="""", """", AVERAGE(split($H1656, "";"")))"),"")</f>
        <v/>
      </c>
      <c r="J1656" s="67" t="str">
        <f>IFERROR(__xludf.DUMMYFUNCTION("if(H1656="""", """", SUM(split(H1656, "";"")))"),"")</f>
        <v/>
      </c>
      <c r="K1656" s="68"/>
      <c r="L1656" s="68"/>
      <c r="M1656" s="68"/>
      <c r="N1656" s="68"/>
      <c r="O1656" s="68"/>
      <c r="P1656" s="68"/>
      <c r="Q1656" s="68"/>
      <c r="R1656" s="68"/>
      <c r="S1656" s="68"/>
      <c r="T1656" s="68"/>
      <c r="U1656" s="68"/>
      <c r="V1656" s="68"/>
      <c r="W1656" s="68"/>
      <c r="X1656" s="68"/>
      <c r="Y1656" s="68"/>
      <c r="Z1656" s="68"/>
      <c r="AA1656" s="68"/>
    </row>
    <row r="1657" ht="26.25" customHeight="1">
      <c r="A1657" s="68"/>
      <c r="B1657" s="68"/>
      <c r="C1657" s="68"/>
      <c r="D1657" s="71"/>
      <c r="E1657" s="71"/>
      <c r="F1657" s="71"/>
      <c r="G1657" s="65"/>
      <c r="H1657" s="74"/>
      <c r="I1657" s="67" t="str">
        <f>IFERROR(__xludf.DUMMYFUNCTION("if($H1657="""", """", AVERAGE(split($H1657, "";"")))"),"")</f>
        <v/>
      </c>
      <c r="J1657" s="67" t="str">
        <f>IFERROR(__xludf.DUMMYFUNCTION("if(H1657="""", """", SUM(split(H1657, "";"")))"),"")</f>
        <v/>
      </c>
      <c r="K1657" s="68"/>
      <c r="L1657" s="68"/>
      <c r="M1657" s="68"/>
      <c r="N1657" s="68"/>
      <c r="O1657" s="68"/>
      <c r="P1657" s="68"/>
      <c r="Q1657" s="68"/>
      <c r="R1657" s="68"/>
      <c r="S1657" s="68"/>
      <c r="T1657" s="68"/>
      <c r="U1657" s="68"/>
      <c r="V1657" s="68"/>
      <c r="W1657" s="68"/>
      <c r="X1657" s="68"/>
      <c r="Y1657" s="68"/>
      <c r="Z1657" s="68"/>
      <c r="AA1657" s="68"/>
    </row>
    <row r="1658" ht="26.25" customHeight="1">
      <c r="A1658" s="68"/>
      <c r="B1658" s="68"/>
      <c r="C1658" s="68"/>
      <c r="D1658" s="71"/>
      <c r="E1658" s="71"/>
      <c r="F1658" s="71"/>
      <c r="G1658" s="65"/>
      <c r="H1658" s="74"/>
      <c r="I1658" s="67" t="str">
        <f>IFERROR(__xludf.DUMMYFUNCTION("if($H1658="""", """", AVERAGE(split($H1658, "";"")))"),"")</f>
        <v/>
      </c>
      <c r="J1658" s="67" t="str">
        <f>IFERROR(__xludf.DUMMYFUNCTION("if(H1658="""", """", SUM(split(H1658, "";"")))"),"")</f>
        <v/>
      </c>
      <c r="K1658" s="68"/>
      <c r="L1658" s="68"/>
      <c r="M1658" s="68"/>
      <c r="N1658" s="68"/>
      <c r="O1658" s="68"/>
      <c r="P1658" s="68"/>
      <c r="Q1658" s="68"/>
      <c r="R1658" s="68"/>
      <c r="S1658" s="68"/>
      <c r="T1658" s="68"/>
      <c r="U1658" s="68"/>
      <c r="V1658" s="68"/>
      <c r="W1658" s="68"/>
      <c r="X1658" s="68"/>
      <c r="Y1658" s="68"/>
      <c r="Z1658" s="68"/>
      <c r="AA1658" s="68"/>
    </row>
    <row r="1659" ht="26.25" customHeight="1">
      <c r="A1659" s="68"/>
      <c r="B1659" s="68"/>
      <c r="C1659" s="68"/>
      <c r="D1659" s="71"/>
      <c r="E1659" s="71"/>
      <c r="F1659" s="71"/>
      <c r="G1659" s="65"/>
      <c r="H1659" s="74"/>
      <c r="I1659" s="67" t="str">
        <f>IFERROR(__xludf.DUMMYFUNCTION("if($H1659="""", """", AVERAGE(split($H1659, "";"")))"),"")</f>
        <v/>
      </c>
      <c r="J1659" s="67" t="str">
        <f>IFERROR(__xludf.DUMMYFUNCTION("if(H1659="""", """", SUM(split(H1659, "";"")))"),"")</f>
        <v/>
      </c>
      <c r="K1659" s="68"/>
      <c r="L1659" s="68"/>
      <c r="M1659" s="68"/>
      <c r="N1659" s="68"/>
      <c r="O1659" s="68"/>
      <c r="P1659" s="68"/>
      <c r="Q1659" s="68"/>
      <c r="R1659" s="68"/>
      <c r="S1659" s="68"/>
      <c r="T1659" s="68"/>
      <c r="U1659" s="68"/>
      <c r="V1659" s="68"/>
      <c r="W1659" s="68"/>
      <c r="X1659" s="68"/>
      <c r="Y1659" s="68"/>
      <c r="Z1659" s="68"/>
      <c r="AA1659" s="68"/>
    </row>
    <row r="1660" ht="26.25" customHeight="1">
      <c r="A1660" s="68"/>
      <c r="B1660" s="68"/>
      <c r="C1660" s="68"/>
      <c r="D1660" s="71"/>
      <c r="E1660" s="71"/>
      <c r="F1660" s="71"/>
      <c r="G1660" s="65"/>
      <c r="H1660" s="74"/>
      <c r="I1660" s="67" t="str">
        <f>IFERROR(__xludf.DUMMYFUNCTION("if($H1660="""", """", AVERAGE(split($H1660, "";"")))"),"")</f>
        <v/>
      </c>
      <c r="J1660" s="67" t="str">
        <f>IFERROR(__xludf.DUMMYFUNCTION("if(H1660="""", """", SUM(split(H1660, "";"")))"),"")</f>
        <v/>
      </c>
      <c r="K1660" s="68"/>
      <c r="L1660" s="68"/>
      <c r="M1660" s="68"/>
      <c r="N1660" s="68"/>
      <c r="O1660" s="68"/>
      <c r="P1660" s="68"/>
      <c r="Q1660" s="68"/>
      <c r="R1660" s="68"/>
      <c r="S1660" s="68"/>
      <c r="T1660" s="68"/>
      <c r="U1660" s="68"/>
      <c r="V1660" s="68"/>
      <c r="W1660" s="68"/>
      <c r="X1660" s="68"/>
      <c r="Y1660" s="68"/>
      <c r="Z1660" s="68"/>
      <c r="AA1660" s="68"/>
    </row>
    <row r="1661" ht="26.25" customHeight="1">
      <c r="A1661" s="68"/>
      <c r="B1661" s="68"/>
      <c r="C1661" s="68"/>
      <c r="D1661" s="71"/>
      <c r="E1661" s="71"/>
      <c r="F1661" s="71"/>
      <c r="G1661" s="65"/>
      <c r="H1661" s="74"/>
      <c r="I1661" s="67" t="str">
        <f>IFERROR(__xludf.DUMMYFUNCTION("if($H1661="""", """", AVERAGE(split($H1661, "";"")))"),"")</f>
        <v/>
      </c>
      <c r="J1661" s="67" t="str">
        <f>IFERROR(__xludf.DUMMYFUNCTION("if(H1661="""", """", SUM(split(H1661, "";"")))"),"")</f>
        <v/>
      </c>
      <c r="K1661" s="68"/>
      <c r="L1661" s="68"/>
      <c r="M1661" s="68"/>
      <c r="N1661" s="68"/>
      <c r="O1661" s="68"/>
      <c r="P1661" s="68"/>
      <c r="Q1661" s="68"/>
      <c r="R1661" s="68"/>
      <c r="S1661" s="68"/>
      <c r="T1661" s="68"/>
      <c r="U1661" s="68"/>
      <c r="V1661" s="68"/>
      <c r="W1661" s="68"/>
      <c r="X1661" s="68"/>
      <c r="Y1661" s="68"/>
      <c r="Z1661" s="68"/>
      <c r="AA1661" s="68"/>
    </row>
    <row r="1662" ht="26.25" customHeight="1">
      <c r="A1662" s="68"/>
      <c r="B1662" s="68"/>
      <c r="C1662" s="68"/>
      <c r="D1662" s="71"/>
      <c r="E1662" s="71"/>
      <c r="F1662" s="71"/>
      <c r="G1662" s="65"/>
      <c r="H1662" s="74"/>
      <c r="I1662" s="67" t="str">
        <f>IFERROR(__xludf.DUMMYFUNCTION("if($H1662="""", """", AVERAGE(split($H1662, "";"")))"),"")</f>
        <v/>
      </c>
      <c r="J1662" s="67" t="str">
        <f>IFERROR(__xludf.DUMMYFUNCTION("if(H1662="""", """", SUM(split(H1662, "";"")))"),"")</f>
        <v/>
      </c>
      <c r="K1662" s="68"/>
      <c r="L1662" s="68"/>
      <c r="M1662" s="68"/>
      <c r="N1662" s="68"/>
      <c r="O1662" s="68"/>
      <c r="P1662" s="68"/>
      <c r="Q1662" s="68"/>
      <c r="R1662" s="68"/>
      <c r="S1662" s="68"/>
      <c r="T1662" s="68"/>
      <c r="U1662" s="68"/>
      <c r="V1662" s="68"/>
      <c r="W1662" s="68"/>
      <c r="X1662" s="68"/>
      <c r="Y1662" s="68"/>
      <c r="Z1662" s="68"/>
      <c r="AA1662" s="68"/>
    </row>
    <row r="1663" ht="26.25" customHeight="1">
      <c r="A1663" s="68"/>
      <c r="B1663" s="68"/>
      <c r="C1663" s="68"/>
      <c r="D1663" s="71"/>
      <c r="E1663" s="71"/>
      <c r="F1663" s="71"/>
      <c r="G1663" s="65"/>
      <c r="H1663" s="74"/>
      <c r="I1663" s="67" t="str">
        <f>IFERROR(__xludf.DUMMYFUNCTION("if($H1663="""", """", AVERAGE(split($H1663, "";"")))"),"")</f>
        <v/>
      </c>
      <c r="J1663" s="67" t="str">
        <f>IFERROR(__xludf.DUMMYFUNCTION("if(H1663="""", """", SUM(split(H1663, "";"")))"),"")</f>
        <v/>
      </c>
      <c r="K1663" s="68"/>
      <c r="L1663" s="68"/>
      <c r="M1663" s="68"/>
      <c r="N1663" s="68"/>
      <c r="O1663" s="68"/>
      <c r="P1663" s="68"/>
      <c r="Q1663" s="68"/>
      <c r="R1663" s="68"/>
      <c r="S1663" s="68"/>
      <c r="T1663" s="68"/>
      <c r="U1663" s="68"/>
      <c r="V1663" s="68"/>
      <c r="W1663" s="68"/>
      <c r="X1663" s="68"/>
      <c r="Y1663" s="68"/>
      <c r="Z1663" s="68"/>
      <c r="AA1663" s="68"/>
    </row>
    <row r="1664" ht="26.25" customHeight="1">
      <c r="A1664" s="68"/>
      <c r="B1664" s="68"/>
      <c r="C1664" s="68"/>
      <c r="D1664" s="71"/>
      <c r="E1664" s="71"/>
      <c r="F1664" s="71"/>
      <c r="G1664" s="65"/>
      <c r="H1664" s="74"/>
      <c r="I1664" s="67" t="str">
        <f>IFERROR(__xludf.DUMMYFUNCTION("if($H1664="""", """", AVERAGE(split($H1664, "";"")))"),"")</f>
        <v/>
      </c>
      <c r="J1664" s="67" t="str">
        <f>IFERROR(__xludf.DUMMYFUNCTION("if(H1664="""", """", SUM(split(H1664, "";"")))"),"")</f>
        <v/>
      </c>
      <c r="K1664" s="68"/>
      <c r="L1664" s="68"/>
      <c r="M1664" s="68"/>
      <c r="N1664" s="68"/>
      <c r="O1664" s="68"/>
      <c r="P1664" s="68"/>
      <c r="Q1664" s="68"/>
      <c r="R1664" s="68"/>
      <c r="S1664" s="68"/>
      <c r="T1664" s="68"/>
      <c r="U1664" s="68"/>
      <c r="V1664" s="68"/>
      <c r="W1664" s="68"/>
      <c r="X1664" s="68"/>
      <c r="Y1664" s="68"/>
      <c r="Z1664" s="68"/>
      <c r="AA1664" s="68"/>
    </row>
    <row r="1665" ht="26.25" customHeight="1">
      <c r="A1665" s="68"/>
      <c r="B1665" s="68"/>
      <c r="C1665" s="68"/>
      <c r="D1665" s="71"/>
      <c r="E1665" s="71"/>
      <c r="F1665" s="71"/>
      <c r="G1665" s="65"/>
      <c r="H1665" s="74"/>
      <c r="I1665" s="67" t="str">
        <f>IFERROR(__xludf.DUMMYFUNCTION("if($H1665="""", """", AVERAGE(split($H1665, "";"")))"),"")</f>
        <v/>
      </c>
      <c r="J1665" s="67" t="str">
        <f>IFERROR(__xludf.DUMMYFUNCTION("if(H1665="""", """", SUM(split(H1665, "";"")))"),"")</f>
        <v/>
      </c>
      <c r="K1665" s="68"/>
      <c r="L1665" s="68"/>
      <c r="M1665" s="68"/>
      <c r="N1665" s="68"/>
      <c r="O1665" s="68"/>
      <c r="P1665" s="68"/>
      <c r="Q1665" s="68"/>
      <c r="R1665" s="68"/>
      <c r="S1665" s="68"/>
      <c r="T1665" s="68"/>
      <c r="U1665" s="68"/>
      <c r="V1665" s="68"/>
      <c r="W1665" s="68"/>
      <c r="X1665" s="68"/>
      <c r="Y1665" s="68"/>
      <c r="Z1665" s="68"/>
      <c r="AA1665" s="68"/>
    </row>
    <row r="1666" ht="26.25" customHeight="1">
      <c r="A1666" s="68"/>
      <c r="B1666" s="68"/>
      <c r="C1666" s="68"/>
      <c r="D1666" s="71"/>
      <c r="E1666" s="71"/>
      <c r="F1666" s="71"/>
      <c r="G1666" s="65"/>
      <c r="H1666" s="74"/>
      <c r="I1666" s="67" t="str">
        <f>IFERROR(__xludf.DUMMYFUNCTION("if($H1666="""", """", AVERAGE(split($H1666, "";"")))"),"")</f>
        <v/>
      </c>
      <c r="J1666" s="67" t="str">
        <f>IFERROR(__xludf.DUMMYFUNCTION("if(H1666="""", """", SUM(split(H1666, "";"")))"),"")</f>
        <v/>
      </c>
      <c r="K1666" s="68"/>
      <c r="L1666" s="68"/>
      <c r="M1666" s="68"/>
      <c r="N1666" s="68"/>
      <c r="O1666" s="68"/>
      <c r="P1666" s="68"/>
      <c r="Q1666" s="68"/>
      <c r="R1666" s="68"/>
      <c r="S1666" s="68"/>
      <c r="T1666" s="68"/>
      <c r="U1666" s="68"/>
      <c r="V1666" s="68"/>
      <c r="W1666" s="68"/>
      <c r="X1666" s="68"/>
      <c r="Y1666" s="68"/>
      <c r="Z1666" s="68"/>
      <c r="AA1666" s="68"/>
    </row>
    <row r="1667" ht="26.25" customHeight="1">
      <c r="A1667" s="68"/>
      <c r="B1667" s="68"/>
      <c r="C1667" s="68"/>
      <c r="D1667" s="71"/>
      <c r="E1667" s="71"/>
      <c r="F1667" s="71"/>
      <c r="G1667" s="65"/>
      <c r="H1667" s="74"/>
      <c r="I1667" s="67" t="str">
        <f>IFERROR(__xludf.DUMMYFUNCTION("if($H1667="""", """", AVERAGE(split($H1667, "";"")))"),"")</f>
        <v/>
      </c>
      <c r="J1667" s="67" t="str">
        <f>IFERROR(__xludf.DUMMYFUNCTION("if(H1667="""", """", SUM(split(H1667, "";"")))"),"")</f>
        <v/>
      </c>
      <c r="K1667" s="68"/>
      <c r="L1667" s="68"/>
      <c r="M1667" s="68"/>
      <c r="N1667" s="68"/>
      <c r="O1667" s="68"/>
      <c r="P1667" s="68"/>
      <c r="Q1667" s="68"/>
      <c r="R1667" s="68"/>
      <c r="S1667" s="68"/>
      <c r="T1667" s="68"/>
      <c r="U1667" s="68"/>
      <c r="V1667" s="68"/>
      <c r="W1667" s="68"/>
      <c r="X1667" s="68"/>
      <c r="Y1667" s="68"/>
      <c r="Z1667" s="68"/>
      <c r="AA1667" s="68"/>
    </row>
    <row r="1668" ht="26.25" customHeight="1">
      <c r="A1668" s="68"/>
      <c r="B1668" s="68"/>
      <c r="C1668" s="68"/>
      <c r="D1668" s="71"/>
      <c r="E1668" s="71"/>
      <c r="F1668" s="71"/>
      <c r="G1668" s="65"/>
      <c r="H1668" s="74"/>
      <c r="I1668" s="67" t="str">
        <f>IFERROR(__xludf.DUMMYFUNCTION("if($H1668="""", """", AVERAGE(split($H1668, "";"")))"),"")</f>
        <v/>
      </c>
      <c r="J1668" s="67" t="str">
        <f>IFERROR(__xludf.DUMMYFUNCTION("if(H1668="""", """", SUM(split(H1668, "";"")))"),"")</f>
        <v/>
      </c>
      <c r="K1668" s="68"/>
      <c r="L1668" s="68"/>
      <c r="M1668" s="68"/>
      <c r="N1668" s="68"/>
      <c r="O1668" s="68"/>
      <c r="P1668" s="68"/>
      <c r="Q1668" s="68"/>
      <c r="R1668" s="68"/>
      <c r="S1668" s="68"/>
      <c r="T1668" s="68"/>
      <c r="U1668" s="68"/>
      <c r="V1668" s="68"/>
      <c r="W1668" s="68"/>
      <c r="X1668" s="68"/>
      <c r="Y1668" s="68"/>
      <c r="Z1668" s="68"/>
      <c r="AA1668" s="68"/>
    </row>
    <row r="1669" ht="26.25" customHeight="1">
      <c r="A1669" s="68"/>
      <c r="B1669" s="68"/>
      <c r="C1669" s="68"/>
      <c r="D1669" s="71"/>
      <c r="E1669" s="71"/>
      <c r="F1669" s="71"/>
      <c r="G1669" s="65"/>
      <c r="H1669" s="74"/>
      <c r="I1669" s="67" t="str">
        <f>IFERROR(__xludf.DUMMYFUNCTION("if($H1669="""", """", AVERAGE(split($H1669, "";"")))"),"")</f>
        <v/>
      </c>
      <c r="J1669" s="67" t="str">
        <f>IFERROR(__xludf.DUMMYFUNCTION("if(H1669="""", """", SUM(split(H1669, "";"")))"),"")</f>
        <v/>
      </c>
      <c r="K1669" s="68"/>
      <c r="L1669" s="68"/>
      <c r="M1669" s="68"/>
      <c r="N1669" s="68"/>
      <c r="O1669" s="68"/>
      <c r="P1669" s="68"/>
      <c r="Q1669" s="68"/>
      <c r="R1669" s="68"/>
      <c r="S1669" s="68"/>
      <c r="T1669" s="68"/>
      <c r="U1669" s="68"/>
      <c r="V1669" s="68"/>
      <c r="W1669" s="68"/>
      <c r="X1669" s="68"/>
      <c r="Y1669" s="68"/>
      <c r="Z1669" s="68"/>
      <c r="AA1669" s="68"/>
    </row>
    <row r="1670" ht="26.25" customHeight="1">
      <c r="A1670" s="68"/>
      <c r="B1670" s="68"/>
      <c r="C1670" s="68"/>
      <c r="D1670" s="71"/>
      <c r="E1670" s="71"/>
      <c r="F1670" s="71"/>
      <c r="G1670" s="65"/>
      <c r="H1670" s="74"/>
      <c r="I1670" s="67" t="str">
        <f>IFERROR(__xludf.DUMMYFUNCTION("if($H1670="""", """", AVERAGE(split($H1670, "";"")))"),"")</f>
        <v/>
      </c>
      <c r="J1670" s="67" t="str">
        <f>IFERROR(__xludf.DUMMYFUNCTION("if(H1670="""", """", SUM(split(H1670, "";"")))"),"")</f>
        <v/>
      </c>
      <c r="K1670" s="68"/>
      <c r="L1670" s="68"/>
      <c r="M1670" s="68"/>
      <c r="N1670" s="68"/>
      <c r="O1670" s="68"/>
      <c r="P1670" s="68"/>
      <c r="Q1670" s="68"/>
      <c r="R1670" s="68"/>
      <c r="S1670" s="68"/>
      <c r="T1670" s="68"/>
      <c r="U1670" s="68"/>
      <c r="V1670" s="68"/>
      <c r="W1670" s="68"/>
      <c r="X1670" s="68"/>
      <c r="Y1670" s="68"/>
      <c r="Z1670" s="68"/>
      <c r="AA1670" s="68"/>
    </row>
    <row r="1671" ht="26.25" customHeight="1">
      <c r="A1671" s="68"/>
      <c r="B1671" s="68"/>
      <c r="C1671" s="68"/>
      <c r="D1671" s="71"/>
      <c r="E1671" s="71"/>
      <c r="F1671" s="71"/>
      <c r="G1671" s="65"/>
      <c r="H1671" s="74"/>
      <c r="I1671" s="67" t="str">
        <f>IFERROR(__xludf.DUMMYFUNCTION("if($H1671="""", """", AVERAGE(split($H1671, "";"")))"),"")</f>
        <v/>
      </c>
      <c r="J1671" s="67" t="str">
        <f>IFERROR(__xludf.DUMMYFUNCTION("if(H1671="""", """", SUM(split(H1671, "";"")))"),"")</f>
        <v/>
      </c>
      <c r="K1671" s="68"/>
      <c r="L1671" s="68"/>
      <c r="M1671" s="68"/>
      <c r="N1671" s="68"/>
      <c r="O1671" s="68"/>
      <c r="P1671" s="68"/>
      <c r="Q1671" s="68"/>
      <c r="R1671" s="68"/>
      <c r="S1671" s="68"/>
      <c r="T1671" s="68"/>
      <c r="U1671" s="68"/>
      <c r="V1671" s="68"/>
      <c r="W1671" s="68"/>
      <c r="X1671" s="68"/>
      <c r="Y1671" s="68"/>
      <c r="Z1671" s="68"/>
      <c r="AA1671" s="68"/>
    </row>
    <row r="1672" ht="26.25" customHeight="1">
      <c r="A1672" s="68"/>
      <c r="B1672" s="68"/>
      <c r="C1672" s="68"/>
      <c r="D1672" s="71"/>
      <c r="E1672" s="71"/>
      <c r="F1672" s="71"/>
      <c r="G1672" s="65"/>
      <c r="H1672" s="74"/>
      <c r="I1672" s="67" t="str">
        <f>IFERROR(__xludf.DUMMYFUNCTION("if($H1672="""", """", AVERAGE(split($H1672, "";"")))"),"")</f>
        <v/>
      </c>
      <c r="J1672" s="67" t="str">
        <f>IFERROR(__xludf.DUMMYFUNCTION("if(H1672="""", """", SUM(split(H1672, "";"")))"),"")</f>
        <v/>
      </c>
      <c r="K1672" s="68"/>
      <c r="L1672" s="68"/>
      <c r="M1672" s="68"/>
      <c r="N1672" s="68"/>
      <c r="O1672" s="68"/>
      <c r="P1672" s="68"/>
      <c r="Q1672" s="68"/>
      <c r="R1672" s="68"/>
      <c r="S1672" s="68"/>
      <c r="T1672" s="68"/>
      <c r="U1672" s="68"/>
      <c r="V1672" s="68"/>
      <c r="W1672" s="68"/>
      <c r="X1672" s="68"/>
      <c r="Y1672" s="68"/>
      <c r="Z1672" s="68"/>
      <c r="AA1672" s="68"/>
    </row>
    <row r="1673" ht="26.25" customHeight="1">
      <c r="A1673" s="68"/>
      <c r="B1673" s="68"/>
      <c r="C1673" s="68"/>
      <c r="D1673" s="71"/>
      <c r="E1673" s="71"/>
      <c r="F1673" s="71"/>
      <c r="G1673" s="65"/>
      <c r="H1673" s="74"/>
      <c r="I1673" s="67" t="str">
        <f>IFERROR(__xludf.DUMMYFUNCTION("if($H1673="""", """", AVERAGE(split($H1673, "";"")))"),"")</f>
        <v/>
      </c>
      <c r="J1673" s="67" t="str">
        <f>IFERROR(__xludf.DUMMYFUNCTION("if(H1673="""", """", SUM(split(H1673, "";"")))"),"")</f>
        <v/>
      </c>
      <c r="K1673" s="68"/>
      <c r="L1673" s="68"/>
      <c r="M1673" s="68"/>
      <c r="N1673" s="68"/>
      <c r="O1673" s="68"/>
      <c r="P1673" s="68"/>
      <c r="Q1673" s="68"/>
      <c r="R1673" s="68"/>
      <c r="S1673" s="68"/>
      <c r="T1673" s="68"/>
      <c r="U1673" s="68"/>
      <c r="V1673" s="68"/>
      <c r="W1673" s="68"/>
      <c r="X1673" s="68"/>
      <c r="Y1673" s="68"/>
      <c r="Z1673" s="68"/>
      <c r="AA1673" s="68"/>
    </row>
    <row r="1674" ht="26.25" customHeight="1">
      <c r="A1674" s="68"/>
      <c r="B1674" s="68"/>
      <c r="C1674" s="68"/>
      <c r="D1674" s="71"/>
      <c r="E1674" s="71"/>
      <c r="F1674" s="71"/>
      <c r="G1674" s="65"/>
      <c r="H1674" s="74"/>
      <c r="I1674" s="67" t="str">
        <f>IFERROR(__xludf.DUMMYFUNCTION("if($H1674="""", """", AVERAGE(split($H1674, "";"")))"),"")</f>
        <v/>
      </c>
      <c r="J1674" s="67" t="str">
        <f>IFERROR(__xludf.DUMMYFUNCTION("if(H1674="""", """", SUM(split(H1674, "";"")))"),"")</f>
        <v/>
      </c>
      <c r="K1674" s="68"/>
      <c r="L1674" s="68"/>
      <c r="M1674" s="68"/>
      <c r="N1674" s="68"/>
      <c r="O1674" s="68"/>
      <c r="P1674" s="68"/>
      <c r="Q1674" s="68"/>
      <c r="R1674" s="68"/>
      <c r="S1674" s="68"/>
      <c r="T1674" s="68"/>
      <c r="U1674" s="68"/>
      <c r="V1674" s="68"/>
      <c r="W1674" s="68"/>
      <c r="X1674" s="68"/>
      <c r="Y1674" s="68"/>
      <c r="Z1674" s="68"/>
      <c r="AA1674" s="68"/>
    </row>
    <row r="1675" ht="26.25" customHeight="1">
      <c r="A1675" s="68"/>
      <c r="B1675" s="68"/>
      <c r="C1675" s="68"/>
      <c r="D1675" s="71"/>
      <c r="E1675" s="71"/>
      <c r="F1675" s="71"/>
      <c r="G1675" s="65"/>
      <c r="H1675" s="74"/>
      <c r="I1675" s="67" t="str">
        <f>IFERROR(__xludf.DUMMYFUNCTION("if($H1675="""", """", AVERAGE(split($H1675, "";"")))"),"")</f>
        <v/>
      </c>
      <c r="J1675" s="67" t="str">
        <f>IFERROR(__xludf.DUMMYFUNCTION("if(H1675="""", """", SUM(split(H1675, "";"")))"),"")</f>
        <v/>
      </c>
      <c r="K1675" s="68"/>
      <c r="L1675" s="68"/>
      <c r="M1675" s="68"/>
      <c r="N1675" s="68"/>
      <c r="O1675" s="68"/>
      <c r="P1675" s="68"/>
      <c r="Q1675" s="68"/>
      <c r="R1675" s="68"/>
      <c r="S1675" s="68"/>
      <c r="T1675" s="68"/>
      <c r="U1675" s="68"/>
      <c r="V1675" s="68"/>
      <c r="W1675" s="68"/>
      <c r="X1675" s="68"/>
      <c r="Y1675" s="68"/>
      <c r="Z1675" s="68"/>
      <c r="AA1675" s="68"/>
    </row>
    <row r="1676" ht="26.25" customHeight="1">
      <c r="A1676" s="68"/>
      <c r="B1676" s="68"/>
      <c r="C1676" s="68"/>
      <c r="D1676" s="71"/>
      <c r="E1676" s="71"/>
      <c r="F1676" s="71"/>
      <c r="G1676" s="65"/>
      <c r="H1676" s="74"/>
      <c r="I1676" s="67" t="str">
        <f>IFERROR(__xludf.DUMMYFUNCTION("if($H1676="""", """", AVERAGE(split($H1676, "";"")))"),"")</f>
        <v/>
      </c>
      <c r="J1676" s="67" t="str">
        <f>IFERROR(__xludf.DUMMYFUNCTION("if(H1676="""", """", SUM(split(H1676, "";"")))"),"")</f>
        <v/>
      </c>
      <c r="K1676" s="68"/>
      <c r="L1676" s="68"/>
      <c r="M1676" s="68"/>
      <c r="N1676" s="68"/>
      <c r="O1676" s="68"/>
      <c r="P1676" s="68"/>
      <c r="Q1676" s="68"/>
      <c r="R1676" s="68"/>
      <c r="S1676" s="68"/>
      <c r="T1676" s="68"/>
      <c r="U1676" s="68"/>
      <c r="V1676" s="68"/>
      <c r="W1676" s="68"/>
      <c r="X1676" s="68"/>
      <c r="Y1676" s="68"/>
      <c r="Z1676" s="68"/>
      <c r="AA1676" s="68"/>
    </row>
    <row r="1677" ht="26.25" customHeight="1">
      <c r="A1677" s="68"/>
      <c r="B1677" s="68"/>
      <c r="C1677" s="68"/>
      <c r="D1677" s="71"/>
      <c r="E1677" s="71"/>
      <c r="F1677" s="71"/>
      <c r="G1677" s="65"/>
      <c r="H1677" s="74"/>
      <c r="I1677" s="67" t="str">
        <f>IFERROR(__xludf.DUMMYFUNCTION("if($H1677="""", """", AVERAGE(split($H1677, "";"")))"),"")</f>
        <v/>
      </c>
      <c r="J1677" s="67" t="str">
        <f>IFERROR(__xludf.DUMMYFUNCTION("if(H1677="""", """", SUM(split(H1677, "";"")))"),"")</f>
        <v/>
      </c>
      <c r="K1677" s="68"/>
      <c r="L1677" s="68"/>
      <c r="M1677" s="68"/>
      <c r="N1677" s="68"/>
      <c r="O1677" s="68"/>
      <c r="P1677" s="68"/>
      <c r="Q1677" s="68"/>
      <c r="R1677" s="68"/>
      <c r="S1677" s="68"/>
      <c r="T1677" s="68"/>
      <c r="U1677" s="68"/>
      <c r="V1677" s="68"/>
      <c r="W1677" s="68"/>
      <c r="X1677" s="68"/>
      <c r="Y1677" s="68"/>
      <c r="Z1677" s="68"/>
      <c r="AA1677" s="68"/>
    </row>
    <row r="1678" ht="26.25" customHeight="1">
      <c r="A1678" s="68"/>
      <c r="B1678" s="68"/>
      <c r="C1678" s="68"/>
      <c r="D1678" s="71"/>
      <c r="E1678" s="71"/>
      <c r="F1678" s="71"/>
      <c r="G1678" s="65"/>
      <c r="H1678" s="74"/>
      <c r="I1678" s="67" t="str">
        <f>IFERROR(__xludf.DUMMYFUNCTION("if($H1678="""", """", AVERAGE(split($H1678, "";"")))"),"")</f>
        <v/>
      </c>
      <c r="J1678" s="67" t="str">
        <f>IFERROR(__xludf.DUMMYFUNCTION("if(H1678="""", """", SUM(split(H1678, "";"")))"),"")</f>
        <v/>
      </c>
      <c r="K1678" s="68"/>
      <c r="L1678" s="68"/>
      <c r="M1678" s="68"/>
      <c r="N1678" s="68"/>
      <c r="O1678" s="68"/>
      <c r="P1678" s="68"/>
      <c r="Q1678" s="68"/>
      <c r="R1678" s="68"/>
      <c r="S1678" s="68"/>
      <c r="T1678" s="68"/>
      <c r="U1678" s="68"/>
      <c r="V1678" s="68"/>
      <c r="W1678" s="68"/>
      <c r="X1678" s="68"/>
      <c r="Y1678" s="68"/>
      <c r="Z1678" s="68"/>
      <c r="AA1678" s="68"/>
    </row>
    <row r="1679" ht="26.25" customHeight="1">
      <c r="A1679" s="68"/>
      <c r="B1679" s="68"/>
      <c r="C1679" s="68"/>
      <c r="D1679" s="71"/>
      <c r="E1679" s="71"/>
      <c r="F1679" s="71"/>
      <c r="G1679" s="65"/>
      <c r="H1679" s="74"/>
      <c r="I1679" s="67" t="str">
        <f>IFERROR(__xludf.DUMMYFUNCTION("if($H1679="""", """", AVERAGE(split($H1679, "";"")))"),"")</f>
        <v/>
      </c>
      <c r="J1679" s="67" t="str">
        <f>IFERROR(__xludf.DUMMYFUNCTION("if(H1679="""", """", SUM(split(H1679, "";"")))"),"")</f>
        <v/>
      </c>
      <c r="K1679" s="68"/>
      <c r="L1679" s="68"/>
      <c r="M1679" s="68"/>
      <c r="N1679" s="68"/>
      <c r="O1679" s="68"/>
      <c r="P1679" s="68"/>
      <c r="Q1679" s="68"/>
      <c r="R1679" s="68"/>
      <c r="S1679" s="68"/>
      <c r="T1679" s="68"/>
      <c r="U1679" s="68"/>
      <c r="V1679" s="68"/>
      <c r="W1679" s="68"/>
      <c r="X1679" s="68"/>
      <c r="Y1679" s="68"/>
      <c r="Z1679" s="68"/>
      <c r="AA1679" s="68"/>
    </row>
    <row r="1680" ht="26.25" customHeight="1">
      <c r="A1680" s="68"/>
      <c r="B1680" s="68"/>
      <c r="C1680" s="68"/>
      <c r="D1680" s="71"/>
      <c r="E1680" s="71"/>
      <c r="F1680" s="71"/>
      <c r="G1680" s="65"/>
      <c r="H1680" s="74"/>
      <c r="I1680" s="67" t="str">
        <f>IFERROR(__xludf.DUMMYFUNCTION("if($H1680="""", """", AVERAGE(split($H1680, "";"")))"),"")</f>
        <v/>
      </c>
      <c r="J1680" s="67" t="str">
        <f>IFERROR(__xludf.DUMMYFUNCTION("if(H1680="""", """", SUM(split(H1680, "";"")))"),"")</f>
        <v/>
      </c>
      <c r="K1680" s="68"/>
      <c r="L1680" s="68"/>
      <c r="M1680" s="68"/>
      <c r="N1680" s="68"/>
      <c r="O1680" s="68"/>
      <c r="P1680" s="68"/>
      <c r="Q1680" s="68"/>
      <c r="R1680" s="68"/>
      <c r="S1680" s="68"/>
      <c r="T1680" s="68"/>
      <c r="U1680" s="68"/>
      <c r="V1680" s="68"/>
      <c r="W1680" s="68"/>
      <c r="X1680" s="68"/>
      <c r="Y1680" s="68"/>
      <c r="Z1680" s="68"/>
      <c r="AA1680" s="68"/>
    </row>
    <row r="1681" ht="26.25" customHeight="1">
      <c r="A1681" s="68"/>
      <c r="B1681" s="68"/>
      <c r="C1681" s="68"/>
      <c r="D1681" s="71"/>
      <c r="E1681" s="71"/>
      <c r="F1681" s="71"/>
      <c r="G1681" s="65"/>
      <c r="H1681" s="74"/>
      <c r="I1681" s="67" t="str">
        <f>IFERROR(__xludf.DUMMYFUNCTION("if($H1681="""", """", AVERAGE(split($H1681, "";"")))"),"")</f>
        <v/>
      </c>
      <c r="J1681" s="67" t="str">
        <f>IFERROR(__xludf.DUMMYFUNCTION("if(H1681="""", """", SUM(split(H1681, "";"")))"),"")</f>
        <v/>
      </c>
      <c r="K1681" s="68"/>
      <c r="L1681" s="68"/>
      <c r="M1681" s="68"/>
      <c r="N1681" s="68"/>
      <c r="O1681" s="68"/>
      <c r="P1681" s="68"/>
      <c r="Q1681" s="68"/>
      <c r="R1681" s="68"/>
      <c r="S1681" s="68"/>
      <c r="T1681" s="68"/>
      <c r="U1681" s="68"/>
      <c r="V1681" s="68"/>
      <c r="W1681" s="68"/>
      <c r="X1681" s="68"/>
      <c r="Y1681" s="68"/>
      <c r="Z1681" s="68"/>
      <c r="AA1681" s="68"/>
    </row>
    <row r="1682" ht="26.25" customHeight="1">
      <c r="A1682" s="68"/>
      <c r="B1682" s="68"/>
      <c r="C1682" s="68"/>
      <c r="D1682" s="71"/>
      <c r="E1682" s="71"/>
      <c r="F1682" s="71"/>
      <c r="G1682" s="65"/>
      <c r="H1682" s="74"/>
      <c r="I1682" s="67" t="str">
        <f>IFERROR(__xludf.DUMMYFUNCTION("if($H1682="""", """", AVERAGE(split($H1682, "";"")))"),"")</f>
        <v/>
      </c>
      <c r="J1682" s="67" t="str">
        <f>IFERROR(__xludf.DUMMYFUNCTION("if(H1682="""", """", SUM(split(H1682, "";"")))"),"")</f>
        <v/>
      </c>
      <c r="K1682" s="68"/>
      <c r="L1682" s="68"/>
      <c r="M1682" s="68"/>
      <c r="N1682" s="68"/>
      <c r="O1682" s="68"/>
      <c r="P1682" s="68"/>
      <c r="Q1682" s="68"/>
      <c r="R1682" s="68"/>
      <c r="S1682" s="68"/>
      <c r="T1682" s="68"/>
      <c r="U1682" s="68"/>
      <c r="V1682" s="68"/>
      <c r="W1682" s="68"/>
      <c r="X1682" s="68"/>
      <c r="Y1682" s="68"/>
      <c r="Z1682" s="68"/>
      <c r="AA1682" s="68"/>
    </row>
    <row r="1683" ht="26.25" customHeight="1">
      <c r="A1683" s="68"/>
      <c r="B1683" s="68"/>
      <c r="C1683" s="68"/>
      <c r="D1683" s="71"/>
      <c r="E1683" s="71"/>
      <c r="F1683" s="71"/>
      <c r="G1683" s="65"/>
      <c r="H1683" s="74"/>
      <c r="I1683" s="67" t="str">
        <f>IFERROR(__xludf.DUMMYFUNCTION("if($H1683="""", """", AVERAGE(split($H1683, "";"")))"),"")</f>
        <v/>
      </c>
      <c r="J1683" s="67" t="str">
        <f>IFERROR(__xludf.DUMMYFUNCTION("if(H1683="""", """", SUM(split(H1683, "";"")))"),"")</f>
        <v/>
      </c>
      <c r="K1683" s="68"/>
      <c r="L1683" s="68"/>
      <c r="M1683" s="68"/>
      <c r="N1683" s="68"/>
      <c r="O1683" s="68"/>
      <c r="P1683" s="68"/>
      <c r="Q1683" s="68"/>
      <c r="R1683" s="68"/>
      <c r="S1683" s="68"/>
      <c r="T1683" s="68"/>
      <c r="U1683" s="68"/>
      <c r="V1683" s="68"/>
      <c r="W1683" s="68"/>
      <c r="X1683" s="68"/>
      <c r="Y1683" s="68"/>
      <c r="Z1683" s="68"/>
      <c r="AA1683" s="68"/>
    </row>
    <row r="1684" ht="26.25" customHeight="1">
      <c r="A1684" s="68"/>
      <c r="B1684" s="68"/>
      <c r="C1684" s="68"/>
      <c r="D1684" s="71"/>
      <c r="E1684" s="71"/>
      <c r="F1684" s="71"/>
      <c r="G1684" s="65"/>
      <c r="H1684" s="74"/>
      <c r="I1684" s="67" t="str">
        <f>IFERROR(__xludf.DUMMYFUNCTION("if($H1684="""", """", AVERAGE(split($H1684, "";"")))"),"")</f>
        <v/>
      </c>
      <c r="J1684" s="67" t="str">
        <f>IFERROR(__xludf.DUMMYFUNCTION("if(H1684="""", """", SUM(split(H1684, "";"")))"),"")</f>
        <v/>
      </c>
      <c r="K1684" s="68"/>
      <c r="L1684" s="68"/>
      <c r="M1684" s="68"/>
      <c r="N1684" s="68"/>
      <c r="O1684" s="68"/>
      <c r="P1684" s="68"/>
      <c r="Q1684" s="68"/>
      <c r="R1684" s="68"/>
      <c r="S1684" s="68"/>
      <c r="T1684" s="68"/>
      <c r="U1684" s="68"/>
      <c r="V1684" s="68"/>
      <c r="W1684" s="68"/>
      <c r="X1684" s="68"/>
      <c r="Y1684" s="68"/>
      <c r="Z1684" s="68"/>
      <c r="AA1684" s="68"/>
    </row>
    <row r="1685" ht="26.25" customHeight="1">
      <c r="A1685" s="68"/>
      <c r="B1685" s="68"/>
      <c r="C1685" s="68"/>
      <c r="D1685" s="71"/>
      <c r="E1685" s="71"/>
      <c r="F1685" s="71"/>
      <c r="G1685" s="65"/>
      <c r="H1685" s="74"/>
      <c r="I1685" s="67" t="str">
        <f>IFERROR(__xludf.DUMMYFUNCTION("if($H1685="""", """", AVERAGE(split($H1685, "";"")))"),"")</f>
        <v/>
      </c>
      <c r="J1685" s="67" t="str">
        <f>IFERROR(__xludf.DUMMYFUNCTION("if(H1685="""", """", SUM(split(H1685, "";"")))"),"")</f>
        <v/>
      </c>
      <c r="K1685" s="68"/>
      <c r="L1685" s="68"/>
      <c r="M1685" s="68"/>
      <c r="N1685" s="68"/>
      <c r="O1685" s="68"/>
      <c r="P1685" s="68"/>
      <c r="Q1685" s="68"/>
      <c r="R1685" s="68"/>
      <c r="S1685" s="68"/>
      <c r="T1685" s="68"/>
      <c r="U1685" s="68"/>
      <c r="V1685" s="68"/>
      <c r="W1685" s="68"/>
      <c r="X1685" s="68"/>
      <c r="Y1685" s="68"/>
      <c r="Z1685" s="68"/>
      <c r="AA1685" s="68"/>
    </row>
    <row r="1686" ht="26.25" customHeight="1">
      <c r="A1686" s="68"/>
      <c r="B1686" s="68"/>
      <c r="C1686" s="68"/>
      <c r="D1686" s="71"/>
      <c r="E1686" s="71"/>
      <c r="F1686" s="71"/>
      <c r="G1686" s="65"/>
      <c r="H1686" s="74"/>
      <c r="I1686" s="67" t="str">
        <f>IFERROR(__xludf.DUMMYFUNCTION("if($H1686="""", """", AVERAGE(split($H1686, "";"")))"),"")</f>
        <v/>
      </c>
      <c r="J1686" s="67" t="str">
        <f>IFERROR(__xludf.DUMMYFUNCTION("if(H1686="""", """", SUM(split(H1686, "";"")))"),"")</f>
        <v/>
      </c>
      <c r="K1686" s="68"/>
      <c r="L1686" s="68"/>
      <c r="M1686" s="68"/>
      <c r="N1686" s="68"/>
      <c r="O1686" s="68"/>
      <c r="P1686" s="68"/>
      <c r="Q1686" s="68"/>
      <c r="R1686" s="68"/>
      <c r="S1686" s="68"/>
      <c r="T1686" s="68"/>
      <c r="U1686" s="68"/>
      <c r="V1686" s="68"/>
      <c r="W1686" s="68"/>
      <c r="X1686" s="68"/>
      <c r="Y1686" s="68"/>
      <c r="Z1686" s="68"/>
      <c r="AA1686" s="68"/>
    </row>
    <row r="1687" ht="26.25" customHeight="1">
      <c r="A1687" s="68"/>
      <c r="B1687" s="68"/>
      <c r="C1687" s="68"/>
      <c r="D1687" s="71"/>
      <c r="E1687" s="71"/>
      <c r="F1687" s="71"/>
      <c r="G1687" s="65"/>
      <c r="H1687" s="74"/>
      <c r="I1687" s="67" t="str">
        <f>IFERROR(__xludf.DUMMYFUNCTION("if($H1687="""", """", AVERAGE(split($H1687, "";"")))"),"")</f>
        <v/>
      </c>
      <c r="J1687" s="67" t="str">
        <f>IFERROR(__xludf.DUMMYFUNCTION("if(H1687="""", """", SUM(split(H1687, "";"")))"),"")</f>
        <v/>
      </c>
      <c r="K1687" s="68"/>
      <c r="L1687" s="68"/>
      <c r="M1687" s="68"/>
      <c r="N1687" s="68"/>
      <c r="O1687" s="68"/>
      <c r="P1687" s="68"/>
      <c r="Q1687" s="68"/>
      <c r="R1687" s="68"/>
      <c r="S1687" s="68"/>
      <c r="T1687" s="68"/>
      <c r="U1687" s="68"/>
      <c r="V1687" s="68"/>
      <c r="W1687" s="68"/>
      <c r="X1687" s="68"/>
      <c r="Y1687" s="68"/>
      <c r="Z1687" s="68"/>
      <c r="AA1687" s="68"/>
    </row>
    <row r="1688" ht="26.25" customHeight="1">
      <c r="A1688" s="68"/>
      <c r="B1688" s="68"/>
      <c r="C1688" s="68"/>
      <c r="D1688" s="71"/>
      <c r="E1688" s="71"/>
      <c r="F1688" s="71"/>
      <c r="G1688" s="65"/>
      <c r="H1688" s="74"/>
      <c r="I1688" s="67" t="str">
        <f>IFERROR(__xludf.DUMMYFUNCTION("if($H1688="""", """", AVERAGE(split($H1688, "";"")))"),"")</f>
        <v/>
      </c>
      <c r="J1688" s="67" t="str">
        <f>IFERROR(__xludf.DUMMYFUNCTION("if(H1688="""", """", SUM(split(H1688, "";"")))"),"")</f>
        <v/>
      </c>
      <c r="K1688" s="68"/>
      <c r="L1688" s="68"/>
      <c r="M1688" s="68"/>
      <c r="N1688" s="68"/>
      <c r="O1688" s="68"/>
      <c r="P1688" s="68"/>
      <c r="Q1688" s="68"/>
      <c r="R1688" s="68"/>
      <c r="S1688" s="68"/>
      <c r="T1688" s="68"/>
      <c r="U1688" s="68"/>
      <c r="V1688" s="68"/>
      <c r="W1688" s="68"/>
      <c r="X1688" s="68"/>
      <c r="Y1688" s="68"/>
      <c r="Z1688" s="68"/>
      <c r="AA1688" s="68"/>
    </row>
    <row r="1689" ht="26.25" customHeight="1">
      <c r="A1689" s="68"/>
      <c r="B1689" s="68"/>
      <c r="C1689" s="68"/>
      <c r="D1689" s="71"/>
      <c r="E1689" s="71"/>
      <c r="F1689" s="71"/>
      <c r="G1689" s="65"/>
      <c r="H1689" s="74"/>
      <c r="I1689" s="67" t="str">
        <f>IFERROR(__xludf.DUMMYFUNCTION("if($H1689="""", """", AVERAGE(split($H1689, "";"")))"),"")</f>
        <v/>
      </c>
      <c r="J1689" s="67" t="str">
        <f>IFERROR(__xludf.DUMMYFUNCTION("if(H1689="""", """", SUM(split(H1689, "";"")))"),"")</f>
        <v/>
      </c>
      <c r="K1689" s="68"/>
      <c r="L1689" s="68"/>
      <c r="M1689" s="68"/>
      <c r="N1689" s="68"/>
      <c r="O1689" s="68"/>
      <c r="P1689" s="68"/>
      <c r="Q1689" s="68"/>
      <c r="R1689" s="68"/>
      <c r="S1689" s="68"/>
      <c r="T1689" s="68"/>
      <c r="U1689" s="68"/>
      <c r="V1689" s="68"/>
      <c r="W1689" s="68"/>
      <c r="X1689" s="68"/>
      <c r="Y1689" s="68"/>
      <c r="Z1689" s="68"/>
      <c r="AA1689" s="68"/>
    </row>
    <row r="1690" ht="26.25" customHeight="1">
      <c r="A1690" s="68"/>
      <c r="B1690" s="68"/>
      <c r="C1690" s="68"/>
      <c r="D1690" s="71"/>
      <c r="E1690" s="71"/>
      <c r="F1690" s="71"/>
      <c r="G1690" s="65"/>
      <c r="H1690" s="74"/>
      <c r="I1690" s="67" t="str">
        <f>IFERROR(__xludf.DUMMYFUNCTION("if($H1690="""", """", AVERAGE(split($H1690, "";"")))"),"")</f>
        <v/>
      </c>
      <c r="J1690" s="67" t="str">
        <f>IFERROR(__xludf.DUMMYFUNCTION("if(H1690="""", """", SUM(split(H1690, "";"")))"),"")</f>
        <v/>
      </c>
      <c r="K1690" s="68"/>
      <c r="L1690" s="68"/>
      <c r="M1690" s="68"/>
      <c r="N1690" s="68"/>
      <c r="O1690" s="68"/>
      <c r="P1690" s="68"/>
      <c r="Q1690" s="68"/>
      <c r="R1690" s="68"/>
      <c r="S1690" s="68"/>
      <c r="T1690" s="68"/>
      <c r="U1690" s="68"/>
      <c r="V1690" s="68"/>
      <c r="W1690" s="68"/>
      <c r="X1690" s="68"/>
      <c r="Y1690" s="68"/>
      <c r="Z1690" s="68"/>
      <c r="AA1690" s="68"/>
    </row>
    <row r="1691" ht="26.25" customHeight="1">
      <c r="A1691" s="68"/>
      <c r="B1691" s="68"/>
      <c r="C1691" s="68"/>
      <c r="D1691" s="71"/>
      <c r="E1691" s="71"/>
      <c r="F1691" s="71"/>
      <c r="G1691" s="65"/>
      <c r="H1691" s="74"/>
      <c r="I1691" s="67" t="str">
        <f>IFERROR(__xludf.DUMMYFUNCTION("if($H1691="""", """", AVERAGE(split($H1691, "";"")))"),"")</f>
        <v/>
      </c>
      <c r="J1691" s="67" t="str">
        <f>IFERROR(__xludf.DUMMYFUNCTION("if(H1691="""", """", SUM(split(H1691, "";"")))"),"")</f>
        <v/>
      </c>
      <c r="K1691" s="68"/>
      <c r="L1691" s="68"/>
      <c r="M1691" s="68"/>
      <c r="N1691" s="68"/>
      <c r="O1691" s="68"/>
      <c r="P1691" s="68"/>
      <c r="Q1691" s="68"/>
      <c r="R1691" s="68"/>
      <c r="S1691" s="68"/>
      <c r="T1691" s="68"/>
      <c r="U1691" s="68"/>
      <c r="V1691" s="68"/>
      <c r="W1691" s="68"/>
      <c r="X1691" s="68"/>
      <c r="Y1691" s="68"/>
      <c r="Z1691" s="68"/>
      <c r="AA1691" s="68"/>
    </row>
    <row r="1692" ht="26.25" customHeight="1">
      <c r="A1692" s="68"/>
      <c r="B1692" s="68"/>
      <c r="C1692" s="68"/>
      <c r="D1692" s="71"/>
      <c r="E1692" s="71"/>
      <c r="F1692" s="71"/>
      <c r="G1692" s="65"/>
      <c r="H1692" s="74"/>
      <c r="I1692" s="67" t="str">
        <f>IFERROR(__xludf.DUMMYFUNCTION("if($H1692="""", """", AVERAGE(split($H1692, "";"")))"),"")</f>
        <v/>
      </c>
      <c r="J1692" s="67" t="str">
        <f>IFERROR(__xludf.DUMMYFUNCTION("if(H1692="""", """", SUM(split(H1692, "";"")))"),"")</f>
        <v/>
      </c>
      <c r="K1692" s="68"/>
      <c r="L1692" s="68"/>
      <c r="M1692" s="68"/>
      <c r="N1692" s="68"/>
      <c r="O1692" s="68"/>
      <c r="P1692" s="68"/>
      <c r="Q1692" s="68"/>
      <c r="R1692" s="68"/>
      <c r="S1692" s="68"/>
      <c r="T1692" s="68"/>
      <c r="U1692" s="68"/>
      <c r="V1692" s="68"/>
      <c r="W1692" s="68"/>
      <c r="X1692" s="68"/>
      <c r="Y1692" s="68"/>
      <c r="Z1692" s="68"/>
      <c r="AA1692" s="68"/>
    </row>
    <row r="1693" ht="26.25" customHeight="1">
      <c r="A1693" s="68"/>
      <c r="B1693" s="68"/>
      <c r="C1693" s="68"/>
      <c r="D1693" s="71"/>
      <c r="E1693" s="71"/>
      <c r="F1693" s="71"/>
      <c r="G1693" s="65"/>
      <c r="H1693" s="74"/>
      <c r="I1693" s="67" t="str">
        <f>IFERROR(__xludf.DUMMYFUNCTION("if($H1693="""", """", AVERAGE(split($H1693, "";"")))"),"")</f>
        <v/>
      </c>
      <c r="J1693" s="67" t="str">
        <f>IFERROR(__xludf.DUMMYFUNCTION("if(H1693="""", """", SUM(split(H1693, "";"")))"),"")</f>
        <v/>
      </c>
      <c r="K1693" s="68"/>
      <c r="L1693" s="68"/>
      <c r="M1693" s="68"/>
      <c r="N1693" s="68"/>
      <c r="O1693" s="68"/>
      <c r="P1693" s="68"/>
      <c r="Q1693" s="68"/>
      <c r="R1693" s="68"/>
      <c r="S1693" s="68"/>
      <c r="T1693" s="68"/>
      <c r="U1693" s="68"/>
      <c r="V1693" s="68"/>
      <c r="W1693" s="68"/>
      <c r="X1693" s="68"/>
      <c r="Y1693" s="68"/>
      <c r="Z1693" s="68"/>
      <c r="AA1693" s="68"/>
    </row>
    <row r="1694" ht="26.25" customHeight="1">
      <c r="A1694" s="68"/>
      <c r="B1694" s="68"/>
      <c r="C1694" s="68"/>
      <c r="D1694" s="71"/>
      <c r="E1694" s="71"/>
      <c r="F1694" s="71"/>
      <c r="G1694" s="65"/>
      <c r="H1694" s="74"/>
      <c r="I1694" s="67" t="str">
        <f>IFERROR(__xludf.DUMMYFUNCTION("if($H1694="""", """", AVERAGE(split($H1694, "";"")))"),"")</f>
        <v/>
      </c>
      <c r="J1694" s="67" t="str">
        <f>IFERROR(__xludf.DUMMYFUNCTION("if(H1694="""", """", SUM(split(H1694, "";"")))"),"")</f>
        <v/>
      </c>
      <c r="K1694" s="68"/>
      <c r="L1694" s="68"/>
      <c r="M1694" s="68"/>
      <c r="N1694" s="68"/>
      <c r="O1694" s="68"/>
      <c r="P1694" s="68"/>
      <c r="Q1694" s="68"/>
      <c r="R1694" s="68"/>
      <c r="S1694" s="68"/>
      <c r="T1694" s="68"/>
      <c r="U1694" s="68"/>
      <c r="V1694" s="68"/>
      <c r="W1694" s="68"/>
      <c r="X1694" s="68"/>
      <c r="Y1694" s="68"/>
      <c r="Z1694" s="68"/>
      <c r="AA1694" s="68"/>
    </row>
    <row r="1695" ht="26.25" customHeight="1">
      <c r="A1695" s="68"/>
      <c r="B1695" s="68"/>
      <c r="C1695" s="68"/>
      <c r="D1695" s="71"/>
      <c r="E1695" s="71"/>
      <c r="F1695" s="71"/>
      <c r="G1695" s="65"/>
      <c r="H1695" s="74"/>
      <c r="I1695" s="67" t="str">
        <f>IFERROR(__xludf.DUMMYFUNCTION("if($H1695="""", """", AVERAGE(split($H1695, "";"")))"),"")</f>
        <v/>
      </c>
      <c r="J1695" s="67" t="str">
        <f>IFERROR(__xludf.DUMMYFUNCTION("if(H1695="""", """", SUM(split(H1695, "";"")))"),"")</f>
        <v/>
      </c>
      <c r="K1695" s="68"/>
      <c r="L1695" s="68"/>
      <c r="M1695" s="68"/>
      <c r="N1695" s="68"/>
      <c r="O1695" s="68"/>
      <c r="P1695" s="68"/>
      <c r="Q1695" s="68"/>
      <c r="R1695" s="68"/>
      <c r="S1695" s="68"/>
      <c r="T1695" s="68"/>
      <c r="U1695" s="68"/>
      <c r="V1695" s="68"/>
      <c r="W1695" s="68"/>
      <c r="X1695" s="68"/>
      <c r="Y1695" s="68"/>
      <c r="Z1695" s="68"/>
      <c r="AA1695" s="68"/>
    </row>
    <row r="1696" ht="26.25" customHeight="1">
      <c r="A1696" s="68"/>
      <c r="B1696" s="68"/>
      <c r="C1696" s="68"/>
      <c r="D1696" s="71"/>
      <c r="E1696" s="71"/>
      <c r="F1696" s="71"/>
      <c r="G1696" s="65"/>
      <c r="H1696" s="74"/>
      <c r="I1696" s="67" t="str">
        <f>IFERROR(__xludf.DUMMYFUNCTION("if($H1696="""", """", AVERAGE(split($H1696, "";"")))"),"")</f>
        <v/>
      </c>
      <c r="J1696" s="67" t="str">
        <f>IFERROR(__xludf.DUMMYFUNCTION("if(H1696="""", """", SUM(split(H1696, "";"")))"),"")</f>
        <v/>
      </c>
      <c r="K1696" s="68"/>
      <c r="L1696" s="68"/>
      <c r="M1696" s="68"/>
      <c r="N1696" s="68"/>
      <c r="O1696" s="68"/>
      <c r="P1696" s="68"/>
      <c r="Q1696" s="68"/>
      <c r="R1696" s="68"/>
      <c r="S1696" s="68"/>
      <c r="T1696" s="68"/>
      <c r="U1696" s="68"/>
      <c r="V1696" s="68"/>
      <c r="W1696" s="68"/>
      <c r="X1696" s="68"/>
      <c r="Y1696" s="68"/>
      <c r="Z1696" s="68"/>
      <c r="AA1696" s="68"/>
    </row>
    <row r="1697" ht="26.25" customHeight="1">
      <c r="A1697" s="68"/>
      <c r="B1697" s="68"/>
      <c r="C1697" s="68"/>
      <c r="D1697" s="71"/>
      <c r="E1697" s="71"/>
      <c r="F1697" s="71"/>
      <c r="G1697" s="65"/>
      <c r="H1697" s="74"/>
      <c r="I1697" s="67" t="str">
        <f>IFERROR(__xludf.DUMMYFUNCTION("if($H1697="""", """", AVERAGE(split($H1697, "";"")))"),"")</f>
        <v/>
      </c>
      <c r="J1697" s="67" t="str">
        <f>IFERROR(__xludf.DUMMYFUNCTION("if(H1697="""", """", SUM(split(H1697, "";"")))"),"")</f>
        <v/>
      </c>
      <c r="K1697" s="68"/>
      <c r="L1697" s="68"/>
      <c r="M1697" s="68"/>
      <c r="N1697" s="68"/>
      <c r="O1697" s="68"/>
      <c r="P1697" s="68"/>
      <c r="Q1697" s="68"/>
      <c r="R1697" s="68"/>
      <c r="S1697" s="68"/>
      <c r="T1697" s="68"/>
      <c r="U1697" s="68"/>
      <c r="V1697" s="68"/>
      <c r="W1697" s="68"/>
      <c r="X1697" s="68"/>
      <c r="Y1697" s="68"/>
      <c r="Z1697" s="68"/>
      <c r="AA1697" s="68"/>
    </row>
    <row r="1698" ht="26.25" customHeight="1">
      <c r="A1698" s="68"/>
      <c r="B1698" s="68"/>
      <c r="C1698" s="68"/>
      <c r="D1698" s="71"/>
      <c r="E1698" s="71"/>
      <c r="F1698" s="71"/>
      <c r="G1698" s="65"/>
      <c r="H1698" s="74"/>
      <c r="I1698" s="67" t="str">
        <f>IFERROR(__xludf.DUMMYFUNCTION("if($H1698="""", """", AVERAGE(split($H1698, "";"")))"),"")</f>
        <v/>
      </c>
      <c r="J1698" s="67" t="str">
        <f>IFERROR(__xludf.DUMMYFUNCTION("if(H1698="""", """", SUM(split(H1698, "";"")))"),"")</f>
        <v/>
      </c>
      <c r="K1698" s="68"/>
      <c r="L1698" s="68"/>
      <c r="M1698" s="68"/>
      <c r="N1698" s="68"/>
      <c r="O1698" s="68"/>
      <c r="P1698" s="68"/>
      <c r="Q1698" s="68"/>
      <c r="R1698" s="68"/>
      <c r="S1698" s="68"/>
      <c r="T1698" s="68"/>
      <c r="U1698" s="68"/>
      <c r="V1698" s="68"/>
      <c r="W1698" s="68"/>
      <c r="X1698" s="68"/>
      <c r="Y1698" s="68"/>
      <c r="Z1698" s="68"/>
      <c r="AA1698" s="68"/>
    </row>
    <row r="1699" ht="26.25" customHeight="1">
      <c r="A1699" s="68"/>
      <c r="B1699" s="68"/>
      <c r="C1699" s="68"/>
      <c r="D1699" s="71"/>
      <c r="E1699" s="71"/>
      <c r="F1699" s="71"/>
      <c r="G1699" s="65"/>
      <c r="H1699" s="74"/>
      <c r="I1699" s="67" t="str">
        <f>IFERROR(__xludf.DUMMYFUNCTION("if($H1699="""", """", AVERAGE(split($H1699, "";"")))"),"")</f>
        <v/>
      </c>
      <c r="J1699" s="67" t="str">
        <f>IFERROR(__xludf.DUMMYFUNCTION("if(H1699="""", """", SUM(split(H1699, "";"")))"),"")</f>
        <v/>
      </c>
      <c r="K1699" s="68"/>
      <c r="L1699" s="68"/>
      <c r="M1699" s="68"/>
      <c r="N1699" s="68"/>
      <c r="O1699" s="68"/>
      <c r="P1699" s="68"/>
      <c r="Q1699" s="68"/>
      <c r="R1699" s="68"/>
      <c r="S1699" s="68"/>
      <c r="T1699" s="68"/>
      <c r="U1699" s="68"/>
      <c r="V1699" s="68"/>
      <c r="W1699" s="68"/>
      <c r="X1699" s="68"/>
      <c r="Y1699" s="68"/>
      <c r="Z1699" s="68"/>
      <c r="AA1699" s="68"/>
    </row>
    <row r="1700" ht="26.25" customHeight="1">
      <c r="A1700" s="68"/>
      <c r="B1700" s="68"/>
      <c r="C1700" s="68"/>
      <c r="D1700" s="71"/>
      <c r="E1700" s="71"/>
      <c r="F1700" s="71"/>
      <c r="G1700" s="65"/>
      <c r="H1700" s="74"/>
      <c r="I1700" s="67" t="str">
        <f>IFERROR(__xludf.DUMMYFUNCTION("if($H1700="""", """", AVERAGE(split($H1700, "";"")))"),"")</f>
        <v/>
      </c>
      <c r="J1700" s="67" t="str">
        <f>IFERROR(__xludf.DUMMYFUNCTION("if(H1700="""", """", SUM(split(H1700, "";"")))"),"")</f>
        <v/>
      </c>
      <c r="K1700" s="68"/>
      <c r="L1700" s="68"/>
      <c r="M1700" s="68"/>
      <c r="N1700" s="68"/>
      <c r="O1700" s="68"/>
      <c r="P1700" s="68"/>
      <c r="Q1700" s="68"/>
      <c r="R1700" s="68"/>
      <c r="S1700" s="68"/>
      <c r="T1700" s="68"/>
      <c r="U1700" s="68"/>
      <c r="V1700" s="68"/>
      <c r="W1700" s="68"/>
      <c r="X1700" s="68"/>
      <c r="Y1700" s="68"/>
      <c r="Z1700" s="68"/>
      <c r="AA1700" s="68"/>
    </row>
    <row r="1701" ht="26.25" customHeight="1">
      <c r="A1701" s="68"/>
      <c r="B1701" s="68"/>
      <c r="C1701" s="68"/>
      <c r="D1701" s="71"/>
      <c r="E1701" s="71"/>
      <c r="F1701" s="71"/>
      <c r="G1701" s="65"/>
      <c r="H1701" s="74"/>
      <c r="I1701" s="67" t="str">
        <f>IFERROR(__xludf.DUMMYFUNCTION("if($H1701="""", """", AVERAGE(split($H1701, "";"")))"),"")</f>
        <v/>
      </c>
      <c r="J1701" s="67" t="str">
        <f>IFERROR(__xludf.DUMMYFUNCTION("if(H1701="""", """", SUM(split(H1701, "";"")))"),"")</f>
        <v/>
      </c>
      <c r="K1701" s="68"/>
      <c r="L1701" s="68"/>
      <c r="M1701" s="68"/>
      <c r="N1701" s="68"/>
      <c r="O1701" s="68"/>
      <c r="P1701" s="68"/>
      <c r="Q1701" s="68"/>
      <c r="R1701" s="68"/>
      <c r="S1701" s="68"/>
      <c r="T1701" s="68"/>
      <c r="U1701" s="68"/>
      <c r="V1701" s="68"/>
      <c r="W1701" s="68"/>
      <c r="X1701" s="68"/>
      <c r="Y1701" s="68"/>
      <c r="Z1701" s="68"/>
      <c r="AA1701" s="68"/>
    </row>
    <row r="1702" ht="26.25" customHeight="1">
      <c r="A1702" s="68"/>
      <c r="B1702" s="68"/>
      <c r="C1702" s="68"/>
      <c r="D1702" s="71"/>
      <c r="E1702" s="71"/>
      <c r="F1702" s="71"/>
      <c r="G1702" s="65"/>
      <c r="H1702" s="74"/>
      <c r="I1702" s="67" t="str">
        <f>IFERROR(__xludf.DUMMYFUNCTION("if($H1702="""", """", AVERAGE(split($H1702, "";"")))"),"")</f>
        <v/>
      </c>
      <c r="J1702" s="67" t="str">
        <f>IFERROR(__xludf.DUMMYFUNCTION("if(H1702="""", """", SUM(split(H1702, "";"")))"),"")</f>
        <v/>
      </c>
      <c r="K1702" s="68"/>
      <c r="L1702" s="68"/>
      <c r="M1702" s="68"/>
      <c r="N1702" s="68"/>
      <c r="O1702" s="68"/>
      <c r="P1702" s="68"/>
      <c r="Q1702" s="68"/>
      <c r="R1702" s="68"/>
      <c r="S1702" s="68"/>
      <c r="T1702" s="68"/>
      <c r="U1702" s="68"/>
      <c r="V1702" s="68"/>
      <c r="W1702" s="68"/>
      <c r="X1702" s="68"/>
      <c r="Y1702" s="68"/>
      <c r="Z1702" s="68"/>
      <c r="AA1702" s="68"/>
    </row>
    <row r="1703" ht="26.25" customHeight="1">
      <c r="A1703" s="68"/>
      <c r="B1703" s="68"/>
      <c r="C1703" s="68"/>
      <c r="D1703" s="71"/>
      <c r="E1703" s="71"/>
      <c r="F1703" s="71"/>
      <c r="G1703" s="65"/>
      <c r="H1703" s="74"/>
      <c r="I1703" s="67" t="str">
        <f>IFERROR(__xludf.DUMMYFUNCTION("if($H1703="""", """", AVERAGE(split($H1703, "";"")))"),"")</f>
        <v/>
      </c>
      <c r="J1703" s="67" t="str">
        <f>IFERROR(__xludf.DUMMYFUNCTION("if(H1703="""", """", SUM(split(H1703, "";"")))"),"")</f>
        <v/>
      </c>
      <c r="K1703" s="68"/>
      <c r="L1703" s="68"/>
      <c r="M1703" s="68"/>
      <c r="N1703" s="68"/>
      <c r="O1703" s="68"/>
      <c r="P1703" s="68"/>
      <c r="Q1703" s="68"/>
      <c r="R1703" s="68"/>
      <c r="S1703" s="68"/>
      <c r="T1703" s="68"/>
      <c r="U1703" s="68"/>
      <c r="V1703" s="68"/>
      <c r="W1703" s="68"/>
      <c r="X1703" s="68"/>
      <c r="Y1703" s="68"/>
      <c r="Z1703" s="68"/>
      <c r="AA1703" s="68"/>
    </row>
    <row r="1704" ht="26.25" customHeight="1">
      <c r="A1704" s="68"/>
      <c r="B1704" s="68"/>
      <c r="C1704" s="68"/>
      <c r="D1704" s="71"/>
      <c r="E1704" s="71"/>
      <c r="F1704" s="71"/>
      <c r="G1704" s="65"/>
      <c r="H1704" s="74"/>
      <c r="I1704" s="67" t="str">
        <f>IFERROR(__xludf.DUMMYFUNCTION("if($H1704="""", """", AVERAGE(split($H1704, "";"")))"),"")</f>
        <v/>
      </c>
      <c r="J1704" s="67" t="str">
        <f>IFERROR(__xludf.DUMMYFUNCTION("if(H1704="""", """", SUM(split(H1704, "";"")))"),"")</f>
        <v/>
      </c>
      <c r="K1704" s="68"/>
      <c r="L1704" s="68"/>
      <c r="M1704" s="68"/>
      <c r="N1704" s="68"/>
      <c r="O1704" s="68"/>
      <c r="P1704" s="68"/>
      <c r="Q1704" s="68"/>
      <c r="R1704" s="68"/>
      <c r="S1704" s="68"/>
      <c r="T1704" s="68"/>
      <c r="U1704" s="68"/>
      <c r="V1704" s="68"/>
      <c r="W1704" s="68"/>
      <c r="X1704" s="68"/>
      <c r="Y1704" s="68"/>
      <c r="Z1704" s="68"/>
      <c r="AA1704" s="68"/>
    </row>
    <row r="1705" ht="26.25" customHeight="1">
      <c r="A1705" s="68"/>
      <c r="B1705" s="68"/>
      <c r="C1705" s="68"/>
      <c r="D1705" s="71"/>
      <c r="E1705" s="71"/>
      <c r="F1705" s="71"/>
      <c r="G1705" s="65"/>
      <c r="H1705" s="74"/>
      <c r="I1705" s="67" t="str">
        <f>IFERROR(__xludf.DUMMYFUNCTION("if($H1705="""", """", AVERAGE(split($H1705, "";"")))"),"")</f>
        <v/>
      </c>
      <c r="J1705" s="67" t="str">
        <f>IFERROR(__xludf.DUMMYFUNCTION("if(H1705="""", """", SUM(split(H1705, "";"")))"),"")</f>
        <v/>
      </c>
      <c r="K1705" s="68"/>
      <c r="L1705" s="68"/>
      <c r="M1705" s="68"/>
      <c r="N1705" s="68"/>
      <c r="O1705" s="68"/>
      <c r="P1705" s="68"/>
      <c r="Q1705" s="68"/>
      <c r="R1705" s="68"/>
      <c r="S1705" s="68"/>
      <c r="T1705" s="68"/>
      <c r="U1705" s="68"/>
      <c r="V1705" s="68"/>
      <c r="W1705" s="68"/>
      <c r="X1705" s="68"/>
      <c r="Y1705" s="68"/>
      <c r="Z1705" s="68"/>
      <c r="AA1705" s="68"/>
    </row>
    <row r="1706" ht="26.25" customHeight="1">
      <c r="A1706" s="68"/>
      <c r="B1706" s="68"/>
      <c r="C1706" s="68"/>
      <c r="D1706" s="71"/>
      <c r="E1706" s="71"/>
      <c r="F1706" s="71"/>
      <c r="G1706" s="65"/>
      <c r="H1706" s="74"/>
      <c r="I1706" s="67" t="str">
        <f>IFERROR(__xludf.DUMMYFUNCTION("if($H1706="""", """", AVERAGE(split($H1706, "";"")))"),"")</f>
        <v/>
      </c>
      <c r="J1706" s="67" t="str">
        <f>IFERROR(__xludf.DUMMYFUNCTION("if(H1706="""", """", SUM(split(H1706, "";"")))"),"")</f>
        <v/>
      </c>
      <c r="K1706" s="68"/>
      <c r="L1706" s="68"/>
      <c r="M1706" s="68"/>
      <c r="N1706" s="68"/>
      <c r="O1706" s="68"/>
      <c r="P1706" s="68"/>
      <c r="Q1706" s="68"/>
      <c r="R1706" s="68"/>
      <c r="S1706" s="68"/>
      <c r="T1706" s="68"/>
      <c r="U1706" s="68"/>
      <c r="V1706" s="68"/>
      <c r="W1706" s="68"/>
      <c r="X1706" s="68"/>
      <c r="Y1706" s="68"/>
      <c r="Z1706" s="68"/>
      <c r="AA1706" s="68"/>
    </row>
    <row r="1707" ht="26.25" customHeight="1">
      <c r="A1707" s="68"/>
      <c r="B1707" s="68"/>
      <c r="C1707" s="68"/>
      <c r="D1707" s="71"/>
      <c r="E1707" s="71"/>
      <c r="F1707" s="71"/>
      <c r="G1707" s="65"/>
      <c r="H1707" s="74"/>
      <c r="I1707" s="67" t="str">
        <f>IFERROR(__xludf.DUMMYFUNCTION("if($H1707="""", """", AVERAGE(split($H1707, "";"")))"),"")</f>
        <v/>
      </c>
      <c r="J1707" s="67" t="str">
        <f>IFERROR(__xludf.DUMMYFUNCTION("if(H1707="""", """", SUM(split(H1707, "";"")))"),"")</f>
        <v/>
      </c>
      <c r="K1707" s="68"/>
      <c r="L1707" s="68"/>
      <c r="M1707" s="68"/>
      <c r="N1707" s="68"/>
      <c r="O1707" s="68"/>
      <c r="P1707" s="68"/>
      <c r="Q1707" s="68"/>
      <c r="R1707" s="68"/>
      <c r="S1707" s="68"/>
      <c r="T1707" s="68"/>
      <c r="U1707" s="68"/>
      <c r="V1707" s="68"/>
      <c r="W1707" s="68"/>
      <c r="X1707" s="68"/>
      <c r="Y1707" s="68"/>
      <c r="Z1707" s="68"/>
      <c r="AA1707" s="68"/>
    </row>
    <row r="1708" ht="26.25" customHeight="1">
      <c r="A1708" s="68"/>
      <c r="B1708" s="68"/>
      <c r="C1708" s="68"/>
      <c r="D1708" s="71"/>
      <c r="E1708" s="71"/>
      <c r="F1708" s="71"/>
      <c r="G1708" s="65"/>
      <c r="H1708" s="74"/>
      <c r="I1708" s="67" t="str">
        <f>IFERROR(__xludf.DUMMYFUNCTION("if($H1708="""", """", AVERAGE(split($H1708, "";"")))"),"")</f>
        <v/>
      </c>
      <c r="J1708" s="67" t="str">
        <f>IFERROR(__xludf.DUMMYFUNCTION("if(H1708="""", """", SUM(split(H1708, "";"")))"),"")</f>
        <v/>
      </c>
      <c r="K1708" s="68"/>
      <c r="L1708" s="68"/>
      <c r="M1708" s="68"/>
      <c r="N1708" s="68"/>
      <c r="O1708" s="68"/>
      <c r="P1708" s="68"/>
      <c r="Q1708" s="68"/>
      <c r="R1708" s="68"/>
      <c r="S1708" s="68"/>
      <c r="T1708" s="68"/>
      <c r="U1708" s="68"/>
      <c r="V1708" s="68"/>
      <c r="W1708" s="68"/>
      <c r="X1708" s="68"/>
      <c r="Y1708" s="68"/>
      <c r="Z1708" s="68"/>
      <c r="AA1708" s="68"/>
    </row>
    <row r="1709" ht="26.25" customHeight="1">
      <c r="A1709" s="68"/>
      <c r="B1709" s="68"/>
      <c r="C1709" s="68"/>
      <c r="D1709" s="71"/>
      <c r="E1709" s="71"/>
      <c r="F1709" s="71"/>
      <c r="G1709" s="65"/>
      <c r="H1709" s="74"/>
      <c r="I1709" s="67" t="str">
        <f>IFERROR(__xludf.DUMMYFUNCTION("if($H1709="""", """", AVERAGE(split($H1709, "";"")))"),"")</f>
        <v/>
      </c>
      <c r="J1709" s="67" t="str">
        <f>IFERROR(__xludf.DUMMYFUNCTION("if(H1709="""", """", SUM(split(H1709, "";"")))"),"")</f>
        <v/>
      </c>
      <c r="K1709" s="68"/>
      <c r="L1709" s="68"/>
      <c r="M1709" s="68"/>
      <c r="N1709" s="68"/>
      <c r="O1709" s="68"/>
      <c r="P1709" s="68"/>
      <c r="Q1709" s="68"/>
      <c r="R1709" s="68"/>
      <c r="S1709" s="68"/>
      <c r="T1709" s="68"/>
      <c r="U1709" s="68"/>
      <c r="V1709" s="68"/>
      <c r="W1709" s="68"/>
      <c r="X1709" s="68"/>
      <c r="Y1709" s="68"/>
      <c r="Z1709" s="68"/>
      <c r="AA1709" s="68"/>
    </row>
    <row r="1710" ht="26.25" customHeight="1">
      <c r="A1710" s="68"/>
      <c r="B1710" s="68"/>
      <c r="C1710" s="68"/>
      <c r="D1710" s="71"/>
      <c r="E1710" s="71"/>
      <c r="F1710" s="71"/>
      <c r="G1710" s="65"/>
      <c r="H1710" s="74"/>
      <c r="I1710" s="67" t="str">
        <f>IFERROR(__xludf.DUMMYFUNCTION("if($H1710="""", """", AVERAGE(split($H1710, "";"")))"),"")</f>
        <v/>
      </c>
      <c r="J1710" s="67" t="str">
        <f>IFERROR(__xludf.DUMMYFUNCTION("if(H1710="""", """", SUM(split(H1710, "";"")))"),"")</f>
        <v/>
      </c>
      <c r="K1710" s="68"/>
      <c r="L1710" s="68"/>
      <c r="M1710" s="68"/>
      <c r="N1710" s="68"/>
      <c r="O1710" s="68"/>
      <c r="P1710" s="68"/>
      <c r="Q1710" s="68"/>
      <c r="R1710" s="68"/>
      <c r="S1710" s="68"/>
      <c r="T1710" s="68"/>
      <c r="U1710" s="68"/>
      <c r="V1710" s="68"/>
      <c r="W1710" s="68"/>
      <c r="X1710" s="68"/>
      <c r="Y1710" s="68"/>
      <c r="Z1710" s="68"/>
      <c r="AA1710" s="68"/>
    </row>
    <row r="1711" ht="26.25" customHeight="1">
      <c r="A1711" s="68"/>
      <c r="B1711" s="68"/>
      <c r="C1711" s="68"/>
      <c r="D1711" s="71"/>
      <c r="E1711" s="71"/>
      <c r="F1711" s="71"/>
      <c r="G1711" s="65"/>
      <c r="H1711" s="74"/>
      <c r="I1711" s="67" t="str">
        <f>IFERROR(__xludf.DUMMYFUNCTION("if($H1711="""", """", AVERAGE(split($H1711, "";"")))"),"")</f>
        <v/>
      </c>
      <c r="J1711" s="67" t="str">
        <f>IFERROR(__xludf.DUMMYFUNCTION("if(H1711="""", """", SUM(split(H1711, "";"")))"),"")</f>
        <v/>
      </c>
      <c r="K1711" s="68"/>
      <c r="L1711" s="68"/>
      <c r="M1711" s="68"/>
      <c r="N1711" s="68"/>
      <c r="O1711" s="68"/>
      <c r="P1711" s="68"/>
      <c r="Q1711" s="68"/>
      <c r="R1711" s="68"/>
      <c r="S1711" s="68"/>
      <c r="T1711" s="68"/>
      <c r="U1711" s="68"/>
      <c r="V1711" s="68"/>
      <c r="W1711" s="68"/>
      <c r="X1711" s="68"/>
      <c r="Y1711" s="68"/>
      <c r="Z1711" s="68"/>
      <c r="AA1711" s="68"/>
    </row>
    <row r="1712" ht="26.25" customHeight="1">
      <c r="A1712" s="68"/>
      <c r="B1712" s="68"/>
      <c r="C1712" s="68"/>
      <c r="D1712" s="71"/>
      <c r="E1712" s="71"/>
      <c r="F1712" s="71"/>
      <c r="G1712" s="65"/>
      <c r="H1712" s="74"/>
      <c r="I1712" s="67" t="str">
        <f>IFERROR(__xludf.DUMMYFUNCTION("if($H1712="""", """", AVERAGE(split($H1712, "";"")))"),"")</f>
        <v/>
      </c>
      <c r="J1712" s="67" t="str">
        <f>IFERROR(__xludf.DUMMYFUNCTION("if(H1712="""", """", SUM(split(H1712, "";"")))"),"")</f>
        <v/>
      </c>
      <c r="K1712" s="68"/>
      <c r="L1712" s="68"/>
      <c r="M1712" s="68"/>
      <c r="N1712" s="68"/>
      <c r="O1712" s="68"/>
      <c r="P1712" s="68"/>
      <c r="Q1712" s="68"/>
      <c r="R1712" s="68"/>
      <c r="S1712" s="68"/>
      <c r="T1712" s="68"/>
      <c r="U1712" s="68"/>
      <c r="V1712" s="68"/>
      <c r="W1712" s="68"/>
      <c r="X1712" s="68"/>
      <c r="Y1712" s="68"/>
      <c r="Z1712" s="68"/>
      <c r="AA1712" s="68"/>
    </row>
    <row r="1713" ht="26.25" customHeight="1">
      <c r="A1713" s="68"/>
      <c r="B1713" s="68"/>
      <c r="C1713" s="68"/>
      <c r="D1713" s="71"/>
      <c r="E1713" s="71"/>
      <c r="F1713" s="71"/>
      <c r="G1713" s="65"/>
      <c r="H1713" s="74"/>
      <c r="I1713" s="67" t="str">
        <f>IFERROR(__xludf.DUMMYFUNCTION("if($H1713="""", """", AVERAGE(split($H1713, "";"")))"),"")</f>
        <v/>
      </c>
      <c r="J1713" s="67" t="str">
        <f>IFERROR(__xludf.DUMMYFUNCTION("if(H1713="""", """", SUM(split(H1713, "";"")))"),"")</f>
        <v/>
      </c>
      <c r="K1713" s="68"/>
      <c r="L1713" s="68"/>
      <c r="M1713" s="68"/>
      <c r="N1713" s="68"/>
      <c r="O1713" s="68"/>
      <c r="P1713" s="68"/>
      <c r="Q1713" s="68"/>
      <c r="R1713" s="68"/>
      <c r="S1713" s="68"/>
      <c r="T1713" s="68"/>
      <c r="U1713" s="68"/>
      <c r="V1713" s="68"/>
      <c r="W1713" s="68"/>
      <c r="X1713" s="68"/>
      <c r="Y1713" s="68"/>
      <c r="Z1713" s="68"/>
      <c r="AA1713" s="68"/>
    </row>
    <row r="1714" ht="26.25" customHeight="1">
      <c r="A1714" s="68"/>
      <c r="B1714" s="68"/>
      <c r="C1714" s="68"/>
      <c r="D1714" s="71"/>
      <c r="E1714" s="71"/>
      <c r="F1714" s="71"/>
      <c r="G1714" s="65"/>
      <c r="H1714" s="74"/>
      <c r="I1714" s="67" t="str">
        <f>IFERROR(__xludf.DUMMYFUNCTION("if($H1714="""", """", AVERAGE(split($H1714, "";"")))"),"")</f>
        <v/>
      </c>
      <c r="J1714" s="67" t="str">
        <f>IFERROR(__xludf.DUMMYFUNCTION("if(H1714="""", """", SUM(split(H1714, "";"")))"),"")</f>
        <v/>
      </c>
      <c r="K1714" s="68"/>
      <c r="L1714" s="68"/>
      <c r="M1714" s="68"/>
      <c r="N1714" s="68"/>
      <c r="O1714" s="68"/>
      <c r="P1714" s="68"/>
      <c r="Q1714" s="68"/>
      <c r="R1714" s="68"/>
      <c r="S1714" s="68"/>
      <c r="T1714" s="68"/>
      <c r="U1714" s="68"/>
      <c r="V1714" s="68"/>
      <c r="W1714" s="68"/>
      <c r="X1714" s="68"/>
      <c r="Y1714" s="68"/>
      <c r="Z1714" s="68"/>
      <c r="AA1714" s="68"/>
    </row>
    <row r="1715" ht="26.25" customHeight="1">
      <c r="A1715" s="68"/>
      <c r="B1715" s="68"/>
      <c r="C1715" s="68"/>
      <c r="D1715" s="71"/>
      <c r="E1715" s="71"/>
      <c r="F1715" s="71"/>
      <c r="G1715" s="65"/>
      <c r="H1715" s="74"/>
      <c r="I1715" s="67" t="str">
        <f>IFERROR(__xludf.DUMMYFUNCTION("if($H1715="""", """", AVERAGE(split($H1715, "";"")))"),"")</f>
        <v/>
      </c>
      <c r="J1715" s="67" t="str">
        <f>IFERROR(__xludf.DUMMYFUNCTION("if(H1715="""", """", SUM(split(H1715, "";"")))"),"")</f>
        <v/>
      </c>
      <c r="K1715" s="68"/>
      <c r="L1715" s="68"/>
      <c r="M1715" s="68"/>
      <c r="N1715" s="68"/>
      <c r="O1715" s="68"/>
      <c r="P1715" s="68"/>
      <c r="Q1715" s="68"/>
      <c r="R1715" s="68"/>
      <c r="S1715" s="68"/>
      <c r="T1715" s="68"/>
      <c r="U1715" s="68"/>
      <c r="V1715" s="68"/>
      <c r="W1715" s="68"/>
      <c r="X1715" s="68"/>
      <c r="Y1715" s="68"/>
      <c r="Z1715" s="68"/>
      <c r="AA1715" s="68"/>
    </row>
    <row r="1716" ht="26.25" customHeight="1">
      <c r="A1716" s="68"/>
      <c r="B1716" s="68"/>
      <c r="C1716" s="68"/>
      <c r="D1716" s="71"/>
      <c r="E1716" s="71"/>
      <c r="F1716" s="71"/>
      <c r="G1716" s="65"/>
      <c r="H1716" s="74"/>
      <c r="I1716" s="67" t="str">
        <f>IFERROR(__xludf.DUMMYFUNCTION("if($H1716="""", """", AVERAGE(split($H1716, "";"")))"),"")</f>
        <v/>
      </c>
      <c r="J1716" s="67" t="str">
        <f>IFERROR(__xludf.DUMMYFUNCTION("if(H1716="""", """", SUM(split(H1716, "";"")))"),"")</f>
        <v/>
      </c>
      <c r="K1716" s="68"/>
      <c r="L1716" s="68"/>
      <c r="M1716" s="68"/>
      <c r="N1716" s="68"/>
      <c r="O1716" s="68"/>
      <c r="P1716" s="68"/>
      <c r="Q1716" s="68"/>
      <c r="R1716" s="68"/>
      <c r="S1716" s="68"/>
      <c r="T1716" s="68"/>
      <c r="U1716" s="68"/>
      <c r="V1716" s="68"/>
      <c r="W1716" s="68"/>
      <c r="X1716" s="68"/>
      <c r="Y1716" s="68"/>
      <c r="Z1716" s="68"/>
      <c r="AA1716" s="68"/>
    </row>
    <row r="1717" ht="26.25" customHeight="1">
      <c r="A1717" s="68"/>
      <c r="B1717" s="68"/>
      <c r="C1717" s="68"/>
      <c r="D1717" s="71"/>
      <c r="E1717" s="71"/>
      <c r="F1717" s="71"/>
      <c r="G1717" s="65"/>
      <c r="H1717" s="74"/>
      <c r="I1717" s="67" t="str">
        <f>IFERROR(__xludf.DUMMYFUNCTION("if($H1717="""", """", AVERAGE(split($H1717, "";"")))"),"")</f>
        <v/>
      </c>
      <c r="J1717" s="67" t="str">
        <f>IFERROR(__xludf.DUMMYFUNCTION("if(H1717="""", """", SUM(split(H1717, "";"")))"),"")</f>
        <v/>
      </c>
      <c r="K1717" s="68"/>
      <c r="L1717" s="68"/>
      <c r="M1717" s="68"/>
      <c r="N1717" s="68"/>
      <c r="O1717" s="68"/>
      <c r="P1717" s="68"/>
      <c r="Q1717" s="68"/>
      <c r="R1717" s="68"/>
      <c r="S1717" s="68"/>
      <c r="T1717" s="68"/>
      <c r="U1717" s="68"/>
      <c r="V1717" s="68"/>
      <c r="W1717" s="68"/>
      <c r="X1717" s="68"/>
      <c r="Y1717" s="68"/>
      <c r="Z1717" s="68"/>
      <c r="AA1717" s="68"/>
    </row>
    <row r="1718" ht="26.25" customHeight="1">
      <c r="A1718" s="68"/>
      <c r="B1718" s="68"/>
      <c r="C1718" s="68"/>
      <c r="D1718" s="71"/>
      <c r="E1718" s="71"/>
      <c r="F1718" s="71"/>
      <c r="G1718" s="65"/>
      <c r="H1718" s="74"/>
      <c r="I1718" s="67" t="str">
        <f>IFERROR(__xludf.DUMMYFUNCTION("if($H1718="""", """", AVERAGE(split($H1718, "";"")))"),"")</f>
        <v/>
      </c>
      <c r="J1718" s="67" t="str">
        <f>IFERROR(__xludf.DUMMYFUNCTION("if(H1718="""", """", SUM(split(H1718, "";"")))"),"")</f>
        <v/>
      </c>
      <c r="K1718" s="68"/>
      <c r="L1718" s="68"/>
      <c r="M1718" s="68"/>
      <c r="N1718" s="68"/>
      <c r="O1718" s="68"/>
      <c r="P1718" s="68"/>
      <c r="Q1718" s="68"/>
      <c r="R1718" s="68"/>
      <c r="S1718" s="68"/>
      <c r="T1718" s="68"/>
      <c r="U1718" s="68"/>
      <c r="V1718" s="68"/>
      <c r="W1718" s="68"/>
      <c r="X1718" s="68"/>
      <c r="Y1718" s="68"/>
      <c r="Z1718" s="68"/>
      <c r="AA1718" s="68"/>
    </row>
    <row r="1719" ht="26.25" customHeight="1">
      <c r="A1719" s="68"/>
      <c r="B1719" s="68"/>
      <c r="C1719" s="68"/>
      <c r="D1719" s="71"/>
      <c r="E1719" s="71"/>
      <c r="F1719" s="71"/>
      <c r="G1719" s="65"/>
      <c r="H1719" s="74"/>
      <c r="I1719" s="67" t="str">
        <f>IFERROR(__xludf.DUMMYFUNCTION("if($H1719="""", """", AVERAGE(split($H1719, "";"")))"),"")</f>
        <v/>
      </c>
      <c r="J1719" s="67" t="str">
        <f>IFERROR(__xludf.DUMMYFUNCTION("if(H1719="""", """", SUM(split(H1719, "";"")))"),"")</f>
        <v/>
      </c>
      <c r="K1719" s="68"/>
      <c r="L1719" s="68"/>
      <c r="M1719" s="68"/>
      <c r="N1719" s="68"/>
      <c r="O1719" s="68"/>
      <c r="P1719" s="68"/>
      <c r="Q1719" s="68"/>
      <c r="R1719" s="68"/>
      <c r="S1719" s="68"/>
      <c r="T1719" s="68"/>
      <c r="U1719" s="68"/>
      <c r="V1719" s="68"/>
      <c r="W1719" s="68"/>
      <c r="X1719" s="68"/>
      <c r="Y1719" s="68"/>
      <c r="Z1719" s="68"/>
      <c r="AA1719" s="68"/>
    </row>
    <row r="1720" ht="26.25" customHeight="1">
      <c r="A1720" s="68"/>
      <c r="B1720" s="68"/>
      <c r="C1720" s="68"/>
      <c r="D1720" s="71"/>
      <c r="E1720" s="71"/>
      <c r="F1720" s="71"/>
      <c r="G1720" s="65"/>
      <c r="H1720" s="74"/>
      <c r="I1720" s="67" t="str">
        <f>IFERROR(__xludf.DUMMYFUNCTION("if($H1720="""", """", AVERAGE(split($H1720, "";"")))"),"")</f>
        <v/>
      </c>
      <c r="J1720" s="67" t="str">
        <f>IFERROR(__xludf.DUMMYFUNCTION("if(H1720="""", """", SUM(split(H1720, "";"")))"),"")</f>
        <v/>
      </c>
      <c r="K1720" s="68"/>
      <c r="L1720" s="68"/>
      <c r="M1720" s="68"/>
      <c r="N1720" s="68"/>
      <c r="O1720" s="68"/>
      <c r="P1720" s="68"/>
      <c r="Q1720" s="68"/>
      <c r="R1720" s="68"/>
      <c r="S1720" s="68"/>
      <c r="T1720" s="68"/>
      <c r="U1720" s="68"/>
      <c r="V1720" s="68"/>
      <c r="W1720" s="68"/>
      <c r="X1720" s="68"/>
      <c r="Y1720" s="68"/>
      <c r="Z1720" s="68"/>
      <c r="AA1720" s="68"/>
    </row>
    <row r="1721" ht="26.25" customHeight="1">
      <c r="A1721" s="68"/>
      <c r="B1721" s="68"/>
      <c r="C1721" s="68"/>
      <c r="D1721" s="71"/>
      <c r="E1721" s="71"/>
      <c r="F1721" s="71"/>
      <c r="G1721" s="65"/>
      <c r="H1721" s="74"/>
      <c r="I1721" s="67" t="str">
        <f>IFERROR(__xludf.DUMMYFUNCTION("if($H1721="""", """", AVERAGE(split($H1721, "";"")))"),"")</f>
        <v/>
      </c>
      <c r="J1721" s="67" t="str">
        <f>IFERROR(__xludf.DUMMYFUNCTION("if(H1721="""", """", SUM(split(H1721, "";"")))"),"")</f>
        <v/>
      </c>
      <c r="K1721" s="68"/>
      <c r="L1721" s="68"/>
      <c r="M1721" s="68"/>
      <c r="N1721" s="68"/>
      <c r="O1721" s="68"/>
      <c r="P1721" s="68"/>
      <c r="Q1721" s="68"/>
      <c r="R1721" s="68"/>
      <c r="S1721" s="68"/>
      <c r="T1721" s="68"/>
      <c r="U1721" s="68"/>
      <c r="V1721" s="68"/>
      <c r="W1721" s="68"/>
      <c r="X1721" s="68"/>
      <c r="Y1721" s="68"/>
      <c r="Z1721" s="68"/>
      <c r="AA1721" s="68"/>
    </row>
    <row r="1722" ht="26.25" customHeight="1">
      <c r="A1722" s="68"/>
      <c r="B1722" s="68"/>
      <c r="C1722" s="68"/>
      <c r="D1722" s="71"/>
      <c r="E1722" s="71"/>
      <c r="F1722" s="71"/>
      <c r="G1722" s="65"/>
      <c r="H1722" s="74"/>
      <c r="I1722" s="67" t="str">
        <f>IFERROR(__xludf.DUMMYFUNCTION("if($H1722="""", """", AVERAGE(split($H1722, "";"")))"),"")</f>
        <v/>
      </c>
      <c r="J1722" s="67" t="str">
        <f>IFERROR(__xludf.DUMMYFUNCTION("if(H1722="""", """", SUM(split(H1722, "";"")))"),"")</f>
        <v/>
      </c>
      <c r="K1722" s="68"/>
      <c r="L1722" s="68"/>
      <c r="M1722" s="68"/>
      <c r="N1722" s="68"/>
      <c r="O1722" s="68"/>
      <c r="P1722" s="68"/>
      <c r="Q1722" s="68"/>
      <c r="R1722" s="68"/>
      <c r="S1722" s="68"/>
      <c r="T1722" s="68"/>
      <c r="U1722" s="68"/>
      <c r="V1722" s="68"/>
      <c r="W1722" s="68"/>
      <c r="X1722" s="68"/>
      <c r="Y1722" s="68"/>
      <c r="Z1722" s="68"/>
      <c r="AA1722" s="68"/>
    </row>
    <row r="1723" ht="26.25" customHeight="1">
      <c r="A1723" s="68"/>
      <c r="B1723" s="68"/>
      <c r="C1723" s="68"/>
      <c r="D1723" s="71"/>
      <c r="E1723" s="71"/>
      <c r="F1723" s="71"/>
      <c r="G1723" s="65"/>
      <c r="H1723" s="74"/>
      <c r="I1723" s="67" t="str">
        <f>IFERROR(__xludf.DUMMYFUNCTION("if($H1723="""", """", AVERAGE(split($H1723, "";"")))"),"")</f>
        <v/>
      </c>
      <c r="J1723" s="67" t="str">
        <f>IFERROR(__xludf.DUMMYFUNCTION("if(H1723="""", """", SUM(split(H1723, "";"")))"),"")</f>
        <v/>
      </c>
      <c r="K1723" s="68"/>
      <c r="L1723" s="68"/>
      <c r="M1723" s="68"/>
      <c r="N1723" s="68"/>
      <c r="O1723" s="68"/>
      <c r="P1723" s="68"/>
      <c r="Q1723" s="68"/>
      <c r="R1723" s="68"/>
      <c r="S1723" s="68"/>
      <c r="T1723" s="68"/>
      <c r="U1723" s="68"/>
      <c r="V1723" s="68"/>
      <c r="W1723" s="68"/>
      <c r="X1723" s="68"/>
      <c r="Y1723" s="68"/>
      <c r="Z1723" s="68"/>
      <c r="AA1723" s="68"/>
    </row>
    <row r="1724" ht="26.25" customHeight="1">
      <c r="A1724" s="68"/>
      <c r="B1724" s="68"/>
      <c r="C1724" s="68"/>
      <c r="D1724" s="71"/>
      <c r="E1724" s="71"/>
      <c r="F1724" s="71"/>
      <c r="G1724" s="65"/>
      <c r="H1724" s="74"/>
      <c r="I1724" s="67" t="str">
        <f>IFERROR(__xludf.DUMMYFUNCTION("if($H1724="""", """", AVERAGE(split($H1724, "";"")))"),"")</f>
        <v/>
      </c>
      <c r="J1724" s="67" t="str">
        <f>IFERROR(__xludf.DUMMYFUNCTION("if(H1724="""", """", SUM(split(H1724, "";"")))"),"")</f>
        <v/>
      </c>
      <c r="K1724" s="68"/>
      <c r="L1724" s="68"/>
      <c r="M1724" s="68"/>
      <c r="N1724" s="68"/>
      <c r="O1724" s="68"/>
      <c r="P1724" s="68"/>
      <c r="Q1724" s="68"/>
      <c r="R1724" s="68"/>
      <c r="S1724" s="68"/>
      <c r="T1724" s="68"/>
      <c r="U1724" s="68"/>
      <c r="V1724" s="68"/>
      <c r="W1724" s="68"/>
      <c r="X1724" s="68"/>
      <c r="Y1724" s="68"/>
      <c r="Z1724" s="68"/>
      <c r="AA1724" s="68"/>
    </row>
    <row r="1725" ht="26.25" customHeight="1">
      <c r="A1725" s="68"/>
      <c r="B1725" s="68"/>
      <c r="C1725" s="68"/>
      <c r="D1725" s="71"/>
      <c r="E1725" s="71"/>
      <c r="F1725" s="71"/>
      <c r="G1725" s="65"/>
      <c r="H1725" s="74"/>
      <c r="I1725" s="67" t="str">
        <f>IFERROR(__xludf.DUMMYFUNCTION("if($H1725="""", """", AVERAGE(split($H1725, "";"")))"),"")</f>
        <v/>
      </c>
      <c r="J1725" s="67" t="str">
        <f>IFERROR(__xludf.DUMMYFUNCTION("if(H1725="""", """", SUM(split(H1725, "";"")))"),"")</f>
        <v/>
      </c>
      <c r="K1725" s="68"/>
      <c r="L1725" s="68"/>
      <c r="M1725" s="68"/>
      <c r="N1725" s="68"/>
      <c r="O1725" s="68"/>
      <c r="P1725" s="68"/>
      <c r="Q1725" s="68"/>
      <c r="R1725" s="68"/>
      <c r="S1725" s="68"/>
      <c r="T1725" s="68"/>
      <c r="U1725" s="68"/>
      <c r="V1725" s="68"/>
      <c r="W1725" s="68"/>
      <c r="X1725" s="68"/>
      <c r="Y1725" s="68"/>
      <c r="Z1725" s="68"/>
      <c r="AA1725" s="68"/>
    </row>
    <row r="1726" ht="26.25" customHeight="1">
      <c r="A1726" s="68"/>
      <c r="B1726" s="68"/>
      <c r="C1726" s="68"/>
      <c r="D1726" s="71"/>
      <c r="E1726" s="71"/>
      <c r="F1726" s="71"/>
      <c r="G1726" s="65"/>
      <c r="H1726" s="74"/>
      <c r="I1726" s="67" t="str">
        <f>IFERROR(__xludf.DUMMYFUNCTION("if($H1726="""", """", AVERAGE(split($H1726, "";"")))"),"")</f>
        <v/>
      </c>
      <c r="J1726" s="67" t="str">
        <f>IFERROR(__xludf.DUMMYFUNCTION("if(H1726="""", """", SUM(split(H1726, "";"")))"),"")</f>
        <v/>
      </c>
      <c r="K1726" s="68"/>
      <c r="L1726" s="68"/>
      <c r="M1726" s="68"/>
      <c r="N1726" s="68"/>
      <c r="O1726" s="68"/>
      <c r="P1726" s="68"/>
      <c r="Q1726" s="68"/>
      <c r="R1726" s="68"/>
      <c r="S1726" s="68"/>
      <c r="T1726" s="68"/>
      <c r="U1726" s="68"/>
      <c r="V1726" s="68"/>
      <c r="W1726" s="68"/>
      <c r="X1726" s="68"/>
      <c r="Y1726" s="68"/>
      <c r="Z1726" s="68"/>
      <c r="AA1726" s="68"/>
    </row>
    <row r="1727" ht="26.25" customHeight="1">
      <c r="A1727" s="68"/>
      <c r="B1727" s="68"/>
      <c r="C1727" s="68"/>
      <c r="D1727" s="71"/>
      <c r="E1727" s="71"/>
      <c r="F1727" s="71"/>
      <c r="G1727" s="65"/>
      <c r="H1727" s="74"/>
      <c r="I1727" s="67" t="str">
        <f>IFERROR(__xludf.DUMMYFUNCTION("if($H1727="""", """", AVERAGE(split($H1727, "";"")))"),"")</f>
        <v/>
      </c>
      <c r="J1727" s="67" t="str">
        <f>IFERROR(__xludf.DUMMYFUNCTION("if(H1727="""", """", SUM(split(H1727, "";"")))"),"")</f>
        <v/>
      </c>
      <c r="K1727" s="68"/>
      <c r="L1727" s="68"/>
      <c r="M1727" s="68"/>
      <c r="N1727" s="68"/>
      <c r="O1727" s="68"/>
      <c r="P1727" s="68"/>
      <c r="Q1727" s="68"/>
      <c r="R1727" s="68"/>
      <c r="S1727" s="68"/>
      <c r="T1727" s="68"/>
      <c r="U1727" s="68"/>
      <c r="V1727" s="68"/>
      <c r="W1727" s="68"/>
      <c r="X1727" s="68"/>
      <c r="Y1727" s="68"/>
      <c r="Z1727" s="68"/>
      <c r="AA1727" s="68"/>
    </row>
    <row r="1728" ht="26.25" customHeight="1">
      <c r="A1728" s="68"/>
      <c r="B1728" s="68"/>
      <c r="C1728" s="68"/>
      <c r="D1728" s="71"/>
      <c r="E1728" s="71"/>
      <c r="F1728" s="71"/>
      <c r="G1728" s="65"/>
      <c r="H1728" s="74"/>
      <c r="I1728" s="67" t="str">
        <f>IFERROR(__xludf.DUMMYFUNCTION("if($H1728="""", """", AVERAGE(split($H1728, "";"")))"),"")</f>
        <v/>
      </c>
      <c r="J1728" s="67" t="str">
        <f>IFERROR(__xludf.DUMMYFUNCTION("if(H1728="""", """", SUM(split(H1728, "";"")))"),"")</f>
        <v/>
      </c>
      <c r="K1728" s="68"/>
      <c r="L1728" s="68"/>
      <c r="M1728" s="68"/>
      <c r="N1728" s="68"/>
      <c r="O1728" s="68"/>
      <c r="P1728" s="68"/>
      <c r="Q1728" s="68"/>
      <c r="R1728" s="68"/>
      <c r="S1728" s="68"/>
      <c r="T1728" s="68"/>
      <c r="U1728" s="68"/>
      <c r="V1728" s="68"/>
      <c r="W1728" s="68"/>
      <c r="X1728" s="68"/>
      <c r="Y1728" s="68"/>
      <c r="Z1728" s="68"/>
      <c r="AA1728" s="68"/>
    </row>
    <row r="1729" ht="26.25" customHeight="1">
      <c r="A1729" s="68"/>
      <c r="B1729" s="68"/>
      <c r="C1729" s="68"/>
      <c r="D1729" s="71"/>
      <c r="E1729" s="71"/>
      <c r="F1729" s="71"/>
      <c r="G1729" s="65"/>
      <c r="H1729" s="74"/>
      <c r="I1729" s="67" t="str">
        <f>IFERROR(__xludf.DUMMYFUNCTION("if($H1729="""", """", AVERAGE(split($H1729, "";"")))"),"")</f>
        <v/>
      </c>
      <c r="J1729" s="67" t="str">
        <f>IFERROR(__xludf.DUMMYFUNCTION("if(H1729="""", """", SUM(split(H1729, "";"")))"),"")</f>
        <v/>
      </c>
      <c r="K1729" s="68"/>
      <c r="L1729" s="68"/>
      <c r="M1729" s="68"/>
      <c r="N1729" s="68"/>
      <c r="O1729" s="68"/>
      <c r="P1729" s="68"/>
      <c r="Q1729" s="68"/>
      <c r="R1729" s="68"/>
      <c r="S1729" s="68"/>
      <c r="T1729" s="68"/>
      <c r="U1729" s="68"/>
      <c r="V1729" s="68"/>
      <c r="W1729" s="68"/>
      <c r="X1729" s="68"/>
      <c r="Y1729" s="68"/>
      <c r="Z1729" s="68"/>
      <c r="AA1729" s="68"/>
    </row>
    <row r="1730" ht="26.25" customHeight="1">
      <c r="A1730" s="68"/>
      <c r="B1730" s="68"/>
      <c r="C1730" s="68"/>
      <c r="D1730" s="71"/>
      <c r="E1730" s="71"/>
      <c r="F1730" s="71"/>
      <c r="G1730" s="65"/>
      <c r="H1730" s="74"/>
      <c r="I1730" s="67" t="str">
        <f>IFERROR(__xludf.DUMMYFUNCTION("if($H1730="""", """", AVERAGE(split($H1730, "";"")))"),"")</f>
        <v/>
      </c>
      <c r="J1730" s="67" t="str">
        <f>IFERROR(__xludf.DUMMYFUNCTION("if(H1730="""", """", SUM(split(H1730, "";"")))"),"")</f>
        <v/>
      </c>
      <c r="K1730" s="68"/>
      <c r="L1730" s="68"/>
      <c r="M1730" s="68"/>
      <c r="N1730" s="68"/>
      <c r="O1730" s="68"/>
      <c r="P1730" s="68"/>
      <c r="Q1730" s="68"/>
      <c r="R1730" s="68"/>
      <c r="S1730" s="68"/>
      <c r="T1730" s="68"/>
      <c r="U1730" s="68"/>
      <c r="V1730" s="68"/>
      <c r="W1730" s="68"/>
      <c r="X1730" s="68"/>
      <c r="Y1730" s="68"/>
      <c r="Z1730" s="68"/>
      <c r="AA1730" s="68"/>
    </row>
    <row r="1731" ht="26.25" customHeight="1">
      <c r="A1731" s="68"/>
      <c r="B1731" s="68"/>
      <c r="C1731" s="68"/>
      <c r="D1731" s="71"/>
      <c r="E1731" s="71"/>
      <c r="F1731" s="71"/>
      <c r="G1731" s="65"/>
      <c r="H1731" s="74"/>
      <c r="I1731" s="67" t="str">
        <f>IFERROR(__xludf.DUMMYFUNCTION("if($H1731="""", """", AVERAGE(split($H1731, "";"")))"),"")</f>
        <v/>
      </c>
      <c r="J1731" s="67" t="str">
        <f>IFERROR(__xludf.DUMMYFUNCTION("if(H1731="""", """", SUM(split(H1731, "";"")))"),"")</f>
        <v/>
      </c>
      <c r="K1731" s="68"/>
      <c r="L1731" s="68"/>
      <c r="M1731" s="68"/>
      <c r="N1731" s="68"/>
      <c r="O1731" s="68"/>
      <c r="P1731" s="68"/>
      <c r="Q1731" s="68"/>
      <c r="R1731" s="68"/>
      <c r="S1731" s="68"/>
      <c r="T1731" s="68"/>
      <c r="U1731" s="68"/>
      <c r="V1731" s="68"/>
      <c r="W1731" s="68"/>
      <c r="X1731" s="68"/>
      <c r="Y1731" s="68"/>
      <c r="Z1731" s="68"/>
      <c r="AA1731" s="68"/>
    </row>
    <row r="1732" ht="26.25" customHeight="1">
      <c r="A1732" s="68"/>
      <c r="B1732" s="68"/>
      <c r="C1732" s="68"/>
      <c r="D1732" s="71"/>
      <c r="E1732" s="71"/>
      <c r="F1732" s="71"/>
      <c r="G1732" s="65"/>
      <c r="H1732" s="74"/>
      <c r="I1732" s="67" t="str">
        <f>IFERROR(__xludf.DUMMYFUNCTION("if($H1732="""", """", AVERAGE(split($H1732, "";"")))"),"")</f>
        <v/>
      </c>
      <c r="J1732" s="67" t="str">
        <f>IFERROR(__xludf.DUMMYFUNCTION("if(H1732="""", """", SUM(split(H1732, "";"")))"),"")</f>
        <v/>
      </c>
      <c r="K1732" s="68"/>
      <c r="L1732" s="68"/>
      <c r="M1732" s="68"/>
      <c r="N1732" s="68"/>
      <c r="O1732" s="68"/>
      <c r="P1732" s="68"/>
      <c r="Q1732" s="68"/>
      <c r="R1732" s="68"/>
      <c r="S1732" s="68"/>
      <c r="T1732" s="68"/>
      <c r="U1732" s="68"/>
      <c r="V1732" s="68"/>
      <c r="W1732" s="68"/>
      <c r="X1732" s="68"/>
      <c r="Y1732" s="68"/>
      <c r="Z1732" s="68"/>
      <c r="AA1732" s="68"/>
    </row>
    <row r="1733" ht="26.25" customHeight="1">
      <c r="A1733" s="68"/>
      <c r="B1733" s="68"/>
      <c r="C1733" s="68"/>
      <c r="D1733" s="71"/>
      <c r="E1733" s="71"/>
      <c r="F1733" s="71"/>
      <c r="G1733" s="65"/>
      <c r="H1733" s="74"/>
      <c r="I1733" s="67" t="str">
        <f>IFERROR(__xludf.DUMMYFUNCTION("if($H1733="""", """", AVERAGE(split($H1733, "";"")))"),"")</f>
        <v/>
      </c>
      <c r="J1733" s="67" t="str">
        <f>IFERROR(__xludf.DUMMYFUNCTION("if(H1733="""", """", SUM(split(H1733, "";"")))"),"")</f>
        <v/>
      </c>
      <c r="K1733" s="68"/>
      <c r="L1733" s="68"/>
      <c r="M1733" s="68"/>
      <c r="N1733" s="68"/>
      <c r="O1733" s="68"/>
      <c r="P1733" s="68"/>
      <c r="Q1733" s="68"/>
      <c r="R1733" s="68"/>
      <c r="S1733" s="68"/>
      <c r="T1733" s="68"/>
      <c r="U1733" s="68"/>
      <c r="V1733" s="68"/>
      <c r="W1733" s="68"/>
      <c r="X1733" s="68"/>
      <c r="Y1733" s="68"/>
      <c r="Z1733" s="68"/>
      <c r="AA1733" s="68"/>
    </row>
    <row r="1734" ht="26.25" customHeight="1">
      <c r="A1734" s="68"/>
      <c r="B1734" s="68"/>
      <c r="C1734" s="68"/>
      <c r="D1734" s="71"/>
      <c r="E1734" s="71"/>
      <c r="F1734" s="71"/>
      <c r="G1734" s="65"/>
      <c r="H1734" s="74"/>
      <c r="I1734" s="67" t="str">
        <f>IFERROR(__xludf.DUMMYFUNCTION("if($H1734="""", """", AVERAGE(split($H1734, "";"")))"),"")</f>
        <v/>
      </c>
      <c r="J1734" s="67" t="str">
        <f>IFERROR(__xludf.DUMMYFUNCTION("if(H1734="""", """", SUM(split(H1734, "";"")))"),"")</f>
        <v/>
      </c>
      <c r="K1734" s="68"/>
      <c r="L1734" s="68"/>
      <c r="M1734" s="68"/>
      <c r="N1734" s="68"/>
      <c r="O1734" s="68"/>
      <c r="P1734" s="68"/>
      <c r="Q1734" s="68"/>
      <c r="R1734" s="68"/>
      <c r="S1734" s="68"/>
      <c r="T1734" s="68"/>
      <c r="U1734" s="68"/>
      <c r="V1734" s="68"/>
      <c r="W1734" s="68"/>
      <c r="X1734" s="68"/>
      <c r="Y1734" s="68"/>
      <c r="Z1734" s="68"/>
      <c r="AA1734" s="68"/>
    </row>
    <row r="1735" ht="26.25" customHeight="1">
      <c r="A1735" s="68"/>
      <c r="B1735" s="68"/>
      <c r="C1735" s="68"/>
      <c r="D1735" s="71"/>
      <c r="E1735" s="71"/>
      <c r="F1735" s="71"/>
      <c r="G1735" s="65"/>
      <c r="H1735" s="74"/>
      <c r="I1735" s="67" t="str">
        <f>IFERROR(__xludf.DUMMYFUNCTION("if($H1735="""", """", AVERAGE(split($H1735, "";"")))"),"")</f>
        <v/>
      </c>
      <c r="J1735" s="67" t="str">
        <f>IFERROR(__xludf.DUMMYFUNCTION("if(H1735="""", """", SUM(split(H1735, "";"")))"),"")</f>
        <v/>
      </c>
      <c r="K1735" s="68"/>
      <c r="L1735" s="68"/>
      <c r="M1735" s="68"/>
      <c r="N1735" s="68"/>
      <c r="O1735" s="68"/>
      <c r="P1735" s="68"/>
      <c r="Q1735" s="68"/>
      <c r="R1735" s="68"/>
      <c r="S1735" s="68"/>
      <c r="T1735" s="68"/>
      <c r="U1735" s="68"/>
      <c r="V1735" s="68"/>
      <c r="W1735" s="68"/>
      <c r="X1735" s="68"/>
      <c r="Y1735" s="68"/>
      <c r="Z1735" s="68"/>
      <c r="AA1735" s="68"/>
    </row>
    <row r="1736" ht="26.25" customHeight="1">
      <c r="A1736" s="68"/>
      <c r="B1736" s="68"/>
      <c r="C1736" s="68"/>
      <c r="D1736" s="71"/>
      <c r="E1736" s="71"/>
      <c r="F1736" s="71"/>
      <c r="G1736" s="65"/>
      <c r="H1736" s="74"/>
      <c r="I1736" s="67" t="str">
        <f>IFERROR(__xludf.DUMMYFUNCTION("if($H1736="""", """", AVERAGE(split($H1736, "";"")))"),"")</f>
        <v/>
      </c>
      <c r="J1736" s="67" t="str">
        <f>IFERROR(__xludf.DUMMYFUNCTION("if(H1736="""", """", SUM(split(H1736, "";"")))"),"")</f>
        <v/>
      </c>
      <c r="K1736" s="68"/>
      <c r="L1736" s="68"/>
      <c r="M1736" s="68"/>
      <c r="N1736" s="68"/>
      <c r="O1736" s="68"/>
      <c r="P1736" s="68"/>
      <c r="Q1736" s="68"/>
      <c r="R1736" s="68"/>
      <c r="S1736" s="68"/>
      <c r="T1736" s="68"/>
      <c r="U1736" s="68"/>
      <c r="V1736" s="68"/>
      <c r="W1736" s="68"/>
      <c r="X1736" s="68"/>
      <c r="Y1736" s="68"/>
      <c r="Z1736" s="68"/>
      <c r="AA1736" s="68"/>
    </row>
    <row r="1737" ht="26.25" customHeight="1">
      <c r="A1737" s="68"/>
      <c r="B1737" s="68"/>
      <c r="C1737" s="68"/>
      <c r="D1737" s="71"/>
      <c r="E1737" s="71"/>
      <c r="F1737" s="71"/>
      <c r="G1737" s="65"/>
      <c r="H1737" s="74"/>
      <c r="I1737" s="67" t="str">
        <f>IFERROR(__xludf.DUMMYFUNCTION("if($H1737="""", """", AVERAGE(split($H1737, "";"")))"),"")</f>
        <v/>
      </c>
      <c r="J1737" s="67" t="str">
        <f>IFERROR(__xludf.DUMMYFUNCTION("if(H1737="""", """", SUM(split(H1737, "";"")))"),"")</f>
        <v/>
      </c>
      <c r="K1737" s="68"/>
      <c r="L1737" s="68"/>
      <c r="M1737" s="68"/>
      <c r="N1737" s="68"/>
      <c r="O1737" s="68"/>
      <c r="P1737" s="68"/>
      <c r="Q1737" s="68"/>
      <c r="R1737" s="68"/>
      <c r="S1737" s="68"/>
      <c r="T1737" s="68"/>
      <c r="U1737" s="68"/>
      <c r="V1737" s="68"/>
      <c r="W1737" s="68"/>
      <c r="X1737" s="68"/>
      <c r="Y1737" s="68"/>
      <c r="Z1737" s="68"/>
      <c r="AA1737" s="68"/>
    </row>
    <row r="1738" ht="26.25" customHeight="1">
      <c r="A1738" s="68"/>
      <c r="B1738" s="68"/>
      <c r="C1738" s="68"/>
      <c r="D1738" s="71"/>
      <c r="E1738" s="71"/>
      <c r="F1738" s="71"/>
      <c r="G1738" s="65"/>
      <c r="H1738" s="74"/>
      <c r="I1738" s="67" t="str">
        <f>IFERROR(__xludf.DUMMYFUNCTION("if($H1738="""", """", AVERAGE(split($H1738, "";"")))"),"")</f>
        <v/>
      </c>
      <c r="J1738" s="67" t="str">
        <f>IFERROR(__xludf.DUMMYFUNCTION("if(H1738="""", """", SUM(split(H1738, "";"")))"),"")</f>
        <v/>
      </c>
      <c r="K1738" s="68"/>
      <c r="L1738" s="68"/>
      <c r="M1738" s="68"/>
      <c r="N1738" s="68"/>
      <c r="O1738" s="68"/>
      <c r="P1738" s="68"/>
      <c r="Q1738" s="68"/>
      <c r="R1738" s="68"/>
      <c r="S1738" s="68"/>
      <c r="T1738" s="68"/>
      <c r="U1738" s="68"/>
      <c r="V1738" s="68"/>
      <c r="W1738" s="68"/>
      <c r="X1738" s="68"/>
      <c r="Y1738" s="68"/>
      <c r="Z1738" s="68"/>
      <c r="AA1738" s="68"/>
    </row>
    <row r="1739" ht="26.25" customHeight="1">
      <c r="A1739" s="68"/>
      <c r="B1739" s="68"/>
      <c r="C1739" s="68"/>
      <c r="D1739" s="71"/>
      <c r="E1739" s="71"/>
      <c r="F1739" s="71"/>
      <c r="G1739" s="65"/>
      <c r="H1739" s="74"/>
      <c r="I1739" s="67" t="str">
        <f>IFERROR(__xludf.DUMMYFUNCTION("if($H1739="""", """", AVERAGE(split($H1739, "";"")))"),"")</f>
        <v/>
      </c>
      <c r="J1739" s="67" t="str">
        <f>IFERROR(__xludf.DUMMYFUNCTION("if(H1739="""", """", SUM(split(H1739, "";"")))"),"")</f>
        <v/>
      </c>
      <c r="K1739" s="68"/>
      <c r="L1739" s="68"/>
      <c r="M1739" s="68"/>
      <c r="N1739" s="68"/>
      <c r="O1739" s="68"/>
      <c r="P1739" s="68"/>
      <c r="Q1739" s="68"/>
      <c r="R1739" s="68"/>
      <c r="S1739" s="68"/>
      <c r="T1739" s="68"/>
      <c r="U1739" s="68"/>
      <c r="V1739" s="68"/>
      <c r="W1739" s="68"/>
      <c r="X1739" s="68"/>
      <c r="Y1739" s="68"/>
      <c r="Z1739" s="68"/>
      <c r="AA1739" s="68"/>
    </row>
    <row r="1740" ht="26.25" customHeight="1">
      <c r="A1740" s="68"/>
      <c r="B1740" s="68"/>
      <c r="C1740" s="68"/>
      <c r="D1740" s="71"/>
      <c r="E1740" s="71"/>
      <c r="F1740" s="71"/>
      <c r="G1740" s="65"/>
      <c r="H1740" s="74"/>
      <c r="I1740" s="67" t="str">
        <f>IFERROR(__xludf.DUMMYFUNCTION("if($H1740="""", """", AVERAGE(split($H1740, "";"")))"),"")</f>
        <v/>
      </c>
      <c r="J1740" s="67" t="str">
        <f>IFERROR(__xludf.DUMMYFUNCTION("if(H1740="""", """", SUM(split(H1740, "";"")))"),"")</f>
        <v/>
      </c>
      <c r="K1740" s="68"/>
      <c r="L1740" s="68"/>
      <c r="M1740" s="68"/>
      <c r="N1740" s="68"/>
      <c r="O1740" s="68"/>
      <c r="P1740" s="68"/>
      <c r="Q1740" s="68"/>
      <c r="R1740" s="68"/>
      <c r="S1740" s="68"/>
      <c r="T1740" s="68"/>
      <c r="U1740" s="68"/>
      <c r="V1740" s="68"/>
      <c r="W1740" s="68"/>
      <c r="X1740" s="68"/>
      <c r="Y1740" s="68"/>
      <c r="Z1740" s="68"/>
      <c r="AA1740" s="68"/>
    </row>
    <row r="1741" ht="26.25" customHeight="1">
      <c r="A1741" s="68"/>
      <c r="B1741" s="68"/>
      <c r="C1741" s="68"/>
      <c r="D1741" s="71"/>
      <c r="E1741" s="71"/>
      <c r="F1741" s="71"/>
      <c r="G1741" s="65"/>
      <c r="H1741" s="74"/>
      <c r="I1741" s="67" t="str">
        <f>IFERROR(__xludf.DUMMYFUNCTION("if($H1741="""", """", AVERAGE(split($H1741, "";"")))"),"")</f>
        <v/>
      </c>
      <c r="J1741" s="67" t="str">
        <f>IFERROR(__xludf.DUMMYFUNCTION("if(H1741="""", """", SUM(split(H1741, "";"")))"),"")</f>
        <v/>
      </c>
      <c r="K1741" s="68"/>
      <c r="L1741" s="68"/>
      <c r="M1741" s="68"/>
      <c r="N1741" s="68"/>
      <c r="O1741" s="68"/>
      <c r="P1741" s="68"/>
      <c r="Q1741" s="68"/>
      <c r="R1741" s="68"/>
      <c r="S1741" s="68"/>
      <c r="T1741" s="68"/>
      <c r="U1741" s="68"/>
      <c r="V1741" s="68"/>
      <c r="W1741" s="68"/>
      <c r="X1741" s="68"/>
      <c r="Y1741" s="68"/>
      <c r="Z1741" s="68"/>
      <c r="AA1741" s="68"/>
    </row>
    <row r="1742" ht="26.25" customHeight="1">
      <c r="A1742" s="68"/>
      <c r="B1742" s="68"/>
      <c r="C1742" s="68"/>
      <c r="D1742" s="71"/>
      <c r="E1742" s="71"/>
      <c r="F1742" s="71"/>
      <c r="G1742" s="65"/>
      <c r="H1742" s="74"/>
      <c r="I1742" s="67" t="str">
        <f>IFERROR(__xludf.DUMMYFUNCTION("if($H1742="""", """", AVERAGE(split($H1742, "";"")))"),"")</f>
        <v/>
      </c>
      <c r="J1742" s="67" t="str">
        <f>IFERROR(__xludf.DUMMYFUNCTION("if(H1742="""", """", SUM(split(H1742, "";"")))"),"")</f>
        <v/>
      </c>
      <c r="K1742" s="68"/>
      <c r="L1742" s="68"/>
      <c r="M1742" s="68"/>
      <c r="N1742" s="68"/>
      <c r="O1742" s="68"/>
      <c r="P1742" s="68"/>
      <c r="Q1742" s="68"/>
      <c r="R1742" s="68"/>
      <c r="S1742" s="68"/>
      <c r="T1742" s="68"/>
      <c r="U1742" s="68"/>
      <c r="V1742" s="68"/>
      <c r="W1742" s="68"/>
      <c r="X1742" s="68"/>
      <c r="Y1742" s="68"/>
      <c r="Z1742" s="68"/>
      <c r="AA1742" s="68"/>
    </row>
    <row r="1743" ht="26.25" customHeight="1">
      <c r="A1743" s="68"/>
      <c r="B1743" s="68"/>
      <c r="C1743" s="68"/>
      <c r="D1743" s="71"/>
      <c r="E1743" s="71"/>
      <c r="F1743" s="71"/>
      <c r="G1743" s="65"/>
      <c r="H1743" s="74"/>
      <c r="I1743" s="67" t="str">
        <f>IFERROR(__xludf.DUMMYFUNCTION("if($H1743="""", """", AVERAGE(split($H1743, "";"")))"),"")</f>
        <v/>
      </c>
      <c r="J1743" s="67" t="str">
        <f>IFERROR(__xludf.DUMMYFUNCTION("if(H1743="""", """", SUM(split(H1743, "";"")))"),"")</f>
        <v/>
      </c>
      <c r="K1743" s="68"/>
      <c r="L1743" s="68"/>
      <c r="M1743" s="68"/>
      <c r="N1743" s="68"/>
      <c r="O1743" s="68"/>
      <c r="P1743" s="68"/>
      <c r="Q1743" s="68"/>
      <c r="R1743" s="68"/>
      <c r="S1743" s="68"/>
      <c r="T1743" s="68"/>
      <c r="U1743" s="68"/>
      <c r="V1743" s="68"/>
      <c r="W1743" s="68"/>
      <c r="X1743" s="68"/>
      <c r="Y1743" s="68"/>
      <c r="Z1743" s="68"/>
      <c r="AA1743" s="68"/>
    </row>
    <row r="1744" ht="26.25" customHeight="1">
      <c r="A1744" s="68"/>
      <c r="B1744" s="68"/>
      <c r="C1744" s="68"/>
      <c r="D1744" s="71"/>
      <c r="E1744" s="71"/>
      <c r="F1744" s="71"/>
      <c r="G1744" s="65"/>
      <c r="H1744" s="74"/>
      <c r="I1744" s="67" t="str">
        <f>IFERROR(__xludf.DUMMYFUNCTION("if($H1744="""", """", AVERAGE(split($H1744, "";"")))"),"")</f>
        <v/>
      </c>
      <c r="J1744" s="67" t="str">
        <f>IFERROR(__xludf.DUMMYFUNCTION("if(H1744="""", """", SUM(split(H1744, "";"")))"),"")</f>
        <v/>
      </c>
      <c r="K1744" s="68"/>
      <c r="L1744" s="68"/>
      <c r="M1744" s="68"/>
      <c r="N1744" s="68"/>
      <c r="O1744" s="68"/>
      <c r="P1744" s="68"/>
      <c r="Q1744" s="68"/>
      <c r="R1744" s="68"/>
      <c r="S1744" s="68"/>
      <c r="T1744" s="68"/>
      <c r="U1744" s="68"/>
      <c r="V1744" s="68"/>
      <c r="W1744" s="68"/>
      <c r="X1744" s="68"/>
      <c r="Y1744" s="68"/>
      <c r="Z1744" s="68"/>
      <c r="AA1744" s="68"/>
    </row>
    <row r="1745" ht="26.25" customHeight="1">
      <c r="A1745" s="68"/>
      <c r="B1745" s="68"/>
      <c r="C1745" s="68"/>
      <c r="D1745" s="71"/>
      <c r="E1745" s="71"/>
      <c r="F1745" s="71"/>
      <c r="G1745" s="65"/>
      <c r="H1745" s="74"/>
      <c r="I1745" s="67" t="str">
        <f>IFERROR(__xludf.DUMMYFUNCTION("if($H1745="""", """", AVERAGE(split($H1745, "";"")))"),"")</f>
        <v/>
      </c>
      <c r="J1745" s="67" t="str">
        <f>IFERROR(__xludf.DUMMYFUNCTION("if(H1745="""", """", SUM(split(H1745, "";"")))"),"")</f>
        <v/>
      </c>
      <c r="K1745" s="68"/>
      <c r="L1745" s="68"/>
      <c r="M1745" s="68"/>
      <c r="N1745" s="68"/>
      <c r="O1745" s="68"/>
      <c r="P1745" s="68"/>
      <c r="Q1745" s="68"/>
      <c r="R1745" s="68"/>
      <c r="S1745" s="68"/>
      <c r="T1745" s="68"/>
      <c r="U1745" s="68"/>
      <c r="V1745" s="68"/>
      <c r="W1745" s="68"/>
      <c r="X1745" s="68"/>
      <c r="Y1745" s="68"/>
      <c r="Z1745" s="68"/>
      <c r="AA1745" s="68"/>
    </row>
    <row r="1746" ht="26.25" customHeight="1">
      <c r="A1746" s="68"/>
      <c r="B1746" s="68"/>
      <c r="C1746" s="68"/>
      <c r="D1746" s="71"/>
      <c r="E1746" s="71"/>
      <c r="F1746" s="71"/>
      <c r="G1746" s="65"/>
      <c r="H1746" s="74"/>
      <c r="I1746" s="67" t="str">
        <f>IFERROR(__xludf.DUMMYFUNCTION("if($H1746="""", """", AVERAGE(split($H1746, "";"")))"),"")</f>
        <v/>
      </c>
      <c r="J1746" s="67" t="str">
        <f>IFERROR(__xludf.DUMMYFUNCTION("if(H1746="""", """", SUM(split(H1746, "";"")))"),"")</f>
        <v/>
      </c>
      <c r="K1746" s="68"/>
      <c r="L1746" s="68"/>
      <c r="M1746" s="68"/>
      <c r="N1746" s="68"/>
      <c r="O1746" s="68"/>
      <c r="P1746" s="68"/>
      <c r="Q1746" s="68"/>
      <c r="R1746" s="68"/>
      <c r="S1746" s="68"/>
      <c r="T1746" s="68"/>
      <c r="U1746" s="68"/>
      <c r="V1746" s="68"/>
      <c r="W1746" s="68"/>
      <c r="X1746" s="68"/>
      <c r="Y1746" s="68"/>
      <c r="Z1746" s="68"/>
      <c r="AA1746" s="68"/>
    </row>
    <row r="1747" ht="26.25" customHeight="1">
      <c r="A1747" s="68"/>
      <c r="B1747" s="68"/>
      <c r="C1747" s="68"/>
      <c r="D1747" s="71"/>
      <c r="E1747" s="71"/>
      <c r="F1747" s="71"/>
      <c r="G1747" s="65"/>
      <c r="H1747" s="74"/>
      <c r="I1747" s="67" t="str">
        <f>IFERROR(__xludf.DUMMYFUNCTION("if($H1747="""", """", AVERAGE(split($H1747, "";"")))"),"")</f>
        <v/>
      </c>
      <c r="J1747" s="67" t="str">
        <f>IFERROR(__xludf.DUMMYFUNCTION("if(H1747="""", """", SUM(split(H1747, "";"")))"),"")</f>
        <v/>
      </c>
      <c r="K1747" s="68"/>
      <c r="L1747" s="68"/>
      <c r="M1747" s="68"/>
      <c r="N1747" s="68"/>
      <c r="O1747" s="68"/>
      <c r="P1747" s="68"/>
      <c r="Q1747" s="68"/>
      <c r="R1747" s="68"/>
      <c r="S1747" s="68"/>
      <c r="T1747" s="68"/>
      <c r="U1747" s="68"/>
      <c r="V1747" s="68"/>
      <c r="W1747" s="68"/>
      <c r="X1747" s="68"/>
      <c r="Y1747" s="68"/>
      <c r="Z1747" s="68"/>
      <c r="AA1747" s="68"/>
    </row>
    <row r="1748" ht="26.25" customHeight="1">
      <c r="A1748" s="68"/>
      <c r="B1748" s="68"/>
      <c r="C1748" s="68"/>
      <c r="D1748" s="71"/>
      <c r="E1748" s="71"/>
      <c r="F1748" s="71"/>
      <c r="G1748" s="65"/>
      <c r="H1748" s="74"/>
      <c r="I1748" s="67" t="str">
        <f>IFERROR(__xludf.DUMMYFUNCTION("if($H1748="""", """", AVERAGE(split($H1748, "";"")))"),"")</f>
        <v/>
      </c>
      <c r="J1748" s="67" t="str">
        <f>IFERROR(__xludf.DUMMYFUNCTION("if(H1748="""", """", SUM(split(H1748, "";"")))"),"")</f>
        <v/>
      </c>
      <c r="K1748" s="68"/>
      <c r="L1748" s="68"/>
      <c r="M1748" s="68"/>
      <c r="N1748" s="68"/>
      <c r="O1748" s="68"/>
      <c r="P1748" s="68"/>
      <c r="Q1748" s="68"/>
      <c r="R1748" s="68"/>
      <c r="S1748" s="68"/>
      <c r="T1748" s="68"/>
      <c r="U1748" s="68"/>
      <c r="V1748" s="68"/>
      <c r="W1748" s="68"/>
      <c r="X1748" s="68"/>
      <c r="Y1748" s="68"/>
      <c r="Z1748" s="68"/>
      <c r="AA1748" s="68"/>
    </row>
    <row r="1749" ht="26.25" customHeight="1">
      <c r="A1749" s="68"/>
      <c r="B1749" s="68"/>
      <c r="C1749" s="68"/>
      <c r="D1749" s="71"/>
      <c r="E1749" s="71"/>
      <c r="F1749" s="71"/>
      <c r="G1749" s="65"/>
      <c r="H1749" s="74"/>
      <c r="I1749" s="67" t="str">
        <f>IFERROR(__xludf.DUMMYFUNCTION("if($H1749="""", """", AVERAGE(split($H1749, "";"")))"),"")</f>
        <v/>
      </c>
      <c r="J1749" s="67" t="str">
        <f>IFERROR(__xludf.DUMMYFUNCTION("if(H1749="""", """", SUM(split(H1749, "";"")))"),"")</f>
        <v/>
      </c>
      <c r="K1749" s="68"/>
      <c r="L1749" s="68"/>
      <c r="M1749" s="68"/>
      <c r="N1749" s="68"/>
      <c r="O1749" s="68"/>
      <c r="P1749" s="68"/>
      <c r="Q1749" s="68"/>
      <c r="R1749" s="68"/>
      <c r="S1749" s="68"/>
      <c r="T1749" s="68"/>
      <c r="U1749" s="68"/>
      <c r="V1749" s="68"/>
      <c r="W1749" s="68"/>
      <c r="X1749" s="68"/>
      <c r="Y1749" s="68"/>
      <c r="Z1749" s="68"/>
      <c r="AA1749" s="68"/>
    </row>
    <row r="1750" ht="26.25" customHeight="1">
      <c r="A1750" s="68"/>
      <c r="B1750" s="68"/>
      <c r="C1750" s="68"/>
      <c r="D1750" s="71"/>
      <c r="E1750" s="71"/>
      <c r="F1750" s="71"/>
      <c r="G1750" s="65"/>
      <c r="H1750" s="74"/>
      <c r="I1750" s="67" t="str">
        <f>IFERROR(__xludf.DUMMYFUNCTION("if($H1750="""", """", AVERAGE(split($H1750, "";"")))"),"")</f>
        <v/>
      </c>
      <c r="J1750" s="67" t="str">
        <f>IFERROR(__xludf.DUMMYFUNCTION("if(H1750="""", """", SUM(split(H1750, "";"")))"),"")</f>
        <v/>
      </c>
      <c r="K1750" s="68"/>
      <c r="L1750" s="68"/>
      <c r="M1750" s="68"/>
      <c r="N1750" s="68"/>
      <c r="O1750" s="68"/>
      <c r="P1750" s="68"/>
      <c r="Q1750" s="68"/>
      <c r="R1750" s="68"/>
      <c r="S1750" s="68"/>
      <c r="T1750" s="68"/>
      <c r="U1750" s="68"/>
      <c r="V1750" s="68"/>
      <c r="W1750" s="68"/>
      <c r="X1750" s="68"/>
      <c r="Y1750" s="68"/>
      <c r="Z1750" s="68"/>
      <c r="AA1750" s="68"/>
    </row>
    <row r="1751" ht="26.25" customHeight="1">
      <c r="A1751" s="68"/>
      <c r="B1751" s="68"/>
      <c r="C1751" s="68"/>
      <c r="D1751" s="71"/>
      <c r="E1751" s="71"/>
      <c r="F1751" s="71"/>
      <c r="G1751" s="65"/>
      <c r="H1751" s="74"/>
      <c r="I1751" s="67" t="str">
        <f>IFERROR(__xludf.DUMMYFUNCTION("if($H1751="""", """", AVERAGE(split($H1751, "";"")))"),"")</f>
        <v/>
      </c>
      <c r="J1751" s="67" t="str">
        <f>IFERROR(__xludf.DUMMYFUNCTION("if(H1751="""", """", SUM(split(H1751, "";"")))"),"")</f>
        <v/>
      </c>
      <c r="K1751" s="68"/>
      <c r="L1751" s="68"/>
      <c r="M1751" s="68"/>
      <c r="N1751" s="68"/>
      <c r="O1751" s="68"/>
      <c r="P1751" s="68"/>
      <c r="Q1751" s="68"/>
      <c r="R1751" s="68"/>
      <c r="S1751" s="68"/>
      <c r="T1751" s="68"/>
      <c r="U1751" s="68"/>
      <c r="V1751" s="68"/>
      <c r="W1751" s="68"/>
      <c r="X1751" s="68"/>
      <c r="Y1751" s="68"/>
      <c r="Z1751" s="68"/>
      <c r="AA1751" s="68"/>
    </row>
    <row r="1752" ht="26.25" customHeight="1">
      <c r="A1752" s="68"/>
      <c r="B1752" s="68"/>
      <c r="C1752" s="68"/>
      <c r="D1752" s="71"/>
      <c r="E1752" s="71"/>
      <c r="F1752" s="71"/>
      <c r="G1752" s="65"/>
      <c r="H1752" s="74"/>
      <c r="I1752" s="67" t="str">
        <f>IFERROR(__xludf.DUMMYFUNCTION("if($H1752="""", """", AVERAGE(split($H1752, "";"")))"),"")</f>
        <v/>
      </c>
      <c r="J1752" s="67" t="str">
        <f>IFERROR(__xludf.DUMMYFUNCTION("if(H1752="""", """", SUM(split(H1752, "";"")))"),"")</f>
        <v/>
      </c>
      <c r="K1752" s="68"/>
      <c r="L1752" s="68"/>
      <c r="M1752" s="68"/>
      <c r="N1752" s="68"/>
      <c r="O1752" s="68"/>
      <c r="P1752" s="68"/>
      <c r="Q1752" s="68"/>
      <c r="R1752" s="68"/>
      <c r="S1752" s="68"/>
      <c r="T1752" s="68"/>
      <c r="U1752" s="68"/>
      <c r="V1752" s="68"/>
      <c r="W1752" s="68"/>
      <c r="X1752" s="68"/>
      <c r="Y1752" s="68"/>
      <c r="Z1752" s="68"/>
      <c r="AA1752" s="68"/>
    </row>
    <row r="1753" ht="26.25" customHeight="1">
      <c r="A1753" s="68"/>
      <c r="B1753" s="68"/>
      <c r="C1753" s="68"/>
      <c r="D1753" s="71"/>
      <c r="E1753" s="71"/>
      <c r="F1753" s="71"/>
      <c r="G1753" s="65"/>
      <c r="H1753" s="74"/>
      <c r="I1753" s="67" t="str">
        <f>IFERROR(__xludf.DUMMYFUNCTION("if($H1753="""", """", AVERAGE(split($H1753, "";"")))"),"")</f>
        <v/>
      </c>
      <c r="J1753" s="67" t="str">
        <f>IFERROR(__xludf.DUMMYFUNCTION("if(H1753="""", """", SUM(split(H1753, "";"")))"),"")</f>
        <v/>
      </c>
      <c r="K1753" s="68"/>
      <c r="L1753" s="68"/>
      <c r="M1753" s="68"/>
      <c r="N1753" s="68"/>
      <c r="O1753" s="68"/>
      <c r="P1753" s="68"/>
      <c r="Q1753" s="68"/>
      <c r="R1753" s="68"/>
      <c r="S1753" s="68"/>
      <c r="T1753" s="68"/>
      <c r="U1753" s="68"/>
      <c r="V1753" s="68"/>
      <c r="W1753" s="68"/>
      <c r="X1753" s="68"/>
      <c r="Y1753" s="68"/>
      <c r="Z1753" s="68"/>
      <c r="AA1753" s="68"/>
    </row>
    <row r="1754" ht="26.25" customHeight="1">
      <c r="A1754" s="68"/>
      <c r="B1754" s="68"/>
      <c r="C1754" s="68"/>
      <c r="D1754" s="71"/>
      <c r="E1754" s="71"/>
      <c r="F1754" s="71"/>
      <c r="G1754" s="65"/>
      <c r="H1754" s="74"/>
      <c r="I1754" s="67" t="str">
        <f>IFERROR(__xludf.DUMMYFUNCTION("if($H1754="""", """", AVERAGE(split($H1754, "";"")))"),"")</f>
        <v/>
      </c>
      <c r="J1754" s="67" t="str">
        <f>IFERROR(__xludf.DUMMYFUNCTION("if(H1754="""", """", SUM(split(H1754, "";"")))"),"")</f>
        <v/>
      </c>
      <c r="K1754" s="68"/>
      <c r="L1754" s="68"/>
      <c r="M1754" s="68"/>
      <c r="N1754" s="68"/>
      <c r="O1754" s="68"/>
      <c r="P1754" s="68"/>
      <c r="Q1754" s="68"/>
      <c r="R1754" s="68"/>
      <c r="S1754" s="68"/>
      <c r="T1754" s="68"/>
      <c r="U1754" s="68"/>
      <c r="V1754" s="68"/>
      <c r="W1754" s="68"/>
      <c r="X1754" s="68"/>
      <c r="Y1754" s="68"/>
      <c r="Z1754" s="68"/>
      <c r="AA1754" s="68"/>
    </row>
    <row r="1755" ht="26.25" customHeight="1">
      <c r="A1755" s="68"/>
      <c r="B1755" s="68"/>
      <c r="C1755" s="68"/>
      <c r="D1755" s="71"/>
      <c r="E1755" s="71"/>
      <c r="F1755" s="71"/>
      <c r="G1755" s="65"/>
      <c r="H1755" s="74"/>
      <c r="I1755" s="67" t="str">
        <f>IFERROR(__xludf.DUMMYFUNCTION("if($H1755="""", """", AVERAGE(split($H1755, "";"")))"),"")</f>
        <v/>
      </c>
      <c r="J1755" s="67" t="str">
        <f>IFERROR(__xludf.DUMMYFUNCTION("if(H1755="""", """", SUM(split(H1755, "";"")))"),"")</f>
        <v/>
      </c>
      <c r="K1755" s="68"/>
      <c r="L1755" s="68"/>
      <c r="M1755" s="68"/>
      <c r="N1755" s="68"/>
      <c r="O1755" s="68"/>
      <c r="P1755" s="68"/>
      <c r="Q1755" s="68"/>
      <c r="R1755" s="68"/>
      <c r="S1755" s="68"/>
      <c r="T1755" s="68"/>
      <c r="U1755" s="68"/>
      <c r="V1755" s="68"/>
      <c r="W1755" s="68"/>
      <c r="X1755" s="68"/>
      <c r="Y1755" s="68"/>
      <c r="Z1755" s="68"/>
      <c r="AA1755" s="68"/>
    </row>
    <row r="1756" ht="26.25" customHeight="1">
      <c r="A1756" s="68"/>
      <c r="B1756" s="68"/>
      <c r="C1756" s="68"/>
      <c r="D1756" s="71"/>
      <c r="E1756" s="71"/>
      <c r="F1756" s="71"/>
      <c r="G1756" s="65"/>
      <c r="H1756" s="74"/>
      <c r="I1756" s="67" t="str">
        <f>IFERROR(__xludf.DUMMYFUNCTION("if($H1756="""", """", AVERAGE(split($H1756, "";"")))"),"")</f>
        <v/>
      </c>
      <c r="J1756" s="67" t="str">
        <f>IFERROR(__xludf.DUMMYFUNCTION("if(H1756="""", """", SUM(split(H1756, "";"")))"),"")</f>
        <v/>
      </c>
      <c r="K1756" s="68"/>
      <c r="L1756" s="68"/>
      <c r="M1756" s="68"/>
      <c r="N1756" s="68"/>
      <c r="O1756" s="68"/>
      <c r="P1756" s="68"/>
      <c r="Q1756" s="68"/>
      <c r="R1756" s="68"/>
      <c r="S1756" s="68"/>
      <c r="T1756" s="68"/>
      <c r="U1756" s="68"/>
      <c r="V1756" s="68"/>
      <c r="W1756" s="68"/>
      <c r="X1756" s="68"/>
      <c r="Y1756" s="68"/>
      <c r="Z1756" s="68"/>
      <c r="AA1756" s="68"/>
    </row>
    <row r="1757" ht="26.25" customHeight="1">
      <c r="A1757" s="68"/>
      <c r="B1757" s="68"/>
      <c r="C1757" s="68"/>
      <c r="D1757" s="71"/>
      <c r="E1757" s="71"/>
      <c r="F1757" s="71"/>
      <c r="G1757" s="65"/>
      <c r="H1757" s="74"/>
      <c r="I1757" s="67" t="str">
        <f>IFERROR(__xludf.DUMMYFUNCTION("if($H1757="""", """", AVERAGE(split($H1757, "";"")))"),"")</f>
        <v/>
      </c>
      <c r="J1757" s="67" t="str">
        <f>IFERROR(__xludf.DUMMYFUNCTION("if(H1757="""", """", SUM(split(H1757, "";"")))"),"")</f>
        <v/>
      </c>
      <c r="K1757" s="68"/>
      <c r="L1757" s="68"/>
      <c r="M1757" s="68"/>
      <c r="N1757" s="68"/>
      <c r="O1757" s="68"/>
      <c r="P1757" s="68"/>
      <c r="Q1757" s="68"/>
      <c r="R1757" s="68"/>
      <c r="S1757" s="68"/>
      <c r="T1757" s="68"/>
      <c r="U1757" s="68"/>
      <c r="V1757" s="68"/>
      <c r="W1757" s="68"/>
      <c r="X1757" s="68"/>
      <c r="Y1757" s="68"/>
      <c r="Z1757" s="68"/>
      <c r="AA1757" s="68"/>
    </row>
    <row r="1758" ht="26.25" customHeight="1">
      <c r="A1758" s="68"/>
      <c r="B1758" s="68"/>
      <c r="C1758" s="68"/>
      <c r="D1758" s="71"/>
      <c r="E1758" s="71"/>
      <c r="F1758" s="71"/>
      <c r="G1758" s="65"/>
      <c r="H1758" s="74"/>
      <c r="I1758" s="67" t="str">
        <f>IFERROR(__xludf.DUMMYFUNCTION("if($H1758="""", """", AVERAGE(split($H1758, "";"")))"),"")</f>
        <v/>
      </c>
      <c r="J1758" s="67" t="str">
        <f>IFERROR(__xludf.DUMMYFUNCTION("if(H1758="""", """", SUM(split(H1758, "";"")))"),"")</f>
        <v/>
      </c>
      <c r="K1758" s="68"/>
      <c r="L1758" s="68"/>
      <c r="M1758" s="68"/>
      <c r="N1758" s="68"/>
      <c r="O1758" s="68"/>
      <c r="P1758" s="68"/>
      <c r="Q1758" s="68"/>
      <c r="R1758" s="68"/>
      <c r="S1758" s="68"/>
      <c r="T1758" s="68"/>
      <c r="U1758" s="68"/>
      <c r="V1758" s="68"/>
      <c r="W1758" s="68"/>
      <c r="X1758" s="68"/>
      <c r="Y1758" s="68"/>
      <c r="Z1758" s="68"/>
      <c r="AA1758" s="68"/>
    </row>
    <row r="1759" ht="26.25" customHeight="1">
      <c r="A1759" s="68"/>
      <c r="B1759" s="68"/>
      <c r="C1759" s="68"/>
      <c r="D1759" s="71"/>
      <c r="E1759" s="71"/>
      <c r="F1759" s="71"/>
      <c r="G1759" s="65"/>
      <c r="H1759" s="74"/>
      <c r="I1759" s="67" t="str">
        <f>IFERROR(__xludf.DUMMYFUNCTION("if($H1759="""", """", AVERAGE(split($H1759, "";"")))"),"")</f>
        <v/>
      </c>
      <c r="J1759" s="67" t="str">
        <f>IFERROR(__xludf.DUMMYFUNCTION("if(H1759="""", """", SUM(split(H1759, "";"")))"),"")</f>
        <v/>
      </c>
      <c r="K1759" s="68"/>
      <c r="L1759" s="68"/>
      <c r="M1759" s="68"/>
      <c r="N1759" s="68"/>
      <c r="O1759" s="68"/>
      <c r="P1759" s="68"/>
      <c r="Q1759" s="68"/>
      <c r="R1759" s="68"/>
      <c r="S1759" s="68"/>
      <c r="T1759" s="68"/>
      <c r="U1759" s="68"/>
      <c r="V1759" s="68"/>
      <c r="W1759" s="68"/>
      <c r="X1759" s="68"/>
      <c r="Y1759" s="68"/>
      <c r="Z1759" s="68"/>
      <c r="AA1759" s="68"/>
    </row>
    <row r="1760" ht="26.25" customHeight="1">
      <c r="A1760" s="68"/>
      <c r="B1760" s="68"/>
      <c r="C1760" s="68"/>
      <c r="D1760" s="71"/>
      <c r="E1760" s="71"/>
      <c r="F1760" s="71"/>
      <c r="G1760" s="65"/>
      <c r="H1760" s="74"/>
      <c r="I1760" s="67" t="str">
        <f>IFERROR(__xludf.DUMMYFUNCTION("if($H1760="""", """", AVERAGE(split($H1760, "";"")))"),"")</f>
        <v/>
      </c>
      <c r="J1760" s="67" t="str">
        <f>IFERROR(__xludf.DUMMYFUNCTION("if(H1760="""", """", SUM(split(H1760, "";"")))"),"")</f>
        <v/>
      </c>
      <c r="K1760" s="68"/>
      <c r="L1760" s="68"/>
      <c r="M1760" s="68"/>
      <c r="N1760" s="68"/>
      <c r="O1760" s="68"/>
      <c r="P1760" s="68"/>
      <c r="Q1760" s="68"/>
      <c r="R1760" s="68"/>
      <c r="S1760" s="68"/>
      <c r="T1760" s="68"/>
      <c r="U1760" s="68"/>
      <c r="V1760" s="68"/>
      <c r="W1760" s="68"/>
      <c r="X1760" s="68"/>
      <c r="Y1760" s="68"/>
      <c r="Z1760" s="68"/>
      <c r="AA1760" s="68"/>
    </row>
    <row r="1761" ht="26.25" customHeight="1">
      <c r="A1761" s="68"/>
      <c r="B1761" s="68"/>
      <c r="C1761" s="68"/>
      <c r="D1761" s="71"/>
      <c r="E1761" s="71"/>
      <c r="F1761" s="71"/>
      <c r="G1761" s="65"/>
      <c r="H1761" s="74"/>
      <c r="I1761" s="67" t="str">
        <f>IFERROR(__xludf.DUMMYFUNCTION("if($H1761="""", """", AVERAGE(split($H1761, "";"")))"),"")</f>
        <v/>
      </c>
      <c r="J1761" s="67" t="str">
        <f>IFERROR(__xludf.DUMMYFUNCTION("if(H1761="""", """", SUM(split(H1761, "";"")))"),"")</f>
        <v/>
      </c>
      <c r="K1761" s="68"/>
      <c r="L1761" s="68"/>
      <c r="M1761" s="68"/>
      <c r="N1761" s="68"/>
      <c r="O1761" s="68"/>
      <c r="P1761" s="68"/>
      <c r="Q1761" s="68"/>
      <c r="R1761" s="68"/>
      <c r="S1761" s="68"/>
      <c r="T1761" s="68"/>
      <c r="U1761" s="68"/>
      <c r="V1761" s="68"/>
      <c r="W1761" s="68"/>
      <c r="X1761" s="68"/>
      <c r="Y1761" s="68"/>
      <c r="Z1761" s="68"/>
      <c r="AA1761" s="68"/>
    </row>
    <row r="1762" ht="26.25" customHeight="1">
      <c r="A1762" s="68"/>
      <c r="B1762" s="68"/>
      <c r="C1762" s="68"/>
      <c r="D1762" s="71"/>
      <c r="E1762" s="71"/>
      <c r="F1762" s="71"/>
      <c r="G1762" s="65"/>
      <c r="H1762" s="74"/>
      <c r="I1762" s="67" t="str">
        <f>IFERROR(__xludf.DUMMYFUNCTION("if($H1762="""", """", AVERAGE(split($H1762, "";"")))"),"")</f>
        <v/>
      </c>
      <c r="J1762" s="67" t="str">
        <f>IFERROR(__xludf.DUMMYFUNCTION("if(H1762="""", """", SUM(split(H1762, "";"")))"),"")</f>
        <v/>
      </c>
      <c r="K1762" s="68"/>
      <c r="L1762" s="68"/>
      <c r="M1762" s="68"/>
      <c r="N1762" s="68"/>
      <c r="O1762" s="68"/>
      <c r="P1762" s="68"/>
      <c r="Q1762" s="68"/>
      <c r="R1762" s="68"/>
      <c r="S1762" s="68"/>
      <c r="T1762" s="68"/>
      <c r="U1762" s="68"/>
      <c r="V1762" s="68"/>
      <c r="W1762" s="68"/>
      <c r="X1762" s="68"/>
      <c r="Y1762" s="68"/>
      <c r="Z1762" s="68"/>
      <c r="AA1762" s="68"/>
    </row>
    <row r="1763" ht="26.25" customHeight="1">
      <c r="A1763" s="68"/>
      <c r="B1763" s="68"/>
      <c r="C1763" s="68"/>
      <c r="D1763" s="71"/>
      <c r="E1763" s="71"/>
      <c r="F1763" s="71"/>
      <c r="G1763" s="65"/>
      <c r="H1763" s="74"/>
      <c r="I1763" s="67" t="str">
        <f>IFERROR(__xludf.DUMMYFUNCTION("if($H1763="""", """", AVERAGE(split($H1763, "";"")))"),"")</f>
        <v/>
      </c>
      <c r="J1763" s="67" t="str">
        <f>IFERROR(__xludf.DUMMYFUNCTION("if(H1763="""", """", SUM(split(H1763, "";"")))"),"")</f>
        <v/>
      </c>
      <c r="K1763" s="68"/>
      <c r="L1763" s="68"/>
      <c r="M1763" s="68"/>
      <c r="N1763" s="68"/>
      <c r="O1763" s="68"/>
      <c r="P1763" s="68"/>
      <c r="Q1763" s="68"/>
      <c r="R1763" s="68"/>
      <c r="S1763" s="68"/>
      <c r="T1763" s="68"/>
      <c r="U1763" s="68"/>
      <c r="V1763" s="68"/>
      <c r="W1763" s="68"/>
      <c r="X1763" s="68"/>
      <c r="Y1763" s="68"/>
      <c r="Z1763" s="68"/>
      <c r="AA1763" s="68"/>
    </row>
    <row r="1764" ht="26.25" customHeight="1">
      <c r="A1764" s="68"/>
      <c r="B1764" s="68"/>
      <c r="C1764" s="68"/>
      <c r="D1764" s="71"/>
      <c r="E1764" s="71"/>
      <c r="F1764" s="71"/>
      <c r="G1764" s="65"/>
      <c r="H1764" s="74"/>
      <c r="I1764" s="67" t="str">
        <f>IFERROR(__xludf.DUMMYFUNCTION("if($H1764="""", """", AVERAGE(split($H1764, "";"")))"),"")</f>
        <v/>
      </c>
      <c r="J1764" s="67" t="str">
        <f>IFERROR(__xludf.DUMMYFUNCTION("if(H1764="""", """", SUM(split(H1764, "";"")))"),"")</f>
        <v/>
      </c>
      <c r="K1764" s="68"/>
      <c r="L1764" s="68"/>
      <c r="M1764" s="68"/>
      <c r="N1764" s="68"/>
      <c r="O1764" s="68"/>
      <c r="P1764" s="68"/>
      <c r="Q1764" s="68"/>
      <c r="R1764" s="68"/>
      <c r="S1764" s="68"/>
      <c r="T1764" s="68"/>
      <c r="U1764" s="68"/>
      <c r="V1764" s="68"/>
      <c r="W1764" s="68"/>
      <c r="X1764" s="68"/>
      <c r="Y1764" s="68"/>
      <c r="Z1764" s="68"/>
      <c r="AA1764" s="68"/>
    </row>
    <row r="1765" ht="26.25" customHeight="1">
      <c r="A1765" s="68"/>
      <c r="B1765" s="68"/>
      <c r="C1765" s="68"/>
      <c r="D1765" s="71"/>
      <c r="E1765" s="71"/>
      <c r="F1765" s="71"/>
      <c r="G1765" s="65"/>
      <c r="H1765" s="74"/>
      <c r="I1765" s="67" t="str">
        <f>IFERROR(__xludf.DUMMYFUNCTION("if($H1765="""", """", AVERAGE(split($H1765, "";"")))"),"")</f>
        <v/>
      </c>
      <c r="J1765" s="67" t="str">
        <f>IFERROR(__xludf.DUMMYFUNCTION("if(H1765="""", """", SUM(split(H1765, "";"")))"),"")</f>
        <v/>
      </c>
      <c r="K1765" s="68"/>
      <c r="L1765" s="68"/>
      <c r="M1765" s="68"/>
      <c r="N1765" s="68"/>
      <c r="O1765" s="68"/>
      <c r="P1765" s="68"/>
      <c r="Q1765" s="68"/>
      <c r="R1765" s="68"/>
      <c r="S1765" s="68"/>
      <c r="T1765" s="68"/>
      <c r="U1765" s="68"/>
      <c r="V1765" s="68"/>
      <c r="W1765" s="68"/>
      <c r="X1765" s="68"/>
      <c r="Y1765" s="68"/>
      <c r="Z1765" s="68"/>
      <c r="AA1765" s="68"/>
    </row>
    <row r="1766" ht="26.25" customHeight="1">
      <c r="A1766" s="68"/>
      <c r="B1766" s="68"/>
      <c r="C1766" s="68"/>
      <c r="D1766" s="71"/>
      <c r="E1766" s="71"/>
      <c r="F1766" s="71"/>
      <c r="G1766" s="65"/>
      <c r="H1766" s="74"/>
      <c r="I1766" s="67" t="str">
        <f>IFERROR(__xludf.DUMMYFUNCTION("if($H1766="""", """", AVERAGE(split($H1766, "";"")))"),"")</f>
        <v/>
      </c>
      <c r="J1766" s="67" t="str">
        <f>IFERROR(__xludf.DUMMYFUNCTION("if(H1766="""", """", SUM(split(H1766, "";"")))"),"")</f>
        <v/>
      </c>
      <c r="K1766" s="68"/>
      <c r="L1766" s="68"/>
      <c r="M1766" s="68"/>
      <c r="N1766" s="68"/>
      <c r="O1766" s="68"/>
      <c r="P1766" s="68"/>
      <c r="Q1766" s="68"/>
      <c r="R1766" s="68"/>
      <c r="S1766" s="68"/>
      <c r="T1766" s="68"/>
      <c r="U1766" s="68"/>
      <c r="V1766" s="68"/>
      <c r="W1766" s="68"/>
      <c r="X1766" s="68"/>
      <c r="Y1766" s="68"/>
      <c r="Z1766" s="68"/>
      <c r="AA1766" s="68"/>
    </row>
    <row r="1767" ht="26.25" customHeight="1">
      <c r="A1767" s="68"/>
      <c r="B1767" s="68"/>
      <c r="C1767" s="68"/>
      <c r="D1767" s="71"/>
      <c r="E1767" s="71"/>
      <c r="F1767" s="71"/>
      <c r="G1767" s="65"/>
      <c r="H1767" s="74"/>
      <c r="I1767" s="67" t="str">
        <f>IFERROR(__xludf.DUMMYFUNCTION("if($H1767="""", """", AVERAGE(split($H1767, "";"")))"),"")</f>
        <v/>
      </c>
      <c r="J1767" s="67" t="str">
        <f>IFERROR(__xludf.DUMMYFUNCTION("if(H1767="""", """", SUM(split(H1767, "";"")))"),"")</f>
        <v/>
      </c>
      <c r="K1767" s="68"/>
      <c r="L1767" s="68"/>
      <c r="M1767" s="68"/>
      <c r="N1767" s="68"/>
      <c r="O1767" s="68"/>
      <c r="P1767" s="68"/>
      <c r="Q1767" s="68"/>
      <c r="R1767" s="68"/>
      <c r="S1767" s="68"/>
      <c r="T1767" s="68"/>
      <c r="U1767" s="68"/>
      <c r="V1767" s="68"/>
      <c r="W1767" s="68"/>
      <c r="X1767" s="68"/>
      <c r="Y1767" s="68"/>
      <c r="Z1767" s="68"/>
      <c r="AA1767" s="68"/>
    </row>
    <row r="1768" ht="26.25" customHeight="1">
      <c r="A1768" s="68"/>
      <c r="B1768" s="68"/>
      <c r="C1768" s="68"/>
      <c r="D1768" s="71"/>
      <c r="E1768" s="71"/>
      <c r="F1768" s="71"/>
      <c r="G1768" s="65"/>
      <c r="H1768" s="74"/>
      <c r="I1768" s="67" t="str">
        <f>IFERROR(__xludf.DUMMYFUNCTION("if($H1768="""", """", AVERAGE(split($H1768, "";"")))"),"")</f>
        <v/>
      </c>
      <c r="J1768" s="67" t="str">
        <f>IFERROR(__xludf.DUMMYFUNCTION("if(H1768="""", """", SUM(split(H1768, "";"")))"),"")</f>
        <v/>
      </c>
      <c r="K1768" s="68"/>
      <c r="L1768" s="68"/>
      <c r="M1768" s="68"/>
      <c r="N1768" s="68"/>
      <c r="O1768" s="68"/>
      <c r="P1768" s="68"/>
      <c r="Q1768" s="68"/>
      <c r="R1768" s="68"/>
      <c r="S1768" s="68"/>
      <c r="T1768" s="68"/>
      <c r="U1768" s="68"/>
      <c r="V1768" s="68"/>
      <c r="W1768" s="68"/>
      <c r="X1768" s="68"/>
      <c r="Y1768" s="68"/>
      <c r="Z1768" s="68"/>
      <c r="AA1768" s="68"/>
    </row>
    <row r="1769" ht="26.25" customHeight="1">
      <c r="A1769" s="68"/>
      <c r="B1769" s="68"/>
      <c r="C1769" s="68"/>
      <c r="D1769" s="71"/>
      <c r="E1769" s="71"/>
      <c r="F1769" s="71"/>
      <c r="G1769" s="65"/>
      <c r="H1769" s="74"/>
      <c r="I1769" s="67" t="str">
        <f>IFERROR(__xludf.DUMMYFUNCTION("if($H1769="""", """", AVERAGE(split($H1769, "";"")))"),"")</f>
        <v/>
      </c>
      <c r="J1769" s="67" t="str">
        <f>IFERROR(__xludf.DUMMYFUNCTION("if(H1769="""", """", SUM(split(H1769, "";"")))"),"")</f>
        <v/>
      </c>
      <c r="K1769" s="68"/>
      <c r="L1769" s="68"/>
      <c r="M1769" s="68"/>
      <c r="N1769" s="68"/>
      <c r="O1769" s="68"/>
      <c r="P1769" s="68"/>
      <c r="Q1769" s="68"/>
      <c r="R1769" s="68"/>
      <c r="S1769" s="68"/>
      <c r="T1769" s="68"/>
      <c r="U1769" s="68"/>
      <c r="V1769" s="68"/>
      <c r="W1769" s="68"/>
      <c r="X1769" s="68"/>
      <c r="Y1769" s="68"/>
      <c r="Z1769" s="68"/>
      <c r="AA1769" s="68"/>
    </row>
    <row r="1770" ht="26.25" customHeight="1">
      <c r="A1770" s="68"/>
      <c r="B1770" s="68"/>
      <c r="C1770" s="68"/>
      <c r="D1770" s="71"/>
      <c r="E1770" s="71"/>
      <c r="F1770" s="71"/>
      <c r="G1770" s="65"/>
      <c r="H1770" s="74"/>
      <c r="I1770" s="67" t="str">
        <f>IFERROR(__xludf.DUMMYFUNCTION("if($H1770="""", """", AVERAGE(split($H1770, "";"")))"),"")</f>
        <v/>
      </c>
      <c r="J1770" s="67" t="str">
        <f>IFERROR(__xludf.DUMMYFUNCTION("if(H1770="""", """", SUM(split(H1770, "";"")))"),"")</f>
        <v/>
      </c>
      <c r="K1770" s="68"/>
      <c r="L1770" s="68"/>
      <c r="M1770" s="68"/>
      <c r="N1770" s="68"/>
      <c r="O1770" s="68"/>
      <c r="P1770" s="68"/>
      <c r="Q1770" s="68"/>
      <c r="R1770" s="68"/>
      <c r="S1770" s="68"/>
      <c r="T1770" s="68"/>
      <c r="U1770" s="68"/>
      <c r="V1770" s="68"/>
      <c r="W1770" s="68"/>
      <c r="X1770" s="68"/>
      <c r="Y1770" s="68"/>
      <c r="Z1770" s="68"/>
      <c r="AA1770" s="68"/>
    </row>
    <row r="1771" ht="26.25" customHeight="1">
      <c r="A1771" s="68"/>
      <c r="B1771" s="68"/>
      <c r="C1771" s="68"/>
      <c r="D1771" s="71"/>
      <c r="E1771" s="71"/>
      <c r="F1771" s="71"/>
      <c r="G1771" s="65"/>
      <c r="H1771" s="74"/>
      <c r="I1771" s="67" t="str">
        <f>IFERROR(__xludf.DUMMYFUNCTION("if($H1771="""", """", AVERAGE(split($H1771, "";"")))"),"")</f>
        <v/>
      </c>
      <c r="J1771" s="67" t="str">
        <f>IFERROR(__xludf.DUMMYFUNCTION("if(H1771="""", """", SUM(split(H1771, "";"")))"),"")</f>
        <v/>
      </c>
      <c r="K1771" s="68"/>
      <c r="L1771" s="68"/>
      <c r="M1771" s="68"/>
      <c r="N1771" s="68"/>
      <c r="O1771" s="68"/>
      <c r="P1771" s="68"/>
      <c r="Q1771" s="68"/>
      <c r="R1771" s="68"/>
      <c r="S1771" s="68"/>
      <c r="T1771" s="68"/>
      <c r="U1771" s="68"/>
      <c r="V1771" s="68"/>
      <c r="W1771" s="68"/>
      <c r="X1771" s="68"/>
      <c r="Y1771" s="68"/>
      <c r="Z1771" s="68"/>
      <c r="AA1771" s="68"/>
    </row>
    <row r="1772" ht="26.25" customHeight="1">
      <c r="A1772" s="68"/>
      <c r="B1772" s="68"/>
      <c r="C1772" s="68"/>
      <c r="D1772" s="71"/>
      <c r="E1772" s="71"/>
      <c r="F1772" s="71"/>
      <c r="G1772" s="65"/>
      <c r="H1772" s="74"/>
      <c r="I1772" s="67" t="str">
        <f>IFERROR(__xludf.DUMMYFUNCTION("if($H1772="""", """", AVERAGE(split($H1772, "";"")))"),"")</f>
        <v/>
      </c>
      <c r="J1772" s="67" t="str">
        <f>IFERROR(__xludf.DUMMYFUNCTION("if(H1772="""", """", SUM(split(H1772, "";"")))"),"")</f>
        <v/>
      </c>
      <c r="K1772" s="68"/>
      <c r="L1772" s="68"/>
      <c r="M1772" s="68"/>
      <c r="N1772" s="68"/>
      <c r="O1772" s="68"/>
      <c r="P1772" s="68"/>
      <c r="Q1772" s="68"/>
      <c r="R1772" s="68"/>
      <c r="S1772" s="68"/>
      <c r="T1772" s="68"/>
      <c r="U1772" s="68"/>
      <c r="V1772" s="68"/>
      <c r="W1772" s="68"/>
      <c r="X1772" s="68"/>
      <c r="Y1772" s="68"/>
      <c r="Z1772" s="68"/>
      <c r="AA1772" s="68"/>
    </row>
    <row r="1773" ht="26.25" customHeight="1">
      <c r="A1773" s="68"/>
      <c r="B1773" s="68"/>
      <c r="C1773" s="68"/>
      <c r="D1773" s="71"/>
      <c r="E1773" s="71"/>
      <c r="F1773" s="71"/>
      <c r="G1773" s="65"/>
      <c r="H1773" s="74"/>
      <c r="I1773" s="67" t="str">
        <f>IFERROR(__xludf.DUMMYFUNCTION("if($H1773="""", """", AVERAGE(split($H1773, "";"")))"),"")</f>
        <v/>
      </c>
      <c r="J1773" s="67" t="str">
        <f>IFERROR(__xludf.DUMMYFUNCTION("if(H1773="""", """", SUM(split(H1773, "";"")))"),"")</f>
        <v/>
      </c>
      <c r="K1773" s="68"/>
      <c r="L1773" s="68"/>
      <c r="M1773" s="68"/>
      <c r="N1773" s="68"/>
      <c r="O1773" s="68"/>
      <c r="P1773" s="68"/>
      <c r="Q1773" s="68"/>
      <c r="R1773" s="68"/>
      <c r="S1773" s="68"/>
      <c r="T1773" s="68"/>
      <c r="U1773" s="68"/>
      <c r="V1773" s="68"/>
      <c r="W1773" s="68"/>
      <c r="X1773" s="68"/>
      <c r="Y1773" s="68"/>
      <c r="Z1773" s="68"/>
      <c r="AA1773" s="68"/>
    </row>
    <row r="1774" ht="26.25" customHeight="1">
      <c r="A1774" s="68"/>
      <c r="B1774" s="68"/>
      <c r="C1774" s="68"/>
      <c r="D1774" s="71"/>
      <c r="E1774" s="71"/>
      <c r="F1774" s="71"/>
      <c r="G1774" s="65"/>
      <c r="H1774" s="74"/>
      <c r="I1774" s="67" t="str">
        <f>IFERROR(__xludf.DUMMYFUNCTION("if($H1774="""", """", AVERAGE(split($H1774, "";"")))"),"")</f>
        <v/>
      </c>
      <c r="J1774" s="67" t="str">
        <f>IFERROR(__xludf.DUMMYFUNCTION("if(H1774="""", """", SUM(split(H1774, "";"")))"),"")</f>
        <v/>
      </c>
      <c r="K1774" s="68"/>
      <c r="L1774" s="68"/>
      <c r="M1774" s="68"/>
      <c r="N1774" s="68"/>
      <c r="O1774" s="68"/>
      <c r="P1774" s="68"/>
      <c r="Q1774" s="68"/>
      <c r="R1774" s="68"/>
      <c r="S1774" s="68"/>
      <c r="T1774" s="68"/>
      <c r="U1774" s="68"/>
      <c r="V1774" s="68"/>
      <c r="W1774" s="68"/>
      <c r="X1774" s="68"/>
      <c r="Y1774" s="68"/>
      <c r="Z1774" s="68"/>
      <c r="AA1774" s="68"/>
    </row>
    <row r="1775" ht="26.25" customHeight="1">
      <c r="A1775" s="68"/>
      <c r="B1775" s="68"/>
      <c r="C1775" s="68"/>
      <c r="D1775" s="71"/>
      <c r="E1775" s="71"/>
      <c r="F1775" s="71"/>
      <c r="G1775" s="65"/>
      <c r="H1775" s="74"/>
      <c r="I1775" s="67" t="str">
        <f>IFERROR(__xludf.DUMMYFUNCTION("if($H1775="""", """", AVERAGE(split($H1775, "";"")))"),"")</f>
        <v/>
      </c>
      <c r="J1775" s="67" t="str">
        <f>IFERROR(__xludf.DUMMYFUNCTION("if(H1775="""", """", SUM(split(H1775, "";"")))"),"")</f>
        <v/>
      </c>
      <c r="K1775" s="68"/>
      <c r="L1775" s="68"/>
      <c r="M1775" s="68"/>
      <c r="N1775" s="68"/>
      <c r="O1775" s="68"/>
      <c r="P1775" s="68"/>
      <c r="Q1775" s="68"/>
      <c r="R1775" s="68"/>
      <c r="S1775" s="68"/>
      <c r="T1775" s="68"/>
      <c r="U1775" s="68"/>
      <c r="V1775" s="68"/>
      <c r="W1775" s="68"/>
      <c r="X1775" s="68"/>
      <c r="Y1775" s="68"/>
      <c r="Z1775" s="68"/>
      <c r="AA1775" s="68"/>
    </row>
    <row r="1776" ht="26.25" customHeight="1">
      <c r="A1776" s="68"/>
      <c r="B1776" s="68"/>
      <c r="C1776" s="68"/>
      <c r="D1776" s="71"/>
      <c r="E1776" s="71"/>
      <c r="F1776" s="71"/>
      <c r="G1776" s="65"/>
      <c r="H1776" s="74"/>
      <c r="I1776" s="67" t="str">
        <f>IFERROR(__xludf.DUMMYFUNCTION("if($H1776="""", """", AVERAGE(split($H1776, "";"")))"),"")</f>
        <v/>
      </c>
      <c r="J1776" s="67" t="str">
        <f>IFERROR(__xludf.DUMMYFUNCTION("if(H1776="""", """", SUM(split(H1776, "";"")))"),"")</f>
        <v/>
      </c>
      <c r="K1776" s="68"/>
      <c r="L1776" s="68"/>
      <c r="M1776" s="68"/>
      <c r="N1776" s="68"/>
      <c r="O1776" s="68"/>
      <c r="P1776" s="68"/>
      <c r="Q1776" s="68"/>
      <c r="R1776" s="68"/>
      <c r="S1776" s="68"/>
      <c r="T1776" s="68"/>
      <c r="U1776" s="68"/>
      <c r="V1776" s="68"/>
      <c r="W1776" s="68"/>
      <c r="X1776" s="68"/>
      <c r="Y1776" s="68"/>
      <c r="Z1776" s="68"/>
      <c r="AA1776" s="68"/>
    </row>
    <row r="1777" ht="26.25" customHeight="1">
      <c r="A1777" s="68"/>
      <c r="B1777" s="68"/>
      <c r="C1777" s="68"/>
      <c r="D1777" s="71"/>
      <c r="E1777" s="71"/>
      <c r="F1777" s="71"/>
      <c r="G1777" s="65"/>
      <c r="H1777" s="74"/>
      <c r="I1777" s="67" t="str">
        <f>IFERROR(__xludf.DUMMYFUNCTION("if($H1777="""", """", AVERAGE(split($H1777, "";"")))"),"")</f>
        <v/>
      </c>
      <c r="J1777" s="67" t="str">
        <f>IFERROR(__xludf.DUMMYFUNCTION("if(H1777="""", """", SUM(split(H1777, "";"")))"),"")</f>
        <v/>
      </c>
      <c r="K1777" s="68"/>
      <c r="L1777" s="68"/>
      <c r="M1777" s="68"/>
      <c r="N1777" s="68"/>
      <c r="O1777" s="68"/>
      <c r="P1777" s="68"/>
      <c r="Q1777" s="68"/>
      <c r="R1777" s="68"/>
      <c r="S1777" s="68"/>
      <c r="T1777" s="68"/>
      <c r="U1777" s="68"/>
      <c r="V1777" s="68"/>
      <c r="W1777" s="68"/>
      <c r="X1777" s="68"/>
      <c r="Y1777" s="68"/>
      <c r="Z1777" s="68"/>
      <c r="AA1777" s="68"/>
    </row>
    <row r="1778" ht="26.25" customHeight="1">
      <c r="A1778" s="68"/>
      <c r="B1778" s="68"/>
      <c r="C1778" s="68"/>
      <c r="D1778" s="71"/>
      <c r="E1778" s="71"/>
      <c r="F1778" s="71"/>
      <c r="G1778" s="65"/>
      <c r="H1778" s="74"/>
      <c r="I1778" s="67" t="str">
        <f>IFERROR(__xludf.DUMMYFUNCTION("if($H1778="""", """", AVERAGE(split($H1778, "";"")))"),"")</f>
        <v/>
      </c>
      <c r="J1778" s="67" t="str">
        <f>IFERROR(__xludf.DUMMYFUNCTION("if(H1778="""", """", SUM(split(H1778, "";"")))"),"")</f>
        <v/>
      </c>
      <c r="K1778" s="68"/>
      <c r="L1778" s="68"/>
      <c r="M1778" s="68"/>
      <c r="N1778" s="68"/>
      <c r="O1778" s="68"/>
      <c r="P1778" s="68"/>
      <c r="Q1778" s="68"/>
      <c r="R1778" s="68"/>
      <c r="S1778" s="68"/>
      <c r="T1778" s="68"/>
      <c r="U1778" s="68"/>
      <c r="V1778" s="68"/>
      <c r="W1778" s="68"/>
      <c r="X1778" s="68"/>
      <c r="Y1778" s="68"/>
      <c r="Z1778" s="68"/>
      <c r="AA1778" s="68"/>
    </row>
    <row r="1779" ht="26.25" customHeight="1">
      <c r="A1779" s="68"/>
      <c r="B1779" s="68"/>
      <c r="C1779" s="68"/>
      <c r="D1779" s="71"/>
      <c r="E1779" s="71"/>
      <c r="F1779" s="71"/>
      <c r="G1779" s="65"/>
      <c r="H1779" s="74"/>
      <c r="I1779" s="67" t="str">
        <f>IFERROR(__xludf.DUMMYFUNCTION("if($H1779="""", """", AVERAGE(split($H1779, "";"")))"),"")</f>
        <v/>
      </c>
      <c r="J1779" s="67" t="str">
        <f>IFERROR(__xludf.DUMMYFUNCTION("if(H1779="""", """", SUM(split(H1779, "";"")))"),"")</f>
        <v/>
      </c>
      <c r="K1779" s="68"/>
      <c r="L1779" s="68"/>
      <c r="M1779" s="68"/>
      <c r="N1779" s="68"/>
      <c r="O1779" s="68"/>
      <c r="P1779" s="68"/>
      <c r="Q1779" s="68"/>
      <c r="R1779" s="68"/>
      <c r="S1779" s="68"/>
      <c r="T1779" s="68"/>
      <c r="U1779" s="68"/>
      <c r="V1779" s="68"/>
      <c r="W1779" s="68"/>
      <c r="X1779" s="68"/>
      <c r="Y1779" s="68"/>
      <c r="Z1779" s="68"/>
      <c r="AA1779" s="68"/>
    </row>
    <row r="1780" ht="26.25" customHeight="1">
      <c r="A1780" s="68"/>
      <c r="B1780" s="68"/>
      <c r="C1780" s="68"/>
      <c r="D1780" s="71"/>
      <c r="E1780" s="71"/>
      <c r="F1780" s="71"/>
      <c r="G1780" s="65"/>
      <c r="H1780" s="74"/>
      <c r="I1780" s="67" t="str">
        <f>IFERROR(__xludf.DUMMYFUNCTION("if($H1780="""", """", AVERAGE(split($H1780, "";"")))"),"")</f>
        <v/>
      </c>
      <c r="J1780" s="67" t="str">
        <f>IFERROR(__xludf.DUMMYFUNCTION("if(H1780="""", """", SUM(split(H1780, "";"")))"),"")</f>
        <v/>
      </c>
      <c r="K1780" s="68"/>
      <c r="L1780" s="68"/>
      <c r="M1780" s="68"/>
      <c r="N1780" s="68"/>
      <c r="O1780" s="68"/>
      <c r="P1780" s="68"/>
      <c r="Q1780" s="68"/>
      <c r="R1780" s="68"/>
      <c r="S1780" s="68"/>
      <c r="T1780" s="68"/>
      <c r="U1780" s="68"/>
      <c r="V1780" s="68"/>
      <c r="W1780" s="68"/>
      <c r="X1780" s="68"/>
      <c r="Y1780" s="68"/>
      <c r="Z1780" s="68"/>
      <c r="AA1780" s="68"/>
    </row>
    <row r="1781" ht="26.25" customHeight="1">
      <c r="A1781" s="68"/>
      <c r="B1781" s="68"/>
      <c r="C1781" s="68"/>
      <c r="D1781" s="71"/>
      <c r="E1781" s="71"/>
      <c r="F1781" s="71"/>
      <c r="G1781" s="65"/>
      <c r="H1781" s="74"/>
      <c r="I1781" s="67" t="str">
        <f>IFERROR(__xludf.DUMMYFUNCTION("if($H1781="""", """", AVERAGE(split($H1781, "";"")))"),"")</f>
        <v/>
      </c>
      <c r="J1781" s="67" t="str">
        <f>IFERROR(__xludf.DUMMYFUNCTION("if(H1781="""", """", SUM(split(H1781, "";"")))"),"")</f>
        <v/>
      </c>
      <c r="K1781" s="68"/>
      <c r="L1781" s="68"/>
      <c r="M1781" s="68"/>
      <c r="N1781" s="68"/>
      <c r="O1781" s="68"/>
      <c r="P1781" s="68"/>
      <c r="Q1781" s="68"/>
      <c r="R1781" s="68"/>
      <c r="S1781" s="68"/>
      <c r="T1781" s="68"/>
      <c r="U1781" s="68"/>
      <c r="V1781" s="68"/>
      <c r="W1781" s="68"/>
      <c r="X1781" s="68"/>
      <c r="Y1781" s="68"/>
      <c r="Z1781" s="68"/>
      <c r="AA1781" s="68"/>
    </row>
    <row r="1782" ht="26.25" customHeight="1">
      <c r="A1782" s="68"/>
      <c r="B1782" s="68"/>
      <c r="C1782" s="68"/>
      <c r="D1782" s="71"/>
      <c r="E1782" s="71"/>
      <c r="F1782" s="71"/>
      <c r="G1782" s="65"/>
      <c r="H1782" s="74"/>
      <c r="I1782" s="67" t="str">
        <f>IFERROR(__xludf.DUMMYFUNCTION("if($H1782="""", """", AVERAGE(split($H1782, "";"")))"),"")</f>
        <v/>
      </c>
      <c r="J1782" s="67" t="str">
        <f>IFERROR(__xludf.DUMMYFUNCTION("if(H1782="""", """", SUM(split(H1782, "";"")))"),"")</f>
        <v/>
      </c>
      <c r="K1782" s="68"/>
      <c r="L1782" s="68"/>
      <c r="M1782" s="68"/>
      <c r="N1782" s="68"/>
      <c r="O1782" s="68"/>
      <c r="P1782" s="68"/>
      <c r="Q1782" s="68"/>
      <c r="R1782" s="68"/>
      <c r="S1782" s="68"/>
      <c r="T1782" s="68"/>
      <c r="U1782" s="68"/>
      <c r="V1782" s="68"/>
      <c r="W1782" s="68"/>
      <c r="X1782" s="68"/>
      <c r="Y1782" s="68"/>
      <c r="Z1782" s="68"/>
      <c r="AA1782" s="68"/>
    </row>
    <row r="1783" ht="26.25" customHeight="1">
      <c r="A1783" s="68"/>
      <c r="B1783" s="68"/>
      <c r="C1783" s="68"/>
      <c r="D1783" s="71"/>
      <c r="E1783" s="71"/>
      <c r="F1783" s="71"/>
      <c r="G1783" s="65"/>
      <c r="H1783" s="74"/>
      <c r="I1783" s="67" t="str">
        <f>IFERROR(__xludf.DUMMYFUNCTION("if($H1783="""", """", AVERAGE(split($H1783, "";"")))"),"")</f>
        <v/>
      </c>
      <c r="J1783" s="67" t="str">
        <f>IFERROR(__xludf.DUMMYFUNCTION("if(H1783="""", """", SUM(split(H1783, "";"")))"),"")</f>
        <v/>
      </c>
      <c r="K1783" s="68"/>
      <c r="L1783" s="68"/>
      <c r="M1783" s="68"/>
      <c r="N1783" s="68"/>
      <c r="O1783" s="68"/>
      <c r="P1783" s="68"/>
      <c r="Q1783" s="68"/>
      <c r="R1783" s="68"/>
      <c r="S1783" s="68"/>
      <c r="T1783" s="68"/>
      <c r="U1783" s="68"/>
      <c r="V1783" s="68"/>
      <c r="W1783" s="68"/>
      <c r="X1783" s="68"/>
      <c r="Y1783" s="68"/>
      <c r="Z1783" s="68"/>
      <c r="AA1783" s="68"/>
    </row>
    <row r="1784" ht="26.25" customHeight="1">
      <c r="A1784" s="68"/>
      <c r="B1784" s="68"/>
      <c r="C1784" s="68"/>
      <c r="D1784" s="71"/>
      <c r="E1784" s="71"/>
      <c r="F1784" s="71"/>
      <c r="G1784" s="65"/>
      <c r="H1784" s="74"/>
      <c r="I1784" s="67" t="str">
        <f>IFERROR(__xludf.DUMMYFUNCTION("if($H1784="""", """", AVERAGE(split($H1784, "";"")))"),"")</f>
        <v/>
      </c>
      <c r="J1784" s="67" t="str">
        <f>IFERROR(__xludf.DUMMYFUNCTION("if(H1784="""", """", SUM(split(H1784, "";"")))"),"")</f>
        <v/>
      </c>
      <c r="K1784" s="68"/>
      <c r="L1784" s="68"/>
      <c r="M1784" s="68"/>
      <c r="N1784" s="68"/>
      <c r="O1784" s="68"/>
      <c r="P1784" s="68"/>
      <c r="Q1784" s="68"/>
      <c r="R1784" s="68"/>
      <c r="S1784" s="68"/>
      <c r="T1784" s="68"/>
      <c r="U1784" s="68"/>
      <c r="V1784" s="68"/>
      <c r="W1784" s="68"/>
      <c r="X1784" s="68"/>
      <c r="Y1784" s="68"/>
      <c r="Z1784" s="68"/>
      <c r="AA1784" s="68"/>
    </row>
    <row r="1785" ht="26.25" customHeight="1">
      <c r="A1785" s="68"/>
      <c r="B1785" s="68"/>
      <c r="C1785" s="68"/>
      <c r="D1785" s="71"/>
      <c r="E1785" s="71"/>
      <c r="F1785" s="71"/>
      <c r="G1785" s="65"/>
      <c r="H1785" s="74"/>
      <c r="I1785" s="67" t="str">
        <f>IFERROR(__xludf.DUMMYFUNCTION("if($H1785="""", """", AVERAGE(split($H1785, "";"")))"),"")</f>
        <v/>
      </c>
      <c r="J1785" s="67" t="str">
        <f>IFERROR(__xludf.DUMMYFUNCTION("if(H1785="""", """", SUM(split(H1785, "";"")))"),"")</f>
        <v/>
      </c>
      <c r="K1785" s="68"/>
      <c r="L1785" s="68"/>
      <c r="M1785" s="68"/>
      <c r="N1785" s="68"/>
      <c r="O1785" s="68"/>
      <c r="P1785" s="68"/>
      <c r="Q1785" s="68"/>
      <c r="R1785" s="68"/>
      <c r="S1785" s="68"/>
      <c r="T1785" s="68"/>
      <c r="U1785" s="68"/>
      <c r="V1785" s="68"/>
      <c r="W1785" s="68"/>
      <c r="X1785" s="68"/>
      <c r="Y1785" s="68"/>
      <c r="Z1785" s="68"/>
      <c r="AA1785" s="68"/>
    </row>
    <row r="1786" ht="26.25" customHeight="1">
      <c r="A1786" s="68"/>
      <c r="B1786" s="68"/>
      <c r="C1786" s="68"/>
      <c r="D1786" s="71"/>
      <c r="E1786" s="71"/>
      <c r="F1786" s="71"/>
      <c r="G1786" s="65"/>
      <c r="H1786" s="74"/>
      <c r="I1786" s="67" t="str">
        <f>IFERROR(__xludf.DUMMYFUNCTION("if($H1786="""", """", AVERAGE(split($H1786, "";"")))"),"")</f>
        <v/>
      </c>
      <c r="J1786" s="67" t="str">
        <f>IFERROR(__xludf.DUMMYFUNCTION("if(H1786="""", """", SUM(split(H1786, "";"")))"),"")</f>
        <v/>
      </c>
      <c r="K1786" s="68"/>
      <c r="L1786" s="68"/>
      <c r="M1786" s="68"/>
      <c r="N1786" s="68"/>
      <c r="O1786" s="68"/>
      <c r="P1786" s="68"/>
      <c r="Q1786" s="68"/>
      <c r="R1786" s="68"/>
      <c r="S1786" s="68"/>
      <c r="T1786" s="68"/>
      <c r="U1786" s="68"/>
      <c r="V1786" s="68"/>
      <c r="W1786" s="68"/>
      <c r="X1786" s="68"/>
      <c r="Y1786" s="68"/>
      <c r="Z1786" s="68"/>
      <c r="AA1786" s="68"/>
    </row>
    <row r="1787" ht="26.25" customHeight="1">
      <c r="A1787" s="68"/>
      <c r="B1787" s="68"/>
      <c r="C1787" s="68"/>
      <c r="D1787" s="71"/>
      <c r="E1787" s="71"/>
      <c r="F1787" s="71"/>
      <c r="G1787" s="65"/>
      <c r="H1787" s="74"/>
      <c r="I1787" s="67" t="str">
        <f>IFERROR(__xludf.DUMMYFUNCTION("if($H1787="""", """", AVERAGE(split($H1787, "";"")))"),"")</f>
        <v/>
      </c>
      <c r="J1787" s="67" t="str">
        <f>IFERROR(__xludf.DUMMYFUNCTION("if(H1787="""", """", SUM(split(H1787, "";"")))"),"")</f>
        <v/>
      </c>
      <c r="K1787" s="68"/>
      <c r="L1787" s="68"/>
      <c r="M1787" s="68"/>
      <c r="N1787" s="68"/>
      <c r="O1787" s="68"/>
      <c r="P1787" s="68"/>
      <c r="Q1787" s="68"/>
      <c r="R1787" s="68"/>
      <c r="S1787" s="68"/>
      <c r="T1787" s="68"/>
      <c r="U1787" s="68"/>
      <c r="V1787" s="68"/>
      <c r="W1787" s="68"/>
      <c r="X1787" s="68"/>
      <c r="Y1787" s="68"/>
      <c r="Z1787" s="68"/>
      <c r="AA1787" s="68"/>
    </row>
    <row r="1788" ht="26.25" customHeight="1">
      <c r="A1788" s="68"/>
      <c r="B1788" s="68"/>
      <c r="C1788" s="68"/>
      <c r="D1788" s="71"/>
      <c r="E1788" s="71"/>
      <c r="F1788" s="71"/>
      <c r="G1788" s="65"/>
      <c r="H1788" s="74"/>
      <c r="I1788" s="67" t="str">
        <f>IFERROR(__xludf.DUMMYFUNCTION("if($H1788="""", """", AVERAGE(split($H1788, "";"")))"),"")</f>
        <v/>
      </c>
      <c r="J1788" s="67" t="str">
        <f>IFERROR(__xludf.DUMMYFUNCTION("if(H1788="""", """", SUM(split(H1788, "";"")))"),"")</f>
        <v/>
      </c>
      <c r="K1788" s="68"/>
      <c r="L1788" s="68"/>
      <c r="M1788" s="68"/>
      <c r="N1788" s="68"/>
      <c r="O1788" s="68"/>
      <c r="P1788" s="68"/>
      <c r="Q1788" s="68"/>
      <c r="R1788" s="68"/>
      <c r="S1788" s="68"/>
      <c r="T1788" s="68"/>
      <c r="U1788" s="68"/>
      <c r="V1788" s="68"/>
      <c r="W1788" s="68"/>
      <c r="X1788" s="68"/>
      <c r="Y1788" s="68"/>
      <c r="Z1788" s="68"/>
      <c r="AA1788" s="68"/>
    </row>
    <row r="1789" ht="26.25" customHeight="1">
      <c r="A1789" s="68"/>
      <c r="B1789" s="68"/>
      <c r="C1789" s="68"/>
      <c r="D1789" s="71"/>
      <c r="E1789" s="71"/>
      <c r="F1789" s="71"/>
      <c r="G1789" s="65"/>
      <c r="H1789" s="74"/>
      <c r="I1789" s="67" t="str">
        <f>IFERROR(__xludf.DUMMYFUNCTION("if($H1789="""", """", AVERAGE(split($H1789, "";"")))"),"")</f>
        <v/>
      </c>
      <c r="J1789" s="67" t="str">
        <f>IFERROR(__xludf.DUMMYFUNCTION("if(H1789="""", """", SUM(split(H1789, "";"")))"),"")</f>
        <v/>
      </c>
      <c r="K1789" s="68"/>
      <c r="L1789" s="68"/>
      <c r="M1789" s="68"/>
      <c r="N1789" s="68"/>
      <c r="O1789" s="68"/>
      <c r="P1789" s="68"/>
      <c r="Q1789" s="68"/>
      <c r="R1789" s="68"/>
      <c r="S1789" s="68"/>
      <c r="T1789" s="68"/>
      <c r="U1789" s="68"/>
      <c r="V1789" s="68"/>
      <c r="W1789" s="68"/>
      <c r="X1789" s="68"/>
      <c r="Y1789" s="68"/>
      <c r="Z1789" s="68"/>
      <c r="AA1789" s="68"/>
    </row>
    <row r="1790" ht="26.25" customHeight="1">
      <c r="A1790" s="68"/>
      <c r="B1790" s="68"/>
      <c r="C1790" s="68"/>
      <c r="D1790" s="71"/>
      <c r="E1790" s="71"/>
      <c r="F1790" s="71"/>
      <c r="G1790" s="65"/>
      <c r="H1790" s="74"/>
      <c r="I1790" s="67" t="str">
        <f>IFERROR(__xludf.DUMMYFUNCTION("if($H1790="""", """", AVERAGE(split($H1790, "";"")))"),"")</f>
        <v/>
      </c>
      <c r="J1790" s="67" t="str">
        <f>IFERROR(__xludf.DUMMYFUNCTION("if(H1790="""", """", SUM(split(H1790, "";"")))"),"")</f>
        <v/>
      </c>
      <c r="K1790" s="68"/>
      <c r="L1790" s="68"/>
      <c r="M1790" s="68"/>
      <c r="N1790" s="68"/>
      <c r="O1790" s="68"/>
      <c r="P1790" s="68"/>
      <c r="Q1790" s="68"/>
      <c r="R1790" s="68"/>
      <c r="S1790" s="68"/>
      <c r="T1790" s="68"/>
      <c r="U1790" s="68"/>
      <c r="V1790" s="68"/>
      <c r="W1790" s="68"/>
      <c r="X1790" s="68"/>
      <c r="Y1790" s="68"/>
      <c r="Z1790" s="68"/>
      <c r="AA1790" s="68"/>
    </row>
    <row r="1791" ht="26.25" customHeight="1">
      <c r="A1791" s="68"/>
      <c r="B1791" s="68"/>
      <c r="C1791" s="68"/>
      <c r="D1791" s="71"/>
      <c r="E1791" s="71"/>
      <c r="F1791" s="71"/>
      <c r="G1791" s="65"/>
      <c r="H1791" s="74"/>
      <c r="I1791" s="67" t="str">
        <f>IFERROR(__xludf.DUMMYFUNCTION("if($H1791="""", """", AVERAGE(split($H1791, "";"")))"),"")</f>
        <v/>
      </c>
      <c r="J1791" s="67" t="str">
        <f>IFERROR(__xludf.DUMMYFUNCTION("if(H1791="""", """", SUM(split(H1791, "";"")))"),"")</f>
        <v/>
      </c>
      <c r="K1791" s="68"/>
      <c r="L1791" s="68"/>
      <c r="M1791" s="68"/>
      <c r="N1791" s="68"/>
      <c r="O1791" s="68"/>
      <c r="P1791" s="68"/>
      <c r="Q1791" s="68"/>
      <c r="R1791" s="68"/>
      <c r="S1791" s="68"/>
      <c r="T1791" s="68"/>
      <c r="U1791" s="68"/>
      <c r="V1791" s="68"/>
      <c r="W1791" s="68"/>
      <c r="X1791" s="68"/>
      <c r="Y1791" s="68"/>
      <c r="Z1791" s="68"/>
      <c r="AA1791" s="68"/>
    </row>
    <row r="1792" ht="26.25" customHeight="1">
      <c r="A1792" s="68"/>
      <c r="B1792" s="68"/>
      <c r="C1792" s="68"/>
      <c r="D1792" s="71"/>
      <c r="E1792" s="71"/>
      <c r="F1792" s="71"/>
      <c r="G1792" s="65"/>
      <c r="H1792" s="74"/>
      <c r="I1792" s="67" t="str">
        <f>IFERROR(__xludf.DUMMYFUNCTION("if($H1792="""", """", AVERAGE(split($H1792, "";"")))"),"")</f>
        <v/>
      </c>
      <c r="J1792" s="67" t="str">
        <f>IFERROR(__xludf.DUMMYFUNCTION("if(H1792="""", """", SUM(split(H1792, "";"")))"),"")</f>
        <v/>
      </c>
      <c r="K1792" s="68"/>
      <c r="L1792" s="68"/>
      <c r="M1792" s="68"/>
      <c r="N1792" s="68"/>
      <c r="O1792" s="68"/>
      <c r="P1792" s="68"/>
      <c r="Q1792" s="68"/>
      <c r="R1792" s="68"/>
      <c r="S1792" s="68"/>
      <c r="T1792" s="68"/>
      <c r="U1792" s="68"/>
      <c r="V1792" s="68"/>
      <c r="W1792" s="68"/>
      <c r="X1792" s="68"/>
      <c r="Y1792" s="68"/>
      <c r="Z1792" s="68"/>
      <c r="AA1792" s="68"/>
    </row>
    <row r="1793" ht="26.25" customHeight="1">
      <c r="A1793" s="68"/>
      <c r="B1793" s="68"/>
      <c r="C1793" s="68"/>
      <c r="D1793" s="71"/>
      <c r="E1793" s="71"/>
      <c r="F1793" s="71"/>
      <c r="G1793" s="65"/>
      <c r="H1793" s="74"/>
      <c r="I1793" s="67" t="str">
        <f>IFERROR(__xludf.DUMMYFUNCTION("if($H1793="""", """", AVERAGE(split($H1793, "";"")))"),"")</f>
        <v/>
      </c>
      <c r="J1793" s="67" t="str">
        <f>IFERROR(__xludf.DUMMYFUNCTION("if(H1793="""", """", SUM(split(H1793, "";"")))"),"")</f>
        <v/>
      </c>
      <c r="K1793" s="68"/>
      <c r="L1793" s="68"/>
      <c r="M1793" s="68"/>
      <c r="N1793" s="68"/>
      <c r="O1793" s="68"/>
      <c r="P1793" s="68"/>
      <c r="Q1793" s="68"/>
      <c r="R1793" s="68"/>
      <c r="S1793" s="68"/>
      <c r="T1793" s="68"/>
      <c r="U1793" s="68"/>
      <c r="V1793" s="68"/>
      <c r="W1793" s="68"/>
      <c r="X1793" s="68"/>
      <c r="Y1793" s="68"/>
      <c r="Z1793" s="68"/>
      <c r="AA1793" s="68"/>
    </row>
    <row r="1794" ht="26.25" customHeight="1">
      <c r="A1794" s="68"/>
      <c r="B1794" s="68"/>
      <c r="C1794" s="68"/>
      <c r="D1794" s="71"/>
      <c r="E1794" s="71"/>
      <c r="F1794" s="71"/>
      <c r="G1794" s="65"/>
      <c r="H1794" s="74"/>
      <c r="I1794" s="67" t="str">
        <f>IFERROR(__xludf.DUMMYFUNCTION("if($H1794="""", """", AVERAGE(split($H1794, "";"")))"),"")</f>
        <v/>
      </c>
      <c r="J1794" s="67" t="str">
        <f>IFERROR(__xludf.DUMMYFUNCTION("if(H1794="""", """", SUM(split(H1794, "";"")))"),"")</f>
        <v/>
      </c>
      <c r="K1794" s="68"/>
      <c r="L1794" s="68"/>
      <c r="M1794" s="68"/>
      <c r="N1794" s="68"/>
      <c r="O1794" s="68"/>
      <c r="P1794" s="68"/>
      <c r="Q1794" s="68"/>
      <c r="R1794" s="68"/>
      <c r="S1794" s="68"/>
      <c r="T1794" s="68"/>
      <c r="U1794" s="68"/>
      <c r="V1794" s="68"/>
      <c r="W1794" s="68"/>
      <c r="X1794" s="68"/>
      <c r="Y1794" s="68"/>
      <c r="Z1794" s="68"/>
      <c r="AA1794" s="68"/>
    </row>
    <row r="1795" ht="26.25" customHeight="1">
      <c r="A1795" s="68"/>
      <c r="B1795" s="68"/>
      <c r="C1795" s="68"/>
      <c r="D1795" s="71"/>
      <c r="E1795" s="71"/>
      <c r="F1795" s="71"/>
      <c r="G1795" s="65"/>
      <c r="H1795" s="74"/>
      <c r="I1795" s="67" t="str">
        <f>IFERROR(__xludf.DUMMYFUNCTION("if($H1795="""", """", AVERAGE(split($H1795, "";"")))"),"")</f>
        <v/>
      </c>
      <c r="J1795" s="67" t="str">
        <f>IFERROR(__xludf.DUMMYFUNCTION("if(H1795="""", """", SUM(split(H1795, "";"")))"),"")</f>
        <v/>
      </c>
      <c r="K1795" s="68"/>
      <c r="L1795" s="68"/>
      <c r="M1795" s="68"/>
      <c r="N1795" s="68"/>
      <c r="O1795" s="68"/>
      <c r="P1795" s="68"/>
      <c r="Q1795" s="68"/>
      <c r="R1795" s="68"/>
      <c r="S1795" s="68"/>
      <c r="T1795" s="68"/>
      <c r="U1795" s="68"/>
      <c r="V1795" s="68"/>
      <c r="W1795" s="68"/>
      <c r="X1795" s="68"/>
      <c r="Y1795" s="68"/>
      <c r="Z1795" s="68"/>
      <c r="AA1795" s="68"/>
    </row>
    <row r="1796" ht="26.25" customHeight="1">
      <c r="A1796" s="68"/>
      <c r="B1796" s="68"/>
      <c r="C1796" s="68"/>
      <c r="D1796" s="71"/>
      <c r="E1796" s="71"/>
      <c r="F1796" s="71"/>
      <c r="G1796" s="65"/>
      <c r="H1796" s="74"/>
      <c r="I1796" s="67" t="str">
        <f>IFERROR(__xludf.DUMMYFUNCTION("if($H1796="""", """", AVERAGE(split($H1796, "";"")))"),"")</f>
        <v/>
      </c>
      <c r="J1796" s="67" t="str">
        <f>IFERROR(__xludf.DUMMYFUNCTION("if(H1796="""", """", SUM(split(H1796, "";"")))"),"")</f>
        <v/>
      </c>
      <c r="K1796" s="68"/>
      <c r="L1796" s="68"/>
      <c r="M1796" s="68"/>
      <c r="N1796" s="68"/>
      <c r="O1796" s="68"/>
      <c r="P1796" s="68"/>
      <c r="Q1796" s="68"/>
      <c r="R1796" s="68"/>
      <c r="S1796" s="68"/>
      <c r="T1796" s="68"/>
      <c r="U1796" s="68"/>
      <c r="V1796" s="68"/>
      <c r="W1796" s="68"/>
      <c r="X1796" s="68"/>
      <c r="Y1796" s="68"/>
      <c r="Z1796" s="68"/>
      <c r="AA1796" s="68"/>
    </row>
    <row r="1797" ht="26.25" customHeight="1">
      <c r="A1797" s="68"/>
      <c r="B1797" s="68"/>
      <c r="C1797" s="68"/>
      <c r="D1797" s="71"/>
      <c r="E1797" s="71"/>
      <c r="F1797" s="71"/>
      <c r="G1797" s="65"/>
      <c r="H1797" s="74"/>
      <c r="I1797" s="67" t="str">
        <f>IFERROR(__xludf.DUMMYFUNCTION("if($H1797="""", """", AVERAGE(split($H1797, "";"")))"),"")</f>
        <v/>
      </c>
      <c r="J1797" s="67" t="str">
        <f>IFERROR(__xludf.DUMMYFUNCTION("if(H1797="""", """", SUM(split(H1797, "";"")))"),"")</f>
        <v/>
      </c>
      <c r="K1797" s="68"/>
      <c r="L1797" s="68"/>
      <c r="M1797" s="68"/>
      <c r="N1797" s="68"/>
      <c r="O1797" s="68"/>
      <c r="P1797" s="68"/>
      <c r="Q1797" s="68"/>
      <c r="R1797" s="68"/>
      <c r="S1797" s="68"/>
      <c r="T1797" s="68"/>
      <c r="U1797" s="68"/>
      <c r="V1797" s="68"/>
      <c r="W1797" s="68"/>
      <c r="X1797" s="68"/>
      <c r="Y1797" s="68"/>
      <c r="Z1797" s="68"/>
      <c r="AA1797" s="68"/>
    </row>
    <row r="1798" ht="26.25" customHeight="1">
      <c r="A1798" s="68"/>
      <c r="B1798" s="68"/>
      <c r="C1798" s="68"/>
      <c r="D1798" s="71"/>
      <c r="E1798" s="71"/>
      <c r="F1798" s="71"/>
      <c r="G1798" s="65"/>
      <c r="H1798" s="74"/>
      <c r="I1798" s="67" t="str">
        <f>IFERROR(__xludf.DUMMYFUNCTION("if($H1798="""", """", AVERAGE(split($H1798, "";"")))"),"")</f>
        <v/>
      </c>
      <c r="J1798" s="67" t="str">
        <f>IFERROR(__xludf.DUMMYFUNCTION("if(H1798="""", """", SUM(split(H1798, "";"")))"),"")</f>
        <v/>
      </c>
      <c r="K1798" s="68"/>
      <c r="L1798" s="68"/>
      <c r="M1798" s="68"/>
      <c r="N1798" s="68"/>
      <c r="O1798" s="68"/>
      <c r="P1798" s="68"/>
      <c r="Q1798" s="68"/>
      <c r="R1798" s="68"/>
      <c r="S1798" s="68"/>
      <c r="T1798" s="68"/>
      <c r="U1798" s="68"/>
      <c r="V1798" s="68"/>
      <c r="W1798" s="68"/>
      <c r="X1798" s="68"/>
      <c r="Y1798" s="68"/>
      <c r="Z1798" s="68"/>
      <c r="AA1798" s="68"/>
    </row>
    <row r="1799" ht="26.25" customHeight="1">
      <c r="A1799" s="68"/>
      <c r="B1799" s="68"/>
      <c r="C1799" s="68"/>
      <c r="D1799" s="71"/>
      <c r="E1799" s="71"/>
      <c r="F1799" s="71"/>
      <c r="G1799" s="65"/>
      <c r="H1799" s="74"/>
      <c r="I1799" s="67" t="str">
        <f>IFERROR(__xludf.DUMMYFUNCTION("if($H1799="""", """", AVERAGE(split($H1799, "";"")))"),"")</f>
        <v/>
      </c>
      <c r="J1799" s="67" t="str">
        <f>IFERROR(__xludf.DUMMYFUNCTION("if(H1799="""", """", SUM(split(H1799, "";"")))"),"")</f>
        <v/>
      </c>
      <c r="K1799" s="68"/>
      <c r="L1799" s="68"/>
      <c r="M1799" s="68"/>
      <c r="N1799" s="68"/>
      <c r="O1799" s="68"/>
      <c r="P1799" s="68"/>
      <c r="Q1799" s="68"/>
      <c r="R1799" s="68"/>
      <c r="S1799" s="68"/>
      <c r="T1799" s="68"/>
      <c r="U1799" s="68"/>
      <c r="V1799" s="68"/>
      <c r="W1799" s="68"/>
      <c r="X1799" s="68"/>
      <c r="Y1799" s="68"/>
      <c r="Z1799" s="68"/>
      <c r="AA1799" s="68"/>
    </row>
    <row r="1800" ht="26.25" customHeight="1">
      <c r="A1800" s="68"/>
      <c r="B1800" s="68"/>
      <c r="C1800" s="68"/>
      <c r="D1800" s="71"/>
      <c r="E1800" s="71"/>
      <c r="F1800" s="71"/>
      <c r="G1800" s="65"/>
      <c r="H1800" s="74"/>
      <c r="I1800" s="67" t="str">
        <f>IFERROR(__xludf.DUMMYFUNCTION("if($H1800="""", """", AVERAGE(split($H1800, "";"")))"),"")</f>
        <v/>
      </c>
      <c r="J1800" s="67" t="str">
        <f>IFERROR(__xludf.DUMMYFUNCTION("if(H1800="""", """", SUM(split(H1800, "";"")))"),"")</f>
        <v/>
      </c>
      <c r="K1800" s="68"/>
      <c r="L1800" s="68"/>
      <c r="M1800" s="68"/>
      <c r="N1800" s="68"/>
      <c r="O1800" s="68"/>
      <c r="P1800" s="68"/>
      <c r="Q1800" s="68"/>
      <c r="R1800" s="68"/>
      <c r="S1800" s="68"/>
      <c r="T1800" s="68"/>
      <c r="U1800" s="68"/>
      <c r="V1800" s="68"/>
      <c r="W1800" s="68"/>
      <c r="X1800" s="68"/>
      <c r="Y1800" s="68"/>
      <c r="Z1800" s="68"/>
      <c r="AA1800" s="68"/>
    </row>
    <row r="1801" ht="26.25" customHeight="1">
      <c r="A1801" s="68"/>
      <c r="B1801" s="68"/>
      <c r="C1801" s="68"/>
      <c r="D1801" s="71"/>
      <c r="E1801" s="71"/>
      <c r="F1801" s="71"/>
      <c r="G1801" s="65"/>
      <c r="H1801" s="74"/>
      <c r="I1801" s="67" t="str">
        <f>IFERROR(__xludf.DUMMYFUNCTION("if($H1801="""", """", AVERAGE(split($H1801, "";"")))"),"")</f>
        <v/>
      </c>
      <c r="J1801" s="67" t="str">
        <f>IFERROR(__xludf.DUMMYFUNCTION("if(H1801="""", """", SUM(split(H1801, "";"")))"),"")</f>
        <v/>
      </c>
      <c r="K1801" s="68"/>
      <c r="L1801" s="68"/>
      <c r="M1801" s="68"/>
      <c r="N1801" s="68"/>
      <c r="O1801" s="68"/>
      <c r="P1801" s="68"/>
      <c r="Q1801" s="68"/>
      <c r="R1801" s="68"/>
      <c r="S1801" s="68"/>
      <c r="T1801" s="68"/>
      <c r="U1801" s="68"/>
      <c r="V1801" s="68"/>
      <c r="W1801" s="68"/>
      <c r="X1801" s="68"/>
      <c r="Y1801" s="68"/>
      <c r="Z1801" s="68"/>
      <c r="AA1801" s="68"/>
    </row>
    <row r="1802" ht="26.25" customHeight="1">
      <c r="A1802" s="68"/>
      <c r="B1802" s="68"/>
      <c r="C1802" s="68"/>
      <c r="D1802" s="71"/>
      <c r="E1802" s="71"/>
      <c r="F1802" s="71"/>
      <c r="G1802" s="65"/>
      <c r="H1802" s="74"/>
      <c r="I1802" s="67" t="str">
        <f>IFERROR(__xludf.DUMMYFUNCTION("if($H1802="""", """", AVERAGE(split($H1802, "";"")))"),"")</f>
        <v/>
      </c>
      <c r="J1802" s="67" t="str">
        <f>IFERROR(__xludf.DUMMYFUNCTION("if(H1802="""", """", SUM(split(H1802, "";"")))"),"")</f>
        <v/>
      </c>
      <c r="K1802" s="68"/>
      <c r="L1802" s="68"/>
      <c r="M1802" s="68"/>
      <c r="N1802" s="68"/>
      <c r="O1802" s="68"/>
      <c r="P1802" s="68"/>
      <c r="Q1802" s="68"/>
      <c r="R1802" s="68"/>
      <c r="S1802" s="68"/>
      <c r="T1802" s="68"/>
      <c r="U1802" s="68"/>
      <c r="V1802" s="68"/>
      <c r="W1802" s="68"/>
      <c r="X1802" s="68"/>
      <c r="Y1802" s="68"/>
      <c r="Z1802" s="68"/>
      <c r="AA1802" s="68"/>
    </row>
    <row r="1803" ht="26.25" customHeight="1">
      <c r="A1803" s="68"/>
      <c r="B1803" s="68"/>
      <c r="C1803" s="68"/>
      <c r="D1803" s="71"/>
      <c r="E1803" s="71"/>
      <c r="F1803" s="71"/>
      <c r="G1803" s="65"/>
      <c r="H1803" s="74"/>
      <c r="I1803" s="67" t="str">
        <f>IFERROR(__xludf.DUMMYFUNCTION("if($H1803="""", """", AVERAGE(split($H1803, "";"")))"),"")</f>
        <v/>
      </c>
      <c r="J1803" s="67" t="str">
        <f>IFERROR(__xludf.DUMMYFUNCTION("if(H1803="""", """", SUM(split(H1803, "";"")))"),"")</f>
        <v/>
      </c>
      <c r="K1803" s="68"/>
      <c r="L1803" s="68"/>
      <c r="M1803" s="68"/>
      <c r="N1803" s="68"/>
      <c r="O1803" s="68"/>
      <c r="P1803" s="68"/>
      <c r="Q1803" s="68"/>
      <c r="R1803" s="68"/>
      <c r="S1803" s="68"/>
      <c r="T1803" s="68"/>
      <c r="U1803" s="68"/>
      <c r="V1803" s="68"/>
      <c r="W1803" s="68"/>
      <c r="X1803" s="68"/>
      <c r="Y1803" s="68"/>
      <c r="Z1803" s="68"/>
      <c r="AA1803" s="68"/>
    </row>
    <row r="1804" ht="26.25" customHeight="1">
      <c r="A1804" s="68"/>
      <c r="B1804" s="68"/>
      <c r="C1804" s="68"/>
      <c r="D1804" s="71"/>
      <c r="E1804" s="71"/>
      <c r="F1804" s="71"/>
      <c r="G1804" s="65"/>
      <c r="H1804" s="74"/>
      <c r="I1804" s="67" t="str">
        <f>IFERROR(__xludf.DUMMYFUNCTION("if($H1804="""", """", AVERAGE(split($H1804, "";"")))"),"")</f>
        <v/>
      </c>
      <c r="J1804" s="67" t="str">
        <f>IFERROR(__xludf.DUMMYFUNCTION("if(H1804="""", """", SUM(split(H1804, "";"")))"),"")</f>
        <v/>
      </c>
      <c r="K1804" s="68"/>
      <c r="L1804" s="68"/>
      <c r="M1804" s="68"/>
      <c r="N1804" s="68"/>
      <c r="O1804" s="68"/>
      <c r="P1804" s="68"/>
      <c r="Q1804" s="68"/>
      <c r="R1804" s="68"/>
      <c r="S1804" s="68"/>
      <c r="T1804" s="68"/>
      <c r="U1804" s="68"/>
      <c r="V1804" s="68"/>
      <c r="W1804" s="68"/>
      <c r="X1804" s="68"/>
      <c r="Y1804" s="68"/>
      <c r="Z1804" s="68"/>
      <c r="AA1804" s="68"/>
    </row>
    <row r="1805" ht="26.25" customHeight="1">
      <c r="A1805" s="68"/>
      <c r="B1805" s="68"/>
      <c r="C1805" s="68"/>
      <c r="D1805" s="71"/>
      <c r="E1805" s="71"/>
      <c r="F1805" s="71"/>
      <c r="G1805" s="65"/>
      <c r="H1805" s="74"/>
      <c r="I1805" s="67" t="str">
        <f>IFERROR(__xludf.DUMMYFUNCTION("if($H1805="""", """", AVERAGE(split($H1805, "";"")))"),"")</f>
        <v/>
      </c>
      <c r="J1805" s="67" t="str">
        <f>IFERROR(__xludf.DUMMYFUNCTION("if(H1805="""", """", SUM(split(H1805, "";"")))"),"")</f>
        <v/>
      </c>
      <c r="K1805" s="68"/>
      <c r="L1805" s="68"/>
      <c r="M1805" s="68"/>
      <c r="N1805" s="68"/>
      <c r="O1805" s="68"/>
      <c r="P1805" s="68"/>
      <c r="Q1805" s="68"/>
      <c r="R1805" s="68"/>
      <c r="S1805" s="68"/>
      <c r="T1805" s="68"/>
      <c r="U1805" s="68"/>
      <c r="V1805" s="68"/>
      <c r="W1805" s="68"/>
      <c r="X1805" s="68"/>
      <c r="Y1805" s="68"/>
      <c r="Z1805" s="68"/>
      <c r="AA1805" s="68"/>
    </row>
    <row r="1806" ht="26.25" customHeight="1">
      <c r="A1806" s="68"/>
      <c r="B1806" s="68"/>
      <c r="C1806" s="68"/>
      <c r="D1806" s="71"/>
      <c r="E1806" s="71"/>
      <c r="F1806" s="71"/>
      <c r="G1806" s="65"/>
      <c r="H1806" s="74"/>
      <c r="I1806" s="67" t="str">
        <f>IFERROR(__xludf.DUMMYFUNCTION("if($H1806="""", """", AVERAGE(split($H1806, "";"")))"),"")</f>
        <v/>
      </c>
      <c r="J1806" s="67" t="str">
        <f>IFERROR(__xludf.DUMMYFUNCTION("if(H1806="""", """", SUM(split(H1806, "";"")))"),"")</f>
        <v/>
      </c>
      <c r="K1806" s="68"/>
      <c r="L1806" s="68"/>
      <c r="M1806" s="68"/>
      <c r="N1806" s="68"/>
      <c r="O1806" s="68"/>
      <c r="P1806" s="68"/>
      <c r="Q1806" s="68"/>
      <c r="R1806" s="68"/>
      <c r="S1806" s="68"/>
      <c r="T1806" s="68"/>
      <c r="U1806" s="68"/>
      <c r="V1806" s="68"/>
      <c r="W1806" s="68"/>
      <c r="X1806" s="68"/>
      <c r="Y1806" s="68"/>
      <c r="Z1806" s="68"/>
      <c r="AA1806" s="68"/>
    </row>
    <row r="1807" ht="26.25" customHeight="1">
      <c r="A1807" s="68"/>
      <c r="B1807" s="68"/>
      <c r="C1807" s="68"/>
      <c r="D1807" s="71"/>
      <c r="E1807" s="71"/>
      <c r="F1807" s="71"/>
      <c r="G1807" s="65"/>
      <c r="H1807" s="74"/>
      <c r="I1807" s="67" t="str">
        <f>IFERROR(__xludf.DUMMYFUNCTION("if($H1807="""", """", AVERAGE(split($H1807, "";"")))"),"")</f>
        <v/>
      </c>
      <c r="J1807" s="67" t="str">
        <f>IFERROR(__xludf.DUMMYFUNCTION("if(H1807="""", """", SUM(split(H1807, "";"")))"),"")</f>
        <v/>
      </c>
      <c r="K1807" s="68"/>
      <c r="L1807" s="68"/>
      <c r="M1807" s="68"/>
      <c r="N1807" s="68"/>
      <c r="O1807" s="68"/>
      <c r="P1807" s="68"/>
      <c r="Q1807" s="68"/>
      <c r="R1807" s="68"/>
      <c r="S1807" s="68"/>
      <c r="T1807" s="68"/>
      <c r="U1807" s="68"/>
      <c r="V1807" s="68"/>
      <c r="W1807" s="68"/>
      <c r="X1807" s="68"/>
      <c r="Y1807" s="68"/>
      <c r="Z1807" s="68"/>
      <c r="AA1807" s="68"/>
    </row>
    <row r="1808" ht="26.25" customHeight="1">
      <c r="A1808" s="68"/>
      <c r="B1808" s="68"/>
      <c r="C1808" s="68"/>
      <c r="D1808" s="71"/>
      <c r="E1808" s="71"/>
      <c r="F1808" s="71"/>
      <c r="G1808" s="65"/>
      <c r="H1808" s="74"/>
      <c r="I1808" s="67" t="str">
        <f>IFERROR(__xludf.DUMMYFUNCTION("if($H1808="""", """", AVERAGE(split($H1808, "";"")))"),"")</f>
        <v/>
      </c>
      <c r="J1808" s="67" t="str">
        <f>IFERROR(__xludf.DUMMYFUNCTION("if(H1808="""", """", SUM(split(H1808, "";"")))"),"")</f>
        <v/>
      </c>
      <c r="K1808" s="68"/>
      <c r="L1808" s="68"/>
      <c r="M1808" s="68"/>
      <c r="N1808" s="68"/>
      <c r="O1808" s="68"/>
      <c r="P1808" s="68"/>
      <c r="Q1808" s="68"/>
      <c r="R1808" s="68"/>
      <c r="S1808" s="68"/>
      <c r="T1808" s="68"/>
      <c r="U1808" s="68"/>
      <c r="V1808" s="68"/>
      <c r="W1808" s="68"/>
      <c r="X1808" s="68"/>
      <c r="Y1808" s="68"/>
      <c r="Z1808" s="68"/>
      <c r="AA1808" s="68"/>
    </row>
    <row r="1809" ht="26.25" customHeight="1">
      <c r="A1809" s="68"/>
      <c r="B1809" s="68"/>
      <c r="C1809" s="68"/>
      <c r="D1809" s="71"/>
      <c r="E1809" s="71"/>
      <c r="F1809" s="71"/>
      <c r="G1809" s="65"/>
      <c r="H1809" s="74"/>
      <c r="I1809" s="67" t="str">
        <f>IFERROR(__xludf.DUMMYFUNCTION("if($H1809="""", """", AVERAGE(split($H1809, "";"")))"),"")</f>
        <v/>
      </c>
      <c r="J1809" s="67" t="str">
        <f>IFERROR(__xludf.DUMMYFUNCTION("if(H1809="""", """", SUM(split(H1809, "";"")))"),"")</f>
        <v/>
      </c>
      <c r="K1809" s="68"/>
      <c r="L1809" s="68"/>
      <c r="M1809" s="68"/>
      <c r="N1809" s="68"/>
      <c r="O1809" s="68"/>
      <c r="P1809" s="68"/>
      <c r="Q1809" s="68"/>
      <c r="R1809" s="68"/>
      <c r="S1809" s="68"/>
      <c r="T1809" s="68"/>
      <c r="U1809" s="68"/>
      <c r="V1809" s="68"/>
      <c r="W1809" s="68"/>
      <c r="X1809" s="68"/>
      <c r="Y1809" s="68"/>
      <c r="Z1809" s="68"/>
      <c r="AA1809" s="68"/>
    </row>
    <row r="1810" ht="26.25" customHeight="1">
      <c r="A1810" s="68"/>
      <c r="B1810" s="68"/>
      <c r="C1810" s="68"/>
      <c r="D1810" s="71"/>
      <c r="E1810" s="71"/>
      <c r="F1810" s="71"/>
      <c r="G1810" s="65"/>
      <c r="H1810" s="74"/>
      <c r="I1810" s="67" t="str">
        <f>IFERROR(__xludf.DUMMYFUNCTION("if($H1810="""", """", AVERAGE(split($H1810, "";"")))"),"")</f>
        <v/>
      </c>
      <c r="J1810" s="67" t="str">
        <f>IFERROR(__xludf.DUMMYFUNCTION("if(H1810="""", """", SUM(split(H1810, "";"")))"),"")</f>
        <v/>
      </c>
      <c r="K1810" s="68"/>
      <c r="L1810" s="68"/>
      <c r="M1810" s="68"/>
      <c r="N1810" s="68"/>
      <c r="O1810" s="68"/>
      <c r="P1810" s="68"/>
      <c r="Q1810" s="68"/>
      <c r="R1810" s="68"/>
      <c r="S1810" s="68"/>
      <c r="T1810" s="68"/>
      <c r="U1810" s="68"/>
      <c r="V1810" s="68"/>
      <c r="W1810" s="68"/>
      <c r="X1810" s="68"/>
      <c r="Y1810" s="68"/>
      <c r="Z1810" s="68"/>
      <c r="AA1810" s="68"/>
    </row>
    <row r="1811" ht="26.25" customHeight="1">
      <c r="A1811" s="68"/>
      <c r="B1811" s="68"/>
      <c r="C1811" s="68"/>
      <c r="D1811" s="71"/>
      <c r="E1811" s="71"/>
      <c r="F1811" s="71"/>
      <c r="G1811" s="65"/>
      <c r="H1811" s="74"/>
      <c r="I1811" s="67" t="str">
        <f>IFERROR(__xludf.DUMMYFUNCTION("if($H1811="""", """", AVERAGE(split($H1811, "";"")))"),"")</f>
        <v/>
      </c>
      <c r="J1811" s="67" t="str">
        <f>IFERROR(__xludf.DUMMYFUNCTION("if(H1811="""", """", SUM(split(H1811, "";"")))"),"")</f>
        <v/>
      </c>
      <c r="K1811" s="68"/>
      <c r="L1811" s="68"/>
      <c r="M1811" s="68"/>
      <c r="N1811" s="68"/>
      <c r="O1811" s="68"/>
      <c r="P1811" s="68"/>
      <c r="Q1811" s="68"/>
      <c r="R1811" s="68"/>
      <c r="S1811" s="68"/>
      <c r="T1811" s="68"/>
      <c r="U1811" s="68"/>
      <c r="V1811" s="68"/>
      <c r="W1811" s="68"/>
      <c r="X1811" s="68"/>
      <c r="Y1811" s="68"/>
      <c r="Z1811" s="68"/>
      <c r="AA1811" s="68"/>
    </row>
    <row r="1812" ht="26.25" customHeight="1">
      <c r="A1812" s="68"/>
      <c r="B1812" s="68"/>
      <c r="C1812" s="68"/>
      <c r="D1812" s="71"/>
      <c r="E1812" s="71"/>
      <c r="F1812" s="71"/>
      <c r="G1812" s="65"/>
      <c r="H1812" s="74"/>
      <c r="I1812" s="67" t="str">
        <f>IFERROR(__xludf.DUMMYFUNCTION("if($H1812="""", """", AVERAGE(split($H1812, "";"")))"),"")</f>
        <v/>
      </c>
      <c r="J1812" s="67" t="str">
        <f>IFERROR(__xludf.DUMMYFUNCTION("if(H1812="""", """", SUM(split(H1812, "";"")))"),"")</f>
        <v/>
      </c>
      <c r="K1812" s="68"/>
      <c r="L1812" s="68"/>
      <c r="M1812" s="68"/>
      <c r="N1812" s="68"/>
      <c r="O1812" s="68"/>
      <c r="P1812" s="68"/>
      <c r="Q1812" s="68"/>
      <c r="R1812" s="68"/>
      <c r="S1812" s="68"/>
      <c r="T1812" s="68"/>
      <c r="U1812" s="68"/>
      <c r="V1812" s="68"/>
      <c r="W1812" s="68"/>
      <c r="X1812" s="68"/>
      <c r="Y1812" s="68"/>
      <c r="Z1812" s="68"/>
      <c r="AA1812" s="68"/>
    </row>
    <row r="1813" ht="26.25" customHeight="1">
      <c r="A1813" s="68"/>
      <c r="B1813" s="68"/>
      <c r="C1813" s="68"/>
      <c r="D1813" s="71"/>
      <c r="E1813" s="71"/>
      <c r="F1813" s="71"/>
      <c r="G1813" s="65"/>
      <c r="H1813" s="74"/>
      <c r="I1813" s="67" t="str">
        <f>IFERROR(__xludf.DUMMYFUNCTION("if($H1813="""", """", AVERAGE(split($H1813, "";"")))"),"")</f>
        <v/>
      </c>
      <c r="J1813" s="67" t="str">
        <f>IFERROR(__xludf.DUMMYFUNCTION("if(H1813="""", """", SUM(split(H1813, "";"")))"),"")</f>
        <v/>
      </c>
      <c r="K1813" s="68"/>
      <c r="L1813" s="68"/>
      <c r="M1813" s="68"/>
      <c r="N1813" s="68"/>
      <c r="O1813" s="68"/>
      <c r="P1813" s="68"/>
      <c r="Q1813" s="68"/>
      <c r="R1813" s="68"/>
      <c r="S1813" s="68"/>
      <c r="T1813" s="68"/>
      <c r="U1813" s="68"/>
      <c r="V1813" s="68"/>
      <c r="W1813" s="68"/>
      <c r="X1813" s="68"/>
      <c r="Y1813" s="68"/>
      <c r="Z1813" s="68"/>
      <c r="AA1813" s="68"/>
    </row>
    <row r="1814" ht="26.25" customHeight="1">
      <c r="A1814" s="68"/>
      <c r="B1814" s="68"/>
      <c r="C1814" s="68"/>
      <c r="D1814" s="71"/>
      <c r="E1814" s="71"/>
      <c r="F1814" s="71"/>
      <c r="G1814" s="65"/>
      <c r="H1814" s="74"/>
      <c r="I1814" s="67" t="str">
        <f>IFERROR(__xludf.DUMMYFUNCTION("if($H1814="""", """", AVERAGE(split($H1814, "";"")))"),"")</f>
        <v/>
      </c>
      <c r="J1814" s="67" t="str">
        <f>IFERROR(__xludf.DUMMYFUNCTION("if(H1814="""", """", SUM(split(H1814, "";"")))"),"")</f>
        <v/>
      </c>
      <c r="K1814" s="68"/>
      <c r="L1814" s="68"/>
      <c r="M1814" s="68"/>
      <c r="N1814" s="68"/>
      <c r="O1814" s="68"/>
      <c r="P1814" s="68"/>
      <c r="Q1814" s="68"/>
      <c r="R1814" s="68"/>
      <c r="S1814" s="68"/>
      <c r="T1814" s="68"/>
      <c r="U1814" s="68"/>
      <c r="V1814" s="68"/>
      <c r="W1814" s="68"/>
      <c r="X1814" s="68"/>
      <c r="Y1814" s="68"/>
      <c r="Z1814" s="68"/>
      <c r="AA1814" s="68"/>
    </row>
    <row r="1815" ht="26.25" customHeight="1">
      <c r="A1815" s="68"/>
      <c r="B1815" s="68"/>
      <c r="C1815" s="68"/>
      <c r="D1815" s="71"/>
      <c r="E1815" s="71"/>
      <c r="F1815" s="71"/>
      <c r="G1815" s="65"/>
      <c r="H1815" s="74"/>
      <c r="I1815" s="67" t="str">
        <f>IFERROR(__xludf.DUMMYFUNCTION("if($H1815="""", """", AVERAGE(split($H1815, "";"")))"),"")</f>
        <v/>
      </c>
      <c r="J1815" s="67" t="str">
        <f>IFERROR(__xludf.DUMMYFUNCTION("if(H1815="""", """", SUM(split(H1815, "";"")))"),"")</f>
        <v/>
      </c>
      <c r="K1815" s="68"/>
      <c r="L1815" s="68"/>
      <c r="M1815" s="68"/>
      <c r="N1815" s="68"/>
      <c r="O1815" s="68"/>
      <c r="P1815" s="68"/>
      <c r="Q1815" s="68"/>
      <c r="R1815" s="68"/>
      <c r="S1815" s="68"/>
      <c r="T1815" s="68"/>
      <c r="U1815" s="68"/>
      <c r="V1815" s="68"/>
      <c r="W1815" s="68"/>
      <c r="X1815" s="68"/>
      <c r="Y1815" s="68"/>
      <c r="Z1815" s="68"/>
      <c r="AA1815" s="68"/>
    </row>
    <row r="1816" ht="26.25" customHeight="1">
      <c r="A1816" s="68"/>
      <c r="B1816" s="68"/>
      <c r="C1816" s="68"/>
      <c r="D1816" s="71"/>
      <c r="E1816" s="71"/>
      <c r="F1816" s="71"/>
      <c r="G1816" s="65"/>
      <c r="H1816" s="74"/>
      <c r="I1816" s="67" t="str">
        <f>IFERROR(__xludf.DUMMYFUNCTION("if($H1816="""", """", AVERAGE(split($H1816, "";"")))"),"")</f>
        <v/>
      </c>
      <c r="J1816" s="67" t="str">
        <f>IFERROR(__xludf.DUMMYFUNCTION("if(H1816="""", """", SUM(split(H1816, "";"")))"),"")</f>
        <v/>
      </c>
      <c r="K1816" s="68"/>
      <c r="L1816" s="68"/>
      <c r="M1816" s="68"/>
      <c r="N1816" s="68"/>
      <c r="O1816" s="68"/>
      <c r="P1816" s="68"/>
      <c r="Q1816" s="68"/>
      <c r="R1816" s="68"/>
      <c r="S1816" s="68"/>
      <c r="T1816" s="68"/>
      <c r="U1816" s="68"/>
      <c r="V1816" s="68"/>
      <c r="W1816" s="68"/>
      <c r="X1816" s="68"/>
      <c r="Y1816" s="68"/>
      <c r="Z1816" s="68"/>
      <c r="AA1816" s="68"/>
    </row>
    <row r="1817" ht="26.25" customHeight="1">
      <c r="A1817" s="68"/>
      <c r="B1817" s="68"/>
      <c r="C1817" s="68"/>
      <c r="D1817" s="71"/>
      <c r="E1817" s="71"/>
      <c r="F1817" s="71"/>
      <c r="G1817" s="65"/>
      <c r="H1817" s="74"/>
      <c r="I1817" s="67" t="str">
        <f>IFERROR(__xludf.DUMMYFUNCTION("if($H1817="""", """", AVERAGE(split($H1817, "";"")))"),"")</f>
        <v/>
      </c>
      <c r="J1817" s="67" t="str">
        <f>IFERROR(__xludf.DUMMYFUNCTION("if(H1817="""", """", SUM(split(H1817, "";"")))"),"")</f>
        <v/>
      </c>
      <c r="K1817" s="68"/>
      <c r="L1817" s="68"/>
      <c r="M1817" s="68"/>
      <c r="N1817" s="68"/>
      <c r="O1817" s="68"/>
      <c r="P1817" s="68"/>
      <c r="Q1817" s="68"/>
      <c r="R1817" s="68"/>
      <c r="S1817" s="68"/>
      <c r="T1817" s="68"/>
      <c r="U1817" s="68"/>
      <c r="V1817" s="68"/>
      <c r="W1817" s="68"/>
      <c r="X1817" s="68"/>
      <c r="Y1817" s="68"/>
      <c r="Z1817" s="68"/>
      <c r="AA1817" s="68"/>
    </row>
    <row r="1818" ht="26.25" customHeight="1">
      <c r="A1818" s="68"/>
      <c r="B1818" s="68"/>
      <c r="C1818" s="68"/>
      <c r="D1818" s="71"/>
      <c r="E1818" s="71"/>
      <c r="F1818" s="71"/>
      <c r="G1818" s="65"/>
      <c r="H1818" s="74"/>
      <c r="I1818" s="67" t="str">
        <f>IFERROR(__xludf.DUMMYFUNCTION("if($H1818="""", """", AVERAGE(split($H1818, "";"")))"),"")</f>
        <v/>
      </c>
      <c r="J1818" s="67" t="str">
        <f>IFERROR(__xludf.DUMMYFUNCTION("if(H1818="""", """", SUM(split(H1818, "";"")))"),"")</f>
        <v/>
      </c>
      <c r="K1818" s="68"/>
      <c r="L1818" s="68"/>
      <c r="M1818" s="68"/>
      <c r="N1818" s="68"/>
      <c r="O1818" s="68"/>
      <c r="P1818" s="68"/>
      <c r="Q1818" s="68"/>
      <c r="R1818" s="68"/>
      <c r="S1818" s="68"/>
      <c r="T1818" s="68"/>
      <c r="U1818" s="68"/>
      <c r="V1818" s="68"/>
      <c r="W1818" s="68"/>
      <c r="X1818" s="68"/>
      <c r="Y1818" s="68"/>
      <c r="Z1818" s="68"/>
      <c r="AA1818" s="68"/>
    </row>
    <row r="1819" ht="26.25" customHeight="1">
      <c r="A1819" s="68"/>
      <c r="B1819" s="68"/>
      <c r="C1819" s="68"/>
      <c r="D1819" s="71"/>
      <c r="E1819" s="71"/>
      <c r="F1819" s="71"/>
      <c r="G1819" s="65"/>
      <c r="H1819" s="74"/>
      <c r="I1819" s="67" t="str">
        <f>IFERROR(__xludf.DUMMYFUNCTION("if($H1819="""", """", AVERAGE(split($H1819, "";"")))"),"")</f>
        <v/>
      </c>
      <c r="J1819" s="67" t="str">
        <f>IFERROR(__xludf.DUMMYFUNCTION("if(H1819="""", """", SUM(split(H1819, "";"")))"),"")</f>
        <v/>
      </c>
      <c r="K1819" s="68"/>
      <c r="L1819" s="68"/>
      <c r="M1819" s="68"/>
      <c r="N1819" s="68"/>
      <c r="O1819" s="68"/>
      <c r="P1819" s="68"/>
      <c r="Q1819" s="68"/>
      <c r="R1819" s="68"/>
      <c r="S1819" s="68"/>
      <c r="T1819" s="68"/>
      <c r="U1819" s="68"/>
      <c r="V1819" s="68"/>
      <c r="W1819" s="68"/>
      <c r="X1819" s="68"/>
      <c r="Y1819" s="68"/>
      <c r="Z1819" s="68"/>
      <c r="AA1819" s="68"/>
    </row>
    <row r="1820" ht="26.25" customHeight="1">
      <c r="A1820" s="68"/>
      <c r="B1820" s="68"/>
      <c r="C1820" s="68"/>
      <c r="D1820" s="71"/>
      <c r="E1820" s="71"/>
      <c r="F1820" s="71"/>
      <c r="G1820" s="65"/>
      <c r="H1820" s="74"/>
      <c r="I1820" s="67" t="str">
        <f>IFERROR(__xludf.DUMMYFUNCTION("if($H1820="""", """", AVERAGE(split($H1820, "";"")))"),"")</f>
        <v/>
      </c>
      <c r="J1820" s="67" t="str">
        <f>IFERROR(__xludf.DUMMYFUNCTION("if(H1820="""", """", SUM(split(H1820, "";"")))"),"")</f>
        <v/>
      </c>
      <c r="K1820" s="68"/>
      <c r="L1820" s="68"/>
      <c r="M1820" s="68"/>
      <c r="N1820" s="68"/>
      <c r="O1820" s="68"/>
      <c r="P1820" s="68"/>
      <c r="Q1820" s="68"/>
      <c r="R1820" s="68"/>
      <c r="S1820" s="68"/>
      <c r="T1820" s="68"/>
      <c r="U1820" s="68"/>
      <c r="V1820" s="68"/>
      <c r="W1820" s="68"/>
      <c r="X1820" s="68"/>
      <c r="Y1820" s="68"/>
      <c r="Z1820" s="68"/>
      <c r="AA1820" s="68"/>
    </row>
    <row r="1821" ht="26.25" customHeight="1">
      <c r="A1821" s="68"/>
      <c r="B1821" s="68"/>
      <c r="C1821" s="68"/>
      <c r="D1821" s="71"/>
      <c r="E1821" s="71"/>
      <c r="F1821" s="71"/>
      <c r="G1821" s="65"/>
      <c r="H1821" s="74"/>
      <c r="I1821" s="67" t="str">
        <f>IFERROR(__xludf.DUMMYFUNCTION("if($H1821="""", """", AVERAGE(split($H1821, "";"")))"),"")</f>
        <v/>
      </c>
      <c r="J1821" s="67" t="str">
        <f>IFERROR(__xludf.DUMMYFUNCTION("if(H1821="""", """", SUM(split(H1821, "";"")))"),"")</f>
        <v/>
      </c>
      <c r="K1821" s="68"/>
      <c r="L1821" s="68"/>
      <c r="M1821" s="68"/>
      <c r="N1821" s="68"/>
      <c r="O1821" s="68"/>
      <c r="P1821" s="68"/>
      <c r="Q1821" s="68"/>
      <c r="R1821" s="68"/>
      <c r="S1821" s="68"/>
      <c r="T1821" s="68"/>
      <c r="U1821" s="68"/>
      <c r="V1821" s="68"/>
      <c r="W1821" s="68"/>
      <c r="X1821" s="68"/>
      <c r="Y1821" s="68"/>
      <c r="Z1821" s="68"/>
      <c r="AA1821" s="68"/>
    </row>
    <row r="1822" ht="26.25" customHeight="1">
      <c r="A1822" s="68"/>
      <c r="B1822" s="68"/>
      <c r="C1822" s="68"/>
      <c r="D1822" s="71"/>
      <c r="E1822" s="71"/>
      <c r="F1822" s="71"/>
      <c r="G1822" s="65"/>
      <c r="H1822" s="74"/>
      <c r="I1822" s="67" t="str">
        <f>IFERROR(__xludf.DUMMYFUNCTION("if($H1822="""", """", AVERAGE(split($H1822, "";"")))"),"")</f>
        <v/>
      </c>
      <c r="J1822" s="67" t="str">
        <f>IFERROR(__xludf.DUMMYFUNCTION("if(H1822="""", """", SUM(split(H1822, "";"")))"),"")</f>
        <v/>
      </c>
      <c r="K1822" s="68"/>
      <c r="L1822" s="68"/>
      <c r="M1822" s="68"/>
      <c r="N1822" s="68"/>
      <c r="O1822" s="68"/>
      <c r="P1822" s="68"/>
      <c r="Q1822" s="68"/>
      <c r="R1822" s="68"/>
      <c r="S1822" s="68"/>
      <c r="T1822" s="68"/>
      <c r="U1822" s="68"/>
      <c r="V1822" s="68"/>
      <c r="W1822" s="68"/>
      <c r="X1822" s="68"/>
      <c r="Y1822" s="68"/>
      <c r="Z1822" s="68"/>
      <c r="AA1822" s="68"/>
    </row>
    <row r="1823" ht="26.25" customHeight="1">
      <c r="A1823" s="68"/>
      <c r="B1823" s="68"/>
      <c r="C1823" s="68"/>
      <c r="D1823" s="71"/>
      <c r="E1823" s="71"/>
      <c r="F1823" s="71"/>
      <c r="G1823" s="65"/>
      <c r="H1823" s="74"/>
      <c r="I1823" s="67" t="str">
        <f>IFERROR(__xludf.DUMMYFUNCTION("if($H1823="""", """", AVERAGE(split($H1823, "";"")))"),"")</f>
        <v/>
      </c>
      <c r="J1823" s="67" t="str">
        <f>IFERROR(__xludf.DUMMYFUNCTION("if(H1823="""", """", SUM(split(H1823, "";"")))"),"")</f>
        <v/>
      </c>
      <c r="K1823" s="68"/>
      <c r="L1823" s="68"/>
      <c r="M1823" s="68"/>
      <c r="N1823" s="68"/>
      <c r="O1823" s="68"/>
      <c r="P1823" s="68"/>
      <c r="Q1823" s="68"/>
      <c r="R1823" s="68"/>
      <c r="S1823" s="68"/>
      <c r="T1823" s="68"/>
      <c r="U1823" s="68"/>
      <c r="V1823" s="68"/>
      <c r="W1823" s="68"/>
      <c r="X1823" s="68"/>
      <c r="Y1823" s="68"/>
      <c r="Z1823" s="68"/>
      <c r="AA1823" s="68"/>
    </row>
    <row r="1824" ht="26.25" customHeight="1">
      <c r="A1824" s="68"/>
      <c r="B1824" s="68"/>
      <c r="C1824" s="68"/>
      <c r="D1824" s="71"/>
      <c r="E1824" s="71"/>
      <c r="F1824" s="71"/>
      <c r="G1824" s="65"/>
      <c r="H1824" s="74"/>
      <c r="I1824" s="67" t="str">
        <f>IFERROR(__xludf.DUMMYFUNCTION("if($H1824="""", """", AVERAGE(split($H1824, "";"")))"),"")</f>
        <v/>
      </c>
      <c r="J1824" s="67" t="str">
        <f>IFERROR(__xludf.DUMMYFUNCTION("if(H1824="""", """", SUM(split(H1824, "";"")))"),"")</f>
        <v/>
      </c>
      <c r="K1824" s="68"/>
      <c r="L1824" s="68"/>
      <c r="M1824" s="68"/>
      <c r="N1824" s="68"/>
      <c r="O1824" s="68"/>
      <c r="P1824" s="68"/>
      <c r="Q1824" s="68"/>
      <c r="R1824" s="68"/>
      <c r="S1824" s="68"/>
      <c r="T1824" s="68"/>
      <c r="U1824" s="68"/>
      <c r="V1824" s="68"/>
      <c r="W1824" s="68"/>
      <c r="X1824" s="68"/>
      <c r="Y1824" s="68"/>
      <c r="Z1824" s="68"/>
      <c r="AA1824" s="68"/>
    </row>
    <row r="1825" ht="26.25" customHeight="1">
      <c r="A1825" s="68"/>
      <c r="B1825" s="68"/>
      <c r="C1825" s="68"/>
      <c r="D1825" s="71"/>
      <c r="E1825" s="71"/>
      <c r="F1825" s="71"/>
      <c r="G1825" s="65"/>
      <c r="H1825" s="74"/>
      <c r="I1825" s="67" t="str">
        <f>IFERROR(__xludf.DUMMYFUNCTION("if($H1825="""", """", AVERAGE(split($H1825, "";"")))"),"")</f>
        <v/>
      </c>
      <c r="J1825" s="67" t="str">
        <f>IFERROR(__xludf.DUMMYFUNCTION("if(H1825="""", """", SUM(split(H1825, "";"")))"),"")</f>
        <v/>
      </c>
      <c r="K1825" s="68"/>
      <c r="L1825" s="68"/>
      <c r="M1825" s="68"/>
      <c r="N1825" s="68"/>
      <c r="O1825" s="68"/>
      <c r="P1825" s="68"/>
      <c r="Q1825" s="68"/>
      <c r="R1825" s="68"/>
      <c r="S1825" s="68"/>
      <c r="T1825" s="68"/>
      <c r="U1825" s="68"/>
      <c r="V1825" s="68"/>
      <c r="W1825" s="68"/>
      <c r="X1825" s="68"/>
      <c r="Y1825" s="68"/>
      <c r="Z1825" s="68"/>
      <c r="AA1825" s="68"/>
    </row>
    <row r="1826" ht="26.25" customHeight="1">
      <c r="A1826" s="68"/>
      <c r="B1826" s="68"/>
      <c r="C1826" s="68"/>
      <c r="D1826" s="71"/>
      <c r="E1826" s="71"/>
      <c r="F1826" s="71"/>
      <c r="G1826" s="65"/>
      <c r="H1826" s="74"/>
      <c r="I1826" s="67" t="str">
        <f>IFERROR(__xludf.DUMMYFUNCTION("if($H1826="""", """", AVERAGE(split($H1826, "";"")))"),"")</f>
        <v/>
      </c>
      <c r="J1826" s="67" t="str">
        <f>IFERROR(__xludf.DUMMYFUNCTION("if(H1826="""", """", SUM(split(H1826, "";"")))"),"")</f>
        <v/>
      </c>
      <c r="K1826" s="68"/>
      <c r="L1826" s="68"/>
      <c r="M1826" s="68"/>
      <c r="N1826" s="68"/>
      <c r="O1826" s="68"/>
      <c r="P1826" s="68"/>
      <c r="Q1826" s="68"/>
      <c r="R1826" s="68"/>
      <c r="S1826" s="68"/>
      <c r="T1826" s="68"/>
      <c r="U1826" s="68"/>
      <c r="V1826" s="68"/>
      <c r="W1826" s="68"/>
      <c r="X1826" s="68"/>
      <c r="Y1826" s="68"/>
      <c r="Z1826" s="68"/>
      <c r="AA1826" s="68"/>
    </row>
    <row r="1827" ht="26.25" customHeight="1">
      <c r="A1827" s="68"/>
      <c r="B1827" s="68"/>
      <c r="C1827" s="68"/>
      <c r="D1827" s="71"/>
      <c r="E1827" s="71"/>
      <c r="F1827" s="71"/>
      <c r="G1827" s="65"/>
      <c r="H1827" s="74"/>
      <c r="I1827" s="67" t="str">
        <f>IFERROR(__xludf.DUMMYFUNCTION("if($H1827="""", """", AVERAGE(split($H1827, "";"")))"),"")</f>
        <v/>
      </c>
      <c r="J1827" s="67" t="str">
        <f>IFERROR(__xludf.DUMMYFUNCTION("if(H1827="""", """", SUM(split(H1827, "";"")))"),"")</f>
        <v/>
      </c>
      <c r="K1827" s="68"/>
      <c r="L1827" s="68"/>
      <c r="M1827" s="68"/>
      <c r="N1827" s="68"/>
      <c r="O1827" s="68"/>
      <c r="P1827" s="68"/>
      <c r="Q1827" s="68"/>
      <c r="R1827" s="68"/>
      <c r="S1827" s="68"/>
      <c r="T1827" s="68"/>
      <c r="U1827" s="68"/>
      <c r="V1827" s="68"/>
      <c r="W1827" s="68"/>
      <c r="X1827" s="68"/>
      <c r="Y1827" s="68"/>
      <c r="Z1827" s="68"/>
      <c r="AA1827" s="68"/>
    </row>
    <row r="1828" ht="26.25" customHeight="1">
      <c r="A1828" s="68"/>
      <c r="B1828" s="68"/>
      <c r="C1828" s="68"/>
      <c r="D1828" s="71"/>
      <c r="E1828" s="71"/>
      <c r="F1828" s="71"/>
      <c r="G1828" s="65"/>
      <c r="H1828" s="74"/>
      <c r="I1828" s="67" t="str">
        <f>IFERROR(__xludf.DUMMYFUNCTION("if($H1828="""", """", AVERAGE(split($H1828, "";"")))"),"")</f>
        <v/>
      </c>
      <c r="J1828" s="67" t="str">
        <f>IFERROR(__xludf.DUMMYFUNCTION("if(H1828="""", """", SUM(split(H1828, "";"")))"),"")</f>
        <v/>
      </c>
      <c r="K1828" s="68"/>
      <c r="L1828" s="68"/>
      <c r="M1828" s="68"/>
      <c r="N1828" s="68"/>
      <c r="O1828" s="68"/>
      <c r="P1828" s="68"/>
      <c r="Q1828" s="68"/>
      <c r="R1828" s="68"/>
      <c r="S1828" s="68"/>
      <c r="T1828" s="68"/>
      <c r="U1828" s="68"/>
      <c r="V1828" s="68"/>
      <c r="W1828" s="68"/>
      <c r="X1828" s="68"/>
      <c r="Y1828" s="68"/>
      <c r="Z1828" s="68"/>
      <c r="AA1828" s="68"/>
    </row>
    <row r="1829" ht="26.25" customHeight="1">
      <c r="A1829" s="68"/>
      <c r="B1829" s="68"/>
      <c r="C1829" s="68"/>
      <c r="D1829" s="71"/>
      <c r="E1829" s="71"/>
      <c r="F1829" s="71"/>
      <c r="G1829" s="65"/>
      <c r="H1829" s="74"/>
      <c r="I1829" s="67" t="str">
        <f>IFERROR(__xludf.DUMMYFUNCTION("if($H1829="""", """", AVERAGE(split($H1829, "";"")))"),"")</f>
        <v/>
      </c>
      <c r="J1829" s="67" t="str">
        <f>IFERROR(__xludf.DUMMYFUNCTION("if(H1829="""", """", SUM(split(H1829, "";"")))"),"")</f>
        <v/>
      </c>
      <c r="K1829" s="68"/>
      <c r="L1829" s="68"/>
      <c r="M1829" s="68"/>
      <c r="N1829" s="68"/>
      <c r="O1829" s="68"/>
      <c r="P1829" s="68"/>
      <c r="Q1829" s="68"/>
      <c r="R1829" s="68"/>
      <c r="S1829" s="68"/>
      <c r="T1829" s="68"/>
      <c r="U1829" s="68"/>
      <c r="V1829" s="68"/>
      <c r="W1829" s="68"/>
      <c r="X1829" s="68"/>
      <c r="Y1829" s="68"/>
      <c r="Z1829" s="68"/>
      <c r="AA1829" s="68"/>
    </row>
    <row r="1830" ht="26.25" customHeight="1">
      <c r="A1830" s="68"/>
      <c r="B1830" s="68"/>
      <c r="C1830" s="68"/>
      <c r="D1830" s="71"/>
      <c r="E1830" s="71"/>
      <c r="F1830" s="71"/>
      <c r="G1830" s="65"/>
      <c r="H1830" s="74"/>
      <c r="I1830" s="67" t="str">
        <f>IFERROR(__xludf.DUMMYFUNCTION("if($H1830="""", """", AVERAGE(split($H1830, "";"")))"),"")</f>
        <v/>
      </c>
      <c r="J1830" s="67" t="str">
        <f>IFERROR(__xludf.DUMMYFUNCTION("if(H1830="""", """", SUM(split(H1830, "";"")))"),"")</f>
        <v/>
      </c>
      <c r="K1830" s="68"/>
      <c r="L1830" s="68"/>
      <c r="M1830" s="68"/>
      <c r="N1830" s="68"/>
      <c r="O1830" s="68"/>
      <c r="P1830" s="68"/>
      <c r="Q1830" s="68"/>
      <c r="R1830" s="68"/>
      <c r="S1830" s="68"/>
      <c r="T1830" s="68"/>
      <c r="U1830" s="68"/>
      <c r="V1830" s="68"/>
      <c r="W1830" s="68"/>
      <c r="X1830" s="68"/>
      <c r="Y1830" s="68"/>
      <c r="Z1830" s="68"/>
      <c r="AA1830" s="68"/>
    </row>
    <row r="1831" ht="26.25" customHeight="1">
      <c r="A1831" s="68"/>
      <c r="B1831" s="68"/>
      <c r="C1831" s="68"/>
      <c r="D1831" s="71"/>
      <c r="E1831" s="71"/>
      <c r="F1831" s="71"/>
      <c r="G1831" s="65"/>
      <c r="H1831" s="74"/>
      <c r="I1831" s="67" t="str">
        <f>IFERROR(__xludf.DUMMYFUNCTION("if($H1831="""", """", AVERAGE(split($H1831, "";"")))"),"")</f>
        <v/>
      </c>
      <c r="J1831" s="67" t="str">
        <f>IFERROR(__xludf.DUMMYFUNCTION("if(H1831="""", """", SUM(split(H1831, "";"")))"),"")</f>
        <v/>
      </c>
      <c r="K1831" s="68"/>
      <c r="L1831" s="68"/>
      <c r="M1831" s="68"/>
      <c r="N1831" s="68"/>
      <c r="O1831" s="68"/>
      <c r="P1831" s="68"/>
      <c r="Q1831" s="68"/>
      <c r="R1831" s="68"/>
      <c r="S1831" s="68"/>
      <c r="T1831" s="68"/>
      <c r="U1831" s="68"/>
      <c r="V1831" s="68"/>
      <c r="W1831" s="68"/>
      <c r="X1831" s="68"/>
      <c r="Y1831" s="68"/>
      <c r="Z1831" s="68"/>
      <c r="AA1831" s="68"/>
    </row>
    <row r="1832" ht="26.25" customHeight="1">
      <c r="A1832" s="68"/>
      <c r="B1832" s="68"/>
      <c r="C1832" s="68"/>
      <c r="D1832" s="71"/>
      <c r="E1832" s="71"/>
      <c r="F1832" s="71"/>
      <c r="G1832" s="65"/>
      <c r="H1832" s="74"/>
      <c r="I1832" s="67" t="str">
        <f>IFERROR(__xludf.DUMMYFUNCTION("if($H1832="""", """", AVERAGE(split($H1832, "";"")))"),"")</f>
        <v/>
      </c>
      <c r="J1832" s="67" t="str">
        <f>IFERROR(__xludf.DUMMYFUNCTION("if(H1832="""", """", SUM(split(H1832, "";"")))"),"")</f>
        <v/>
      </c>
      <c r="K1832" s="68"/>
      <c r="L1832" s="68"/>
      <c r="M1832" s="68"/>
      <c r="N1832" s="68"/>
      <c r="O1832" s="68"/>
      <c r="P1832" s="68"/>
      <c r="Q1832" s="68"/>
      <c r="R1832" s="68"/>
      <c r="S1832" s="68"/>
      <c r="T1832" s="68"/>
      <c r="U1832" s="68"/>
      <c r="V1832" s="68"/>
      <c r="W1832" s="68"/>
      <c r="X1832" s="68"/>
      <c r="Y1832" s="68"/>
      <c r="Z1832" s="68"/>
      <c r="AA1832" s="68"/>
    </row>
    <row r="1833" ht="26.25" customHeight="1">
      <c r="A1833" s="68"/>
      <c r="B1833" s="68"/>
      <c r="C1833" s="68"/>
      <c r="D1833" s="71"/>
      <c r="E1833" s="71"/>
      <c r="F1833" s="71"/>
      <c r="G1833" s="65"/>
      <c r="H1833" s="74"/>
      <c r="I1833" s="67" t="str">
        <f>IFERROR(__xludf.DUMMYFUNCTION("if($H1833="""", """", AVERAGE(split($H1833, "";"")))"),"")</f>
        <v/>
      </c>
      <c r="J1833" s="67" t="str">
        <f>IFERROR(__xludf.DUMMYFUNCTION("if(H1833="""", """", SUM(split(H1833, "";"")))"),"")</f>
        <v/>
      </c>
      <c r="K1833" s="68"/>
      <c r="L1833" s="68"/>
      <c r="M1833" s="68"/>
      <c r="N1833" s="68"/>
      <c r="O1833" s="68"/>
      <c r="P1833" s="68"/>
      <c r="Q1833" s="68"/>
      <c r="R1833" s="68"/>
      <c r="S1833" s="68"/>
      <c r="T1833" s="68"/>
      <c r="U1833" s="68"/>
      <c r="V1833" s="68"/>
      <c r="W1833" s="68"/>
      <c r="X1833" s="68"/>
      <c r="Y1833" s="68"/>
      <c r="Z1833" s="68"/>
      <c r="AA1833" s="68"/>
    </row>
    <row r="1834" ht="26.25" customHeight="1">
      <c r="A1834" s="68"/>
      <c r="B1834" s="68"/>
      <c r="C1834" s="68"/>
      <c r="D1834" s="71"/>
      <c r="E1834" s="71"/>
      <c r="F1834" s="71"/>
      <c r="G1834" s="65"/>
      <c r="H1834" s="74"/>
      <c r="I1834" s="67" t="str">
        <f>IFERROR(__xludf.DUMMYFUNCTION("if($H1834="""", """", AVERAGE(split($H1834, "";"")))"),"")</f>
        <v/>
      </c>
      <c r="J1834" s="67" t="str">
        <f>IFERROR(__xludf.DUMMYFUNCTION("if(H1834="""", """", SUM(split(H1834, "";"")))"),"")</f>
        <v/>
      </c>
      <c r="K1834" s="68"/>
      <c r="L1834" s="68"/>
      <c r="M1834" s="68"/>
      <c r="N1834" s="68"/>
      <c r="O1834" s="68"/>
      <c r="P1834" s="68"/>
      <c r="Q1834" s="68"/>
      <c r="R1834" s="68"/>
      <c r="S1834" s="68"/>
      <c r="T1834" s="68"/>
      <c r="U1834" s="68"/>
      <c r="V1834" s="68"/>
      <c r="W1834" s="68"/>
      <c r="X1834" s="68"/>
      <c r="Y1834" s="68"/>
      <c r="Z1834" s="68"/>
      <c r="AA1834" s="68"/>
    </row>
    <row r="1835" ht="26.25" customHeight="1">
      <c r="A1835" s="68"/>
      <c r="B1835" s="68"/>
      <c r="C1835" s="68"/>
      <c r="D1835" s="71"/>
      <c r="E1835" s="71"/>
      <c r="F1835" s="71"/>
      <c r="G1835" s="65"/>
      <c r="H1835" s="74"/>
      <c r="I1835" s="67" t="str">
        <f>IFERROR(__xludf.DUMMYFUNCTION("if($H1835="""", """", AVERAGE(split($H1835, "";"")))"),"")</f>
        <v/>
      </c>
      <c r="J1835" s="67" t="str">
        <f>IFERROR(__xludf.DUMMYFUNCTION("if(H1835="""", """", SUM(split(H1835, "";"")))"),"")</f>
        <v/>
      </c>
      <c r="K1835" s="68"/>
      <c r="L1835" s="68"/>
      <c r="M1835" s="68"/>
      <c r="N1835" s="68"/>
      <c r="O1835" s="68"/>
      <c r="P1835" s="68"/>
      <c r="Q1835" s="68"/>
      <c r="R1835" s="68"/>
      <c r="S1835" s="68"/>
      <c r="T1835" s="68"/>
      <c r="U1835" s="68"/>
      <c r="V1835" s="68"/>
      <c r="W1835" s="68"/>
      <c r="X1835" s="68"/>
      <c r="Y1835" s="68"/>
      <c r="Z1835" s="68"/>
      <c r="AA1835" s="68"/>
    </row>
    <row r="1836" ht="26.25" customHeight="1">
      <c r="A1836" s="68"/>
      <c r="B1836" s="68"/>
      <c r="C1836" s="68"/>
      <c r="D1836" s="71"/>
      <c r="E1836" s="71"/>
      <c r="F1836" s="71"/>
      <c r="G1836" s="65"/>
      <c r="H1836" s="74"/>
      <c r="I1836" s="67" t="str">
        <f>IFERROR(__xludf.DUMMYFUNCTION("if($H1836="""", """", AVERAGE(split($H1836, "";"")))"),"")</f>
        <v/>
      </c>
      <c r="J1836" s="67" t="str">
        <f>IFERROR(__xludf.DUMMYFUNCTION("if(H1836="""", """", SUM(split(H1836, "";"")))"),"")</f>
        <v/>
      </c>
      <c r="K1836" s="68"/>
      <c r="L1836" s="68"/>
      <c r="M1836" s="68"/>
      <c r="N1836" s="68"/>
      <c r="O1836" s="68"/>
      <c r="P1836" s="68"/>
      <c r="Q1836" s="68"/>
      <c r="R1836" s="68"/>
      <c r="S1836" s="68"/>
      <c r="T1836" s="68"/>
      <c r="U1836" s="68"/>
      <c r="V1836" s="68"/>
      <c r="W1836" s="68"/>
      <c r="X1836" s="68"/>
      <c r="Y1836" s="68"/>
      <c r="Z1836" s="68"/>
      <c r="AA1836" s="68"/>
    </row>
    <row r="1837" ht="26.25" customHeight="1">
      <c r="A1837" s="68"/>
      <c r="B1837" s="68"/>
      <c r="C1837" s="68"/>
      <c r="D1837" s="71"/>
      <c r="E1837" s="71"/>
      <c r="F1837" s="71"/>
      <c r="G1837" s="65"/>
      <c r="H1837" s="74"/>
      <c r="I1837" s="67" t="str">
        <f>IFERROR(__xludf.DUMMYFUNCTION("if($H1837="""", """", AVERAGE(split($H1837, "";"")))"),"")</f>
        <v/>
      </c>
      <c r="J1837" s="67" t="str">
        <f>IFERROR(__xludf.DUMMYFUNCTION("if(H1837="""", """", SUM(split(H1837, "";"")))"),"")</f>
        <v/>
      </c>
      <c r="K1837" s="68"/>
      <c r="L1837" s="68"/>
      <c r="M1837" s="68"/>
      <c r="N1837" s="68"/>
      <c r="O1837" s="68"/>
      <c r="P1837" s="68"/>
      <c r="Q1837" s="68"/>
      <c r="R1837" s="68"/>
      <c r="S1837" s="68"/>
      <c r="T1837" s="68"/>
      <c r="U1837" s="68"/>
      <c r="V1837" s="68"/>
      <c r="W1837" s="68"/>
      <c r="X1837" s="68"/>
      <c r="Y1837" s="68"/>
      <c r="Z1837" s="68"/>
      <c r="AA1837" s="68"/>
    </row>
    <row r="1838" ht="26.25" customHeight="1">
      <c r="A1838" s="68"/>
      <c r="B1838" s="68"/>
      <c r="C1838" s="68"/>
      <c r="D1838" s="71"/>
      <c r="E1838" s="71"/>
      <c r="F1838" s="71"/>
      <c r="G1838" s="65"/>
      <c r="H1838" s="74"/>
      <c r="I1838" s="67" t="str">
        <f>IFERROR(__xludf.DUMMYFUNCTION("if($H1838="""", """", AVERAGE(split($H1838, "";"")))"),"")</f>
        <v/>
      </c>
      <c r="J1838" s="67" t="str">
        <f>IFERROR(__xludf.DUMMYFUNCTION("if(H1838="""", """", SUM(split(H1838, "";"")))"),"")</f>
        <v/>
      </c>
      <c r="K1838" s="68"/>
      <c r="L1838" s="68"/>
      <c r="M1838" s="68"/>
      <c r="N1838" s="68"/>
      <c r="O1838" s="68"/>
      <c r="P1838" s="68"/>
      <c r="Q1838" s="68"/>
      <c r="R1838" s="68"/>
      <c r="S1838" s="68"/>
      <c r="T1838" s="68"/>
      <c r="U1838" s="68"/>
      <c r="V1838" s="68"/>
      <c r="W1838" s="68"/>
      <c r="X1838" s="68"/>
      <c r="Y1838" s="68"/>
      <c r="Z1838" s="68"/>
      <c r="AA1838" s="68"/>
    </row>
    <row r="1839" ht="26.25" customHeight="1">
      <c r="A1839" s="68"/>
      <c r="B1839" s="68"/>
      <c r="C1839" s="68"/>
      <c r="D1839" s="71"/>
      <c r="E1839" s="71"/>
      <c r="F1839" s="71"/>
      <c r="G1839" s="65"/>
      <c r="H1839" s="74"/>
      <c r="I1839" s="67" t="str">
        <f>IFERROR(__xludf.DUMMYFUNCTION("if($H1839="""", """", AVERAGE(split($H1839, "";"")))"),"")</f>
        <v/>
      </c>
      <c r="J1839" s="67" t="str">
        <f>IFERROR(__xludf.DUMMYFUNCTION("if(H1839="""", """", SUM(split(H1839, "";"")))"),"")</f>
        <v/>
      </c>
      <c r="K1839" s="68"/>
      <c r="L1839" s="68"/>
      <c r="M1839" s="68"/>
      <c r="N1839" s="68"/>
      <c r="O1839" s="68"/>
      <c r="P1839" s="68"/>
      <c r="Q1839" s="68"/>
      <c r="R1839" s="68"/>
      <c r="S1839" s="68"/>
      <c r="T1839" s="68"/>
      <c r="U1839" s="68"/>
      <c r="V1839" s="68"/>
      <c r="W1839" s="68"/>
      <c r="X1839" s="68"/>
      <c r="Y1839" s="68"/>
      <c r="Z1839" s="68"/>
      <c r="AA1839" s="68"/>
    </row>
    <row r="1840" ht="26.25" customHeight="1">
      <c r="A1840" s="68"/>
      <c r="B1840" s="68"/>
      <c r="C1840" s="68"/>
      <c r="D1840" s="71"/>
      <c r="E1840" s="71"/>
      <c r="F1840" s="71"/>
      <c r="G1840" s="65"/>
      <c r="H1840" s="74"/>
      <c r="I1840" s="67" t="str">
        <f>IFERROR(__xludf.DUMMYFUNCTION("if($H1840="""", """", AVERAGE(split($H1840, "";"")))"),"")</f>
        <v/>
      </c>
      <c r="J1840" s="67" t="str">
        <f>IFERROR(__xludf.DUMMYFUNCTION("if(H1840="""", """", SUM(split(H1840, "";"")))"),"")</f>
        <v/>
      </c>
      <c r="K1840" s="68"/>
      <c r="L1840" s="68"/>
      <c r="M1840" s="68"/>
      <c r="N1840" s="68"/>
      <c r="O1840" s="68"/>
      <c r="P1840" s="68"/>
      <c r="Q1840" s="68"/>
      <c r="R1840" s="68"/>
      <c r="S1840" s="68"/>
      <c r="T1840" s="68"/>
      <c r="U1840" s="68"/>
      <c r="V1840" s="68"/>
      <c r="W1840" s="68"/>
      <c r="X1840" s="68"/>
      <c r="Y1840" s="68"/>
      <c r="Z1840" s="68"/>
      <c r="AA1840" s="68"/>
    </row>
    <row r="1841" ht="26.25" customHeight="1">
      <c r="A1841" s="68"/>
      <c r="B1841" s="68"/>
      <c r="C1841" s="68"/>
      <c r="D1841" s="71"/>
      <c r="E1841" s="71"/>
      <c r="F1841" s="71"/>
      <c r="G1841" s="65"/>
      <c r="H1841" s="74"/>
      <c r="I1841" s="67" t="str">
        <f>IFERROR(__xludf.DUMMYFUNCTION("if($H1841="""", """", AVERAGE(split($H1841, "";"")))"),"")</f>
        <v/>
      </c>
      <c r="J1841" s="67" t="str">
        <f>IFERROR(__xludf.DUMMYFUNCTION("if(H1841="""", """", SUM(split(H1841, "";"")))"),"")</f>
        <v/>
      </c>
      <c r="K1841" s="68"/>
      <c r="L1841" s="68"/>
      <c r="M1841" s="68"/>
      <c r="N1841" s="68"/>
      <c r="O1841" s="68"/>
      <c r="P1841" s="68"/>
      <c r="Q1841" s="68"/>
      <c r="R1841" s="68"/>
      <c r="S1841" s="68"/>
      <c r="T1841" s="68"/>
      <c r="U1841" s="68"/>
      <c r="V1841" s="68"/>
      <c r="W1841" s="68"/>
      <c r="X1841" s="68"/>
      <c r="Y1841" s="68"/>
      <c r="Z1841" s="68"/>
      <c r="AA1841" s="68"/>
    </row>
    <row r="1842" ht="26.25" customHeight="1">
      <c r="A1842" s="68"/>
      <c r="B1842" s="68"/>
      <c r="C1842" s="68"/>
      <c r="D1842" s="71"/>
      <c r="E1842" s="71"/>
      <c r="F1842" s="71"/>
      <c r="G1842" s="65"/>
      <c r="H1842" s="74"/>
      <c r="I1842" s="67" t="str">
        <f>IFERROR(__xludf.DUMMYFUNCTION("if($H1842="""", """", AVERAGE(split($H1842, "";"")))"),"")</f>
        <v/>
      </c>
      <c r="J1842" s="67" t="str">
        <f>IFERROR(__xludf.DUMMYFUNCTION("if(H1842="""", """", SUM(split(H1842, "";"")))"),"")</f>
        <v/>
      </c>
      <c r="K1842" s="68"/>
      <c r="L1842" s="68"/>
      <c r="M1842" s="68"/>
      <c r="N1842" s="68"/>
      <c r="O1842" s="68"/>
      <c r="P1842" s="68"/>
      <c r="Q1842" s="68"/>
      <c r="R1842" s="68"/>
      <c r="S1842" s="68"/>
      <c r="T1842" s="68"/>
      <c r="U1842" s="68"/>
      <c r="V1842" s="68"/>
      <c r="W1842" s="68"/>
      <c r="X1842" s="68"/>
      <c r="Y1842" s="68"/>
      <c r="Z1842" s="68"/>
      <c r="AA1842" s="68"/>
    </row>
    <row r="1843" ht="26.25" customHeight="1">
      <c r="A1843" s="68"/>
      <c r="B1843" s="68"/>
      <c r="C1843" s="68"/>
      <c r="D1843" s="71"/>
      <c r="E1843" s="71"/>
      <c r="F1843" s="71"/>
      <c r="G1843" s="65"/>
      <c r="H1843" s="74"/>
      <c r="I1843" s="67" t="str">
        <f>IFERROR(__xludf.DUMMYFUNCTION("if($H1843="""", """", AVERAGE(split($H1843, "";"")))"),"")</f>
        <v/>
      </c>
      <c r="J1843" s="67" t="str">
        <f>IFERROR(__xludf.DUMMYFUNCTION("if(H1843="""", """", SUM(split(H1843, "";"")))"),"")</f>
        <v/>
      </c>
      <c r="K1843" s="68"/>
      <c r="L1843" s="68"/>
      <c r="M1843" s="68"/>
      <c r="N1843" s="68"/>
      <c r="O1843" s="68"/>
      <c r="P1843" s="68"/>
      <c r="Q1843" s="68"/>
      <c r="R1843" s="68"/>
      <c r="S1843" s="68"/>
      <c r="T1843" s="68"/>
      <c r="U1843" s="68"/>
      <c r="V1843" s="68"/>
      <c r="W1843" s="68"/>
      <c r="X1843" s="68"/>
      <c r="Y1843" s="68"/>
      <c r="Z1843" s="68"/>
      <c r="AA1843" s="68"/>
    </row>
    <row r="1844" ht="26.25" customHeight="1">
      <c r="A1844" s="68"/>
      <c r="B1844" s="68"/>
      <c r="C1844" s="68"/>
      <c r="D1844" s="71"/>
      <c r="E1844" s="71"/>
      <c r="F1844" s="71"/>
      <c r="G1844" s="65"/>
      <c r="H1844" s="74"/>
      <c r="I1844" s="67" t="str">
        <f>IFERROR(__xludf.DUMMYFUNCTION("if($H1844="""", """", AVERAGE(split($H1844, "";"")))"),"")</f>
        <v/>
      </c>
      <c r="J1844" s="67" t="str">
        <f>IFERROR(__xludf.DUMMYFUNCTION("if(H1844="""", """", SUM(split(H1844, "";"")))"),"")</f>
        <v/>
      </c>
      <c r="K1844" s="68"/>
      <c r="L1844" s="68"/>
      <c r="M1844" s="68"/>
      <c r="N1844" s="68"/>
      <c r="O1844" s="68"/>
      <c r="P1844" s="68"/>
      <c r="Q1844" s="68"/>
      <c r="R1844" s="68"/>
      <c r="S1844" s="68"/>
      <c r="T1844" s="68"/>
      <c r="U1844" s="68"/>
      <c r="V1844" s="68"/>
      <c r="W1844" s="68"/>
      <c r="X1844" s="68"/>
      <c r="Y1844" s="68"/>
      <c r="Z1844" s="68"/>
      <c r="AA1844" s="68"/>
    </row>
    <row r="1845" ht="26.25" customHeight="1">
      <c r="A1845" s="68"/>
      <c r="B1845" s="68"/>
      <c r="C1845" s="68"/>
      <c r="D1845" s="71"/>
      <c r="E1845" s="71"/>
      <c r="F1845" s="71"/>
      <c r="G1845" s="65"/>
      <c r="H1845" s="74"/>
      <c r="I1845" s="67" t="str">
        <f>IFERROR(__xludf.DUMMYFUNCTION("if($H1845="""", """", AVERAGE(split($H1845, "";"")))"),"")</f>
        <v/>
      </c>
      <c r="J1845" s="67" t="str">
        <f>IFERROR(__xludf.DUMMYFUNCTION("if(H1845="""", """", SUM(split(H1845, "";"")))"),"")</f>
        <v/>
      </c>
      <c r="K1845" s="68"/>
      <c r="L1845" s="68"/>
      <c r="M1845" s="68"/>
      <c r="N1845" s="68"/>
      <c r="O1845" s="68"/>
      <c r="P1845" s="68"/>
      <c r="Q1845" s="68"/>
      <c r="R1845" s="68"/>
      <c r="S1845" s="68"/>
      <c r="T1845" s="68"/>
      <c r="U1845" s="68"/>
      <c r="V1845" s="68"/>
      <c r="W1845" s="68"/>
      <c r="X1845" s="68"/>
      <c r="Y1845" s="68"/>
      <c r="Z1845" s="68"/>
      <c r="AA1845" s="68"/>
    </row>
    <row r="1846" ht="26.25" customHeight="1">
      <c r="A1846" s="68"/>
      <c r="B1846" s="68"/>
      <c r="C1846" s="68"/>
      <c r="D1846" s="71"/>
      <c r="E1846" s="71"/>
      <c r="F1846" s="71"/>
      <c r="G1846" s="65"/>
      <c r="H1846" s="74"/>
      <c r="I1846" s="67" t="str">
        <f>IFERROR(__xludf.DUMMYFUNCTION("if($H1846="""", """", AVERAGE(split($H1846, "";"")))"),"")</f>
        <v/>
      </c>
      <c r="J1846" s="67" t="str">
        <f>IFERROR(__xludf.DUMMYFUNCTION("if(H1846="""", """", SUM(split(H1846, "";"")))"),"")</f>
        <v/>
      </c>
      <c r="K1846" s="68"/>
      <c r="L1846" s="68"/>
      <c r="M1846" s="68"/>
      <c r="N1846" s="68"/>
      <c r="O1846" s="68"/>
      <c r="P1846" s="68"/>
      <c r="Q1846" s="68"/>
      <c r="R1846" s="68"/>
      <c r="S1846" s="68"/>
      <c r="T1846" s="68"/>
      <c r="U1846" s="68"/>
      <c r="V1846" s="68"/>
      <c r="W1846" s="68"/>
      <c r="X1846" s="68"/>
      <c r="Y1846" s="68"/>
      <c r="Z1846" s="68"/>
      <c r="AA1846" s="68"/>
    </row>
    <row r="1847" ht="26.25" customHeight="1">
      <c r="A1847" s="68"/>
      <c r="B1847" s="68"/>
      <c r="C1847" s="68"/>
      <c r="D1847" s="71"/>
      <c r="E1847" s="71"/>
      <c r="F1847" s="71"/>
      <c r="G1847" s="65"/>
      <c r="H1847" s="74"/>
      <c r="I1847" s="67" t="str">
        <f>IFERROR(__xludf.DUMMYFUNCTION("if($H1847="""", """", AVERAGE(split($H1847, "";"")))"),"")</f>
        <v/>
      </c>
      <c r="J1847" s="67" t="str">
        <f>IFERROR(__xludf.DUMMYFUNCTION("if(H1847="""", """", SUM(split(H1847, "";"")))"),"")</f>
        <v/>
      </c>
      <c r="K1847" s="68"/>
      <c r="L1847" s="68"/>
      <c r="M1847" s="68"/>
      <c r="N1847" s="68"/>
      <c r="O1847" s="68"/>
      <c r="P1847" s="68"/>
      <c r="Q1847" s="68"/>
      <c r="R1847" s="68"/>
      <c r="S1847" s="68"/>
      <c r="T1847" s="68"/>
      <c r="U1847" s="68"/>
      <c r="V1847" s="68"/>
      <c r="W1847" s="68"/>
      <c r="X1847" s="68"/>
      <c r="Y1847" s="68"/>
      <c r="Z1847" s="68"/>
      <c r="AA1847" s="68"/>
    </row>
    <row r="1848" ht="26.25" customHeight="1">
      <c r="A1848" s="68"/>
      <c r="B1848" s="68"/>
      <c r="C1848" s="68"/>
      <c r="D1848" s="71"/>
      <c r="E1848" s="71"/>
      <c r="F1848" s="71"/>
      <c r="G1848" s="65"/>
      <c r="H1848" s="74"/>
      <c r="I1848" s="67" t="str">
        <f>IFERROR(__xludf.DUMMYFUNCTION("if($H1848="""", """", AVERAGE(split($H1848, "";"")))"),"")</f>
        <v/>
      </c>
      <c r="J1848" s="67" t="str">
        <f>IFERROR(__xludf.DUMMYFUNCTION("if(H1848="""", """", SUM(split(H1848, "";"")))"),"")</f>
        <v/>
      </c>
      <c r="K1848" s="68"/>
      <c r="L1848" s="68"/>
      <c r="M1848" s="68"/>
      <c r="N1848" s="68"/>
      <c r="O1848" s="68"/>
      <c r="P1848" s="68"/>
      <c r="Q1848" s="68"/>
      <c r="R1848" s="68"/>
      <c r="S1848" s="68"/>
      <c r="T1848" s="68"/>
      <c r="U1848" s="68"/>
      <c r="V1848" s="68"/>
      <c r="W1848" s="68"/>
      <c r="X1848" s="68"/>
      <c r="Y1848" s="68"/>
      <c r="Z1848" s="68"/>
      <c r="AA1848" s="68"/>
    </row>
    <row r="1849" ht="26.25" customHeight="1">
      <c r="A1849" s="68"/>
      <c r="B1849" s="68"/>
      <c r="C1849" s="68"/>
      <c r="D1849" s="71"/>
      <c r="E1849" s="71"/>
      <c r="F1849" s="71"/>
      <c r="G1849" s="65"/>
      <c r="H1849" s="74"/>
      <c r="I1849" s="67" t="str">
        <f>IFERROR(__xludf.DUMMYFUNCTION("if($H1849="""", """", AVERAGE(split($H1849, "";"")))"),"")</f>
        <v/>
      </c>
      <c r="J1849" s="67" t="str">
        <f>IFERROR(__xludf.DUMMYFUNCTION("if(H1849="""", """", SUM(split(H1849, "";"")))"),"")</f>
        <v/>
      </c>
      <c r="K1849" s="68"/>
      <c r="L1849" s="68"/>
      <c r="M1849" s="68"/>
      <c r="N1849" s="68"/>
      <c r="O1849" s="68"/>
      <c r="P1849" s="68"/>
      <c r="Q1849" s="68"/>
      <c r="R1849" s="68"/>
      <c r="S1849" s="68"/>
      <c r="T1849" s="68"/>
      <c r="U1849" s="68"/>
      <c r="V1849" s="68"/>
      <c r="W1849" s="68"/>
      <c r="X1849" s="68"/>
      <c r="Y1849" s="68"/>
      <c r="Z1849" s="68"/>
      <c r="AA1849" s="68"/>
    </row>
    <row r="1850" ht="26.25" customHeight="1">
      <c r="A1850" s="68"/>
      <c r="B1850" s="68"/>
      <c r="C1850" s="68"/>
      <c r="D1850" s="71"/>
      <c r="E1850" s="71"/>
      <c r="F1850" s="71"/>
      <c r="G1850" s="65"/>
      <c r="H1850" s="74"/>
      <c r="I1850" s="67" t="str">
        <f>IFERROR(__xludf.DUMMYFUNCTION("if($H1850="""", """", AVERAGE(split($H1850, "";"")))"),"")</f>
        <v/>
      </c>
      <c r="J1850" s="67" t="str">
        <f>IFERROR(__xludf.DUMMYFUNCTION("if(H1850="""", """", SUM(split(H1850, "";"")))"),"")</f>
        <v/>
      </c>
      <c r="K1850" s="68"/>
      <c r="L1850" s="68"/>
      <c r="M1850" s="68"/>
      <c r="N1850" s="68"/>
      <c r="O1850" s="68"/>
      <c r="P1850" s="68"/>
      <c r="Q1850" s="68"/>
      <c r="R1850" s="68"/>
      <c r="S1850" s="68"/>
      <c r="T1850" s="68"/>
      <c r="U1850" s="68"/>
      <c r="V1850" s="68"/>
      <c r="W1850" s="68"/>
      <c r="X1850" s="68"/>
      <c r="Y1850" s="68"/>
      <c r="Z1850" s="68"/>
      <c r="AA1850" s="68"/>
    </row>
    <row r="1851" ht="26.25" customHeight="1">
      <c r="A1851" s="68"/>
      <c r="B1851" s="68"/>
      <c r="C1851" s="68"/>
      <c r="D1851" s="71"/>
      <c r="E1851" s="71"/>
      <c r="F1851" s="71"/>
      <c r="G1851" s="65"/>
      <c r="H1851" s="74"/>
      <c r="I1851" s="67" t="str">
        <f>IFERROR(__xludf.DUMMYFUNCTION("if($H1851="""", """", AVERAGE(split($H1851, "";"")))"),"")</f>
        <v/>
      </c>
      <c r="J1851" s="67" t="str">
        <f>IFERROR(__xludf.DUMMYFUNCTION("if(H1851="""", """", SUM(split(H1851, "";"")))"),"")</f>
        <v/>
      </c>
      <c r="K1851" s="68"/>
      <c r="L1851" s="68"/>
      <c r="M1851" s="68"/>
      <c r="N1851" s="68"/>
      <c r="O1851" s="68"/>
      <c r="P1851" s="68"/>
      <c r="Q1851" s="68"/>
      <c r="R1851" s="68"/>
      <c r="S1851" s="68"/>
      <c r="T1851" s="68"/>
      <c r="U1851" s="68"/>
      <c r="V1851" s="68"/>
      <c r="W1851" s="68"/>
      <c r="X1851" s="68"/>
      <c r="Y1851" s="68"/>
      <c r="Z1851" s="68"/>
      <c r="AA1851" s="68"/>
    </row>
    <row r="1852" ht="26.25" customHeight="1">
      <c r="A1852" s="68"/>
      <c r="B1852" s="68"/>
      <c r="C1852" s="68"/>
      <c r="D1852" s="71"/>
      <c r="E1852" s="71"/>
      <c r="F1852" s="71"/>
      <c r="G1852" s="65"/>
      <c r="H1852" s="74"/>
      <c r="I1852" s="67" t="str">
        <f>IFERROR(__xludf.DUMMYFUNCTION("if($H1852="""", """", AVERAGE(split($H1852, "";"")))"),"")</f>
        <v/>
      </c>
      <c r="J1852" s="67" t="str">
        <f>IFERROR(__xludf.DUMMYFUNCTION("if(H1852="""", """", SUM(split(H1852, "";"")))"),"")</f>
        <v/>
      </c>
      <c r="K1852" s="68"/>
      <c r="L1852" s="68"/>
      <c r="M1852" s="68"/>
      <c r="N1852" s="68"/>
      <c r="O1852" s="68"/>
      <c r="P1852" s="68"/>
      <c r="Q1852" s="68"/>
      <c r="R1852" s="68"/>
      <c r="S1852" s="68"/>
      <c r="T1852" s="68"/>
      <c r="U1852" s="68"/>
      <c r="V1852" s="68"/>
      <c r="W1852" s="68"/>
      <c r="X1852" s="68"/>
      <c r="Y1852" s="68"/>
      <c r="Z1852" s="68"/>
      <c r="AA1852" s="68"/>
    </row>
    <row r="1853" ht="26.25" customHeight="1">
      <c r="A1853" s="68"/>
      <c r="B1853" s="68"/>
      <c r="C1853" s="68"/>
      <c r="D1853" s="71"/>
      <c r="E1853" s="71"/>
      <c r="F1853" s="71"/>
      <c r="G1853" s="65"/>
      <c r="H1853" s="74"/>
      <c r="I1853" s="67" t="str">
        <f>IFERROR(__xludf.DUMMYFUNCTION("if($H1853="""", """", AVERAGE(split($H1853, "";"")))"),"")</f>
        <v/>
      </c>
      <c r="J1853" s="67" t="str">
        <f>IFERROR(__xludf.DUMMYFUNCTION("if(H1853="""", """", SUM(split(H1853, "";"")))"),"")</f>
        <v/>
      </c>
      <c r="K1853" s="68"/>
      <c r="L1853" s="68"/>
      <c r="M1853" s="68"/>
      <c r="N1853" s="68"/>
      <c r="O1853" s="68"/>
      <c r="P1853" s="68"/>
      <c r="Q1853" s="68"/>
      <c r="R1853" s="68"/>
      <c r="S1853" s="68"/>
      <c r="T1853" s="68"/>
      <c r="U1853" s="68"/>
      <c r="V1853" s="68"/>
      <c r="W1853" s="68"/>
      <c r="X1853" s="68"/>
      <c r="Y1853" s="68"/>
      <c r="Z1853" s="68"/>
      <c r="AA1853" s="68"/>
    </row>
    <row r="1854" ht="26.25" customHeight="1">
      <c r="A1854" s="68"/>
      <c r="B1854" s="68"/>
      <c r="C1854" s="68"/>
      <c r="D1854" s="71"/>
      <c r="E1854" s="71"/>
      <c r="F1854" s="71"/>
      <c r="G1854" s="65"/>
      <c r="H1854" s="74"/>
      <c r="I1854" s="67" t="str">
        <f>IFERROR(__xludf.DUMMYFUNCTION("if($H1854="""", """", AVERAGE(split($H1854, "";"")))"),"")</f>
        <v/>
      </c>
      <c r="J1854" s="67" t="str">
        <f>IFERROR(__xludf.DUMMYFUNCTION("if(H1854="""", """", SUM(split(H1854, "";"")))"),"")</f>
        <v/>
      </c>
      <c r="K1854" s="68"/>
      <c r="L1854" s="68"/>
      <c r="M1854" s="68"/>
      <c r="N1854" s="68"/>
      <c r="O1854" s="68"/>
      <c r="P1854" s="68"/>
      <c r="Q1854" s="68"/>
      <c r="R1854" s="68"/>
      <c r="S1854" s="68"/>
      <c r="T1854" s="68"/>
      <c r="U1854" s="68"/>
      <c r="V1854" s="68"/>
      <c r="W1854" s="68"/>
      <c r="X1854" s="68"/>
      <c r="Y1854" s="68"/>
      <c r="Z1854" s="68"/>
      <c r="AA1854" s="68"/>
    </row>
    <row r="1855" ht="26.25" customHeight="1">
      <c r="A1855" s="68"/>
      <c r="B1855" s="68"/>
      <c r="C1855" s="68"/>
      <c r="D1855" s="71"/>
      <c r="E1855" s="71"/>
      <c r="F1855" s="71"/>
      <c r="G1855" s="65"/>
      <c r="H1855" s="74"/>
      <c r="I1855" s="67" t="str">
        <f>IFERROR(__xludf.DUMMYFUNCTION("if($H1855="""", """", AVERAGE(split($H1855, "";"")))"),"")</f>
        <v/>
      </c>
      <c r="J1855" s="67" t="str">
        <f>IFERROR(__xludf.DUMMYFUNCTION("if(H1855="""", """", SUM(split(H1855, "";"")))"),"")</f>
        <v/>
      </c>
      <c r="K1855" s="68"/>
      <c r="L1855" s="68"/>
      <c r="M1855" s="68"/>
      <c r="N1855" s="68"/>
      <c r="O1855" s="68"/>
      <c r="P1855" s="68"/>
      <c r="Q1855" s="68"/>
      <c r="R1855" s="68"/>
      <c r="S1855" s="68"/>
      <c r="T1855" s="68"/>
      <c r="U1855" s="68"/>
      <c r="V1855" s="68"/>
      <c r="W1855" s="68"/>
      <c r="X1855" s="68"/>
      <c r="Y1855" s="68"/>
      <c r="Z1855" s="68"/>
      <c r="AA1855" s="68"/>
    </row>
    <row r="1856" ht="26.25" customHeight="1">
      <c r="A1856" s="68"/>
      <c r="B1856" s="68"/>
      <c r="C1856" s="68"/>
      <c r="D1856" s="71"/>
      <c r="E1856" s="71"/>
      <c r="F1856" s="71"/>
      <c r="G1856" s="65"/>
      <c r="H1856" s="74"/>
      <c r="I1856" s="67" t="str">
        <f>IFERROR(__xludf.DUMMYFUNCTION("if($H1856="""", """", AVERAGE(split($H1856, "";"")))"),"")</f>
        <v/>
      </c>
      <c r="J1856" s="67" t="str">
        <f>IFERROR(__xludf.DUMMYFUNCTION("if(H1856="""", """", SUM(split(H1856, "";"")))"),"")</f>
        <v/>
      </c>
      <c r="K1856" s="68"/>
      <c r="L1856" s="68"/>
      <c r="M1856" s="68"/>
      <c r="N1856" s="68"/>
      <c r="O1856" s="68"/>
      <c r="P1856" s="68"/>
      <c r="Q1856" s="68"/>
      <c r="R1856" s="68"/>
      <c r="S1856" s="68"/>
      <c r="T1856" s="68"/>
      <c r="U1856" s="68"/>
      <c r="V1856" s="68"/>
      <c r="W1856" s="68"/>
      <c r="X1856" s="68"/>
      <c r="Y1856" s="68"/>
      <c r="Z1856" s="68"/>
      <c r="AA1856" s="68"/>
    </row>
    <row r="1857" ht="26.25" customHeight="1">
      <c r="A1857" s="68"/>
      <c r="B1857" s="68"/>
      <c r="C1857" s="68"/>
      <c r="D1857" s="71"/>
      <c r="E1857" s="71"/>
      <c r="F1857" s="71"/>
      <c r="G1857" s="65"/>
      <c r="H1857" s="74"/>
      <c r="I1857" s="67" t="str">
        <f>IFERROR(__xludf.DUMMYFUNCTION("if($H1857="""", """", AVERAGE(split($H1857, "";"")))"),"")</f>
        <v/>
      </c>
      <c r="J1857" s="67" t="str">
        <f>IFERROR(__xludf.DUMMYFUNCTION("if(H1857="""", """", SUM(split(H1857, "";"")))"),"")</f>
        <v/>
      </c>
      <c r="K1857" s="68"/>
      <c r="L1857" s="68"/>
      <c r="M1857" s="68"/>
      <c r="N1857" s="68"/>
      <c r="O1857" s="68"/>
      <c r="P1857" s="68"/>
      <c r="Q1857" s="68"/>
      <c r="R1857" s="68"/>
      <c r="S1857" s="68"/>
      <c r="T1857" s="68"/>
      <c r="U1857" s="68"/>
      <c r="V1857" s="68"/>
      <c r="W1857" s="68"/>
      <c r="X1857" s="68"/>
      <c r="Y1857" s="68"/>
      <c r="Z1857" s="68"/>
      <c r="AA1857" s="68"/>
    </row>
    <row r="1858" ht="26.25" customHeight="1">
      <c r="A1858" s="68"/>
      <c r="B1858" s="68"/>
      <c r="C1858" s="68"/>
      <c r="D1858" s="71"/>
      <c r="E1858" s="71"/>
      <c r="F1858" s="71"/>
      <c r="G1858" s="65"/>
      <c r="H1858" s="74"/>
      <c r="I1858" s="67" t="str">
        <f>IFERROR(__xludf.DUMMYFUNCTION("if($H1858="""", """", AVERAGE(split($H1858, "";"")))"),"")</f>
        <v/>
      </c>
      <c r="J1858" s="67" t="str">
        <f>IFERROR(__xludf.DUMMYFUNCTION("if(H1858="""", """", SUM(split(H1858, "";"")))"),"")</f>
        <v/>
      </c>
      <c r="K1858" s="68"/>
      <c r="L1858" s="68"/>
      <c r="M1858" s="68"/>
      <c r="N1858" s="68"/>
      <c r="O1858" s="68"/>
      <c r="P1858" s="68"/>
      <c r="Q1858" s="68"/>
      <c r="R1858" s="68"/>
      <c r="S1858" s="68"/>
      <c r="T1858" s="68"/>
      <c r="U1858" s="68"/>
      <c r="V1858" s="68"/>
      <c r="W1858" s="68"/>
      <c r="X1858" s="68"/>
      <c r="Y1858" s="68"/>
      <c r="Z1858" s="68"/>
      <c r="AA1858" s="68"/>
    </row>
    <row r="1859" ht="26.25" customHeight="1">
      <c r="A1859" s="68"/>
      <c r="B1859" s="68"/>
      <c r="C1859" s="68"/>
      <c r="D1859" s="71"/>
      <c r="E1859" s="71"/>
      <c r="F1859" s="71"/>
      <c r="G1859" s="65"/>
      <c r="H1859" s="74"/>
      <c r="I1859" s="67" t="str">
        <f>IFERROR(__xludf.DUMMYFUNCTION("if($H1859="""", """", AVERAGE(split($H1859, "";"")))"),"")</f>
        <v/>
      </c>
      <c r="J1859" s="67" t="str">
        <f>IFERROR(__xludf.DUMMYFUNCTION("if(H1859="""", """", SUM(split(H1859, "";"")))"),"")</f>
        <v/>
      </c>
      <c r="K1859" s="68"/>
      <c r="L1859" s="68"/>
      <c r="M1859" s="68"/>
      <c r="N1859" s="68"/>
      <c r="O1859" s="68"/>
      <c r="P1859" s="68"/>
      <c r="Q1859" s="68"/>
      <c r="R1859" s="68"/>
      <c r="S1859" s="68"/>
      <c r="T1859" s="68"/>
      <c r="U1859" s="68"/>
      <c r="V1859" s="68"/>
      <c r="W1859" s="68"/>
      <c r="X1859" s="68"/>
      <c r="Y1859" s="68"/>
      <c r="Z1859" s="68"/>
      <c r="AA1859" s="68"/>
    </row>
    <row r="1860" ht="26.25" customHeight="1">
      <c r="A1860" s="68"/>
      <c r="B1860" s="68"/>
      <c r="C1860" s="68"/>
      <c r="D1860" s="71"/>
      <c r="E1860" s="71"/>
      <c r="F1860" s="71"/>
      <c r="G1860" s="65"/>
      <c r="H1860" s="74"/>
      <c r="I1860" s="67" t="str">
        <f>IFERROR(__xludf.DUMMYFUNCTION("if($H1860="""", """", AVERAGE(split($H1860, "";"")))"),"")</f>
        <v/>
      </c>
      <c r="J1860" s="67" t="str">
        <f>IFERROR(__xludf.DUMMYFUNCTION("if(H1860="""", """", SUM(split(H1860, "";"")))"),"")</f>
        <v/>
      </c>
      <c r="K1860" s="68"/>
      <c r="L1860" s="68"/>
      <c r="M1860" s="68"/>
      <c r="N1860" s="68"/>
      <c r="O1860" s="68"/>
      <c r="P1860" s="68"/>
      <c r="Q1860" s="68"/>
      <c r="R1860" s="68"/>
      <c r="S1860" s="68"/>
      <c r="T1860" s="68"/>
      <c r="U1860" s="68"/>
      <c r="V1860" s="68"/>
      <c r="W1860" s="68"/>
      <c r="X1860" s="68"/>
      <c r="Y1860" s="68"/>
      <c r="Z1860" s="68"/>
      <c r="AA1860" s="68"/>
    </row>
    <row r="1861" ht="26.25" customHeight="1">
      <c r="A1861" s="68"/>
      <c r="B1861" s="68"/>
      <c r="C1861" s="68"/>
      <c r="D1861" s="71"/>
      <c r="E1861" s="71"/>
      <c r="F1861" s="71"/>
      <c r="G1861" s="65"/>
      <c r="H1861" s="74"/>
      <c r="I1861" s="67" t="str">
        <f>IFERROR(__xludf.DUMMYFUNCTION("if($H1861="""", """", AVERAGE(split($H1861, "";"")))"),"")</f>
        <v/>
      </c>
      <c r="J1861" s="67" t="str">
        <f>IFERROR(__xludf.DUMMYFUNCTION("if(H1861="""", """", SUM(split(H1861, "";"")))"),"")</f>
        <v/>
      </c>
      <c r="K1861" s="68"/>
      <c r="L1861" s="68"/>
      <c r="M1861" s="68"/>
      <c r="N1861" s="68"/>
      <c r="O1861" s="68"/>
      <c r="P1861" s="68"/>
      <c r="Q1861" s="68"/>
      <c r="R1861" s="68"/>
      <c r="S1861" s="68"/>
      <c r="T1861" s="68"/>
      <c r="U1861" s="68"/>
      <c r="V1861" s="68"/>
      <c r="W1861" s="68"/>
      <c r="X1861" s="68"/>
      <c r="Y1861" s="68"/>
      <c r="Z1861" s="68"/>
      <c r="AA1861" s="68"/>
    </row>
    <row r="1862" ht="26.25" customHeight="1">
      <c r="A1862" s="68"/>
      <c r="B1862" s="68"/>
      <c r="C1862" s="68"/>
      <c r="D1862" s="71"/>
      <c r="E1862" s="71"/>
      <c r="F1862" s="71"/>
      <c r="G1862" s="65"/>
      <c r="H1862" s="74"/>
      <c r="I1862" s="67" t="str">
        <f>IFERROR(__xludf.DUMMYFUNCTION("if($H1862="""", """", AVERAGE(split($H1862, "";"")))"),"")</f>
        <v/>
      </c>
      <c r="J1862" s="67" t="str">
        <f>IFERROR(__xludf.DUMMYFUNCTION("if(H1862="""", """", SUM(split(H1862, "";"")))"),"")</f>
        <v/>
      </c>
      <c r="K1862" s="68"/>
      <c r="L1862" s="68"/>
      <c r="M1862" s="68"/>
      <c r="N1862" s="68"/>
      <c r="O1862" s="68"/>
      <c r="P1862" s="68"/>
      <c r="Q1862" s="68"/>
      <c r="R1862" s="68"/>
      <c r="S1862" s="68"/>
      <c r="T1862" s="68"/>
      <c r="U1862" s="68"/>
      <c r="V1862" s="68"/>
      <c r="W1862" s="68"/>
      <c r="X1862" s="68"/>
      <c r="Y1862" s="68"/>
      <c r="Z1862" s="68"/>
      <c r="AA1862" s="68"/>
    </row>
    <row r="1863" ht="26.25" customHeight="1">
      <c r="A1863" s="68"/>
      <c r="B1863" s="68"/>
      <c r="C1863" s="68"/>
      <c r="D1863" s="71"/>
      <c r="E1863" s="71"/>
      <c r="F1863" s="71"/>
      <c r="G1863" s="65"/>
      <c r="H1863" s="74"/>
      <c r="I1863" s="67" t="str">
        <f>IFERROR(__xludf.DUMMYFUNCTION("if($H1863="""", """", AVERAGE(split($H1863, "";"")))"),"")</f>
        <v/>
      </c>
      <c r="J1863" s="67" t="str">
        <f>IFERROR(__xludf.DUMMYFUNCTION("if(H1863="""", """", SUM(split(H1863, "";"")))"),"")</f>
        <v/>
      </c>
      <c r="K1863" s="68"/>
      <c r="L1863" s="68"/>
      <c r="M1863" s="68"/>
      <c r="N1863" s="68"/>
      <c r="O1863" s="68"/>
      <c r="P1863" s="68"/>
      <c r="Q1863" s="68"/>
      <c r="R1863" s="68"/>
      <c r="S1863" s="68"/>
      <c r="T1863" s="68"/>
      <c r="U1863" s="68"/>
      <c r="V1863" s="68"/>
      <c r="W1863" s="68"/>
      <c r="X1863" s="68"/>
      <c r="Y1863" s="68"/>
      <c r="Z1863" s="68"/>
      <c r="AA1863" s="68"/>
    </row>
    <row r="1864" ht="26.25" customHeight="1">
      <c r="A1864" s="68"/>
      <c r="B1864" s="68"/>
      <c r="C1864" s="68"/>
      <c r="D1864" s="71"/>
      <c r="E1864" s="71"/>
      <c r="F1864" s="71"/>
      <c r="G1864" s="65"/>
      <c r="H1864" s="74"/>
      <c r="I1864" s="67" t="str">
        <f>IFERROR(__xludf.DUMMYFUNCTION("if($H1864="""", """", AVERAGE(split($H1864, "";"")))"),"")</f>
        <v/>
      </c>
      <c r="J1864" s="67" t="str">
        <f>IFERROR(__xludf.DUMMYFUNCTION("if(H1864="""", """", SUM(split(H1864, "";"")))"),"")</f>
        <v/>
      </c>
      <c r="K1864" s="68"/>
      <c r="L1864" s="68"/>
      <c r="M1864" s="68"/>
      <c r="N1864" s="68"/>
      <c r="O1864" s="68"/>
      <c r="P1864" s="68"/>
      <c r="Q1864" s="68"/>
      <c r="R1864" s="68"/>
      <c r="S1864" s="68"/>
      <c r="T1864" s="68"/>
      <c r="U1864" s="68"/>
      <c r="V1864" s="68"/>
      <c r="W1864" s="68"/>
      <c r="X1864" s="68"/>
      <c r="Y1864" s="68"/>
      <c r="Z1864" s="68"/>
      <c r="AA1864" s="68"/>
    </row>
    <row r="1865" ht="26.25" customHeight="1">
      <c r="A1865" s="68"/>
      <c r="B1865" s="68"/>
      <c r="C1865" s="68"/>
      <c r="D1865" s="71"/>
      <c r="E1865" s="71"/>
      <c r="F1865" s="71"/>
      <c r="G1865" s="65"/>
      <c r="H1865" s="74"/>
      <c r="I1865" s="67" t="str">
        <f>IFERROR(__xludf.DUMMYFUNCTION("if($H1865="""", """", AVERAGE(split($H1865, "";"")))"),"")</f>
        <v/>
      </c>
      <c r="J1865" s="67" t="str">
        <f>IFERROR(__xludf.DUMMYFUNCTION("if(H1865="""", """", SUM(split(H1865, "";"")))"),"")</f>
        <v/>
      </c>
      <c r="K1865" s="68"/>
      <c r="L1865" s="68"/>
      <c r="M1865" s="68"/>
      <c r="N1865" s="68"/>
      <c r="O1865" s="68"/>
      <c r="P1865" s="68"/>
      <c r="Q1865" s="68"/>
      <c r="R1865" s="68"/>
      <c r="S1865" s="68"/>
      <c r="T1865" s="68"/>
      <c r="U1865" s="68"/>
      <c r="V1865" s="68"/>
      <c r="W1865" s="68"/>
      <c r="X1865" s="68"/>
      <c r="Y1865" s="68"/>
      <c r="Z1865" s="68"/>
      <c r="AA1865" s="68"/>
    </row>
    <row r="1866" ht="26.25" customHeight="1">
      <c r="A1866" s="68"/>
      <c r="B1866" s="68"/>
      <c r="C1866" s="68"/>
      <c r="D1866" s="71"/>
      <c r="E1866" s="71"/>
      <c r="F1866" s="71"/>
      <c r="G1866" s="65"/>
      <c r="H1866" s="74"/>
      <c r="I1866" s="67" t="str">
        <f>IFERROR(__xludf.DUMMYFUNCTION("if($H1866="""", """", AVERAGE(split($H1866, "";"")))"),"")</f>
        <v/>
      </c>
      <c r="J1866" s="67" t="str">
        <f>IFERROR(__xludf.DUMMYFUNCTION("if(H1866="""", """", SUM(split(H1866, "";"")))"),"")</f>
        <v/>
      </c>
      <c r="K1866" s="68"/>
      <c r="L1866" s="68"/>
      <c r="M1866" s="68"/>
      <c r="N1866" s="68"/>
      <c r="O1866" s="68"/>
      <c r="P1866" s="68"/>
      <c r="Q1866" s="68"/>
      <c r="R1866" s="68"/>
      <c r="S1866" s="68"/>
      <c r="T1866" s="68"/>
      <c r="U1866" s="68"/>
      <c r="V1866" s="68"/>
      <c r="W1866" s="68"/>
      <c r="X1866" s="68"/>
      <c r="Y1866" s="68"/>
      <c r="Z1866" s="68"/>
      <c r="AA1866" s="68"/>
    </row>
    <row r="1867" ht="26.25" customHeight="1">
      <c r="A1867" s="68"/>
      <c r="B1867" s="68"/>
      <c r="C1867" s="68"/>
      <c r="D1867" s="71"/>
      <c r="E1867" s="71"/>
      <c r="F1867" s="71"/>
      <c r="G1867" s="65"/>
      <c r="H1867" s="74"/>
      <c r="I1867" s="67" t="str">
        <f>IFERROR(__xludf.DUMMYFUNCTION("if($H1867="""", """", AVERAGE(split($H1867, "";"")))"),"")</f>
        <v/>
      </c>
      <c r="J1867" s="67" t="str">
        <f>IFERROR(__xludf.DUMMYFUNCTION("if(H1867="""", """", SUM(split(H1867, "";"")))"),"")</f>
        <v/>
      </c>
      <c r="K1867" s="68"/>
      <c r="L1867" s="68"/>
      <c r="M1867" s="68"/>
      <c r="N1867" s="68"/>
      <c r="O1867" s="68"/>
      <c r="P1867" s="68"/>
      <c r="Q1867" s="68"/>
      <c r="R1867" s="68"/>
      <c r="S1867" s="68"/>
      <c r="T1867" s="68"/>
      <c r="U1867" s="68"/>
      <c r="V1867" s="68"/>
      <c r="W1867" s="68"/>
      <c r="X1867" s="68"/>
      <c r="Y1867" s="68"/>
      <c r="Z1867" s="68"/>
      <c r="AA1867" s="68"/>
    </row>
    <row r="1868" ht="26.25" customHeight="1">
      <c r="A1868" s="68"/>
      <c r="B1868" s="68"/>
      <c r="C1868" s="68"/>
      <c r="D1868" s="71"/>
      <c r="E1868" s="71"/>
      <c r="F1868" s="71"/>
      <c r="G1868" s="65"/>
      <c r="H1868" s="74"/>
      <c r="I1868" s="67" t="str">
        <f>IFERROR(__xludf.DUMMYFUNCTION("if($H1868="""", """", AVERAGE(split($H1868, "";"")))"),"")</f>
        <v/>
      </c>
      <c r="J1868" s="67" t="str">
        <f>IFERROR(__xludf.DUMMYFUNCTION("if(H1868="""", """", SUM(split(H1868, "";"")))"),"")</f>
        <v/>
      </c>
      <c r="K1868" s="68"/>
      <c r="L1868" s="68"/>
      <c r="M1868" s="68"/>
      <c r="N1868" s="68"/>
      <c r="O1868" s="68"/>
      <c r="P1868" s="68"/>
      <c r="Q1868" s="68"/>
      <c r="R1868" s="68"/>
      <c r="S1868" s="68"/>
      <c r="T1868" s="68"/>
      <c r="U1868" s="68"/>
      <c r="V1868" s="68"/>
      <c r="W1868" s="68"/>
      <c r="X1868" s="68"/>
      <c r="Y1868" s="68"/>
      <c r="Z1868" s="68"/>
      <c r="AA1868" s="68"/>
    </row>
    <row r="1869" ht="26.25" customHeight="1">
      <c r="A1869" s="68"/>
      <c r="B1869" s="68"/>
      <c r="C1869" s="68"/>
      <c r="D1869" s="71"/>
      <c r="E1869" s="71"/>
      <c r="F1869" s="71"/>
      <c r="G1869" s="65"/>
      <c r="H1869" s="74"/>
      <c r="I1869" s="67" t="str">
        <f>IFERROR(__xludf.DUMMYFUNCTION("if($H1869="""", """", AVERAGE(split($H1869, "";"")))"),"")</f>
        <v/>
      </c>
      <c r="J1869" s="67" t="str">
        <f>IFERROR(__xludf.DUMMYFUNCTION("if(H1869="""", """", SUM(split(H1869, "";"")))"),"")</f>
        <v/>
      </c>
      <c r="K1869" s="68"/>
      <c r="L1869" s="68"/>
      <c r="M1869" s="68"/>
      <c r="N1869" s="68"/>
      <c r="O1869" s="68"/>
      <c r="P1869" s="68"/>
      <c r="Q1869" s="68"/>
      <c r="R1869" s="68"/>
      <c r="S1869" s="68"/>
      <c r="T1869" s="68"/>
      <c r="U1869" s="68"/>
      <c r="V1869" s="68"/>
      <c r="W1869" s="68"/>
      <c r="X1869" s="68"/>
      <c r="Y1869" s="68"/>
      <c r="Z1869" s="68"/>
      <c r="AA1869" s="68"/>
    </row>
    <row r="1870" ht="26.25" customHeight="1">
      <c r="A1870" s="68"/>
      <c r="B1870" s="68"/>
      <c r="C1870" s="68"/>
      <c r="D1870" s="71"/>
      <c r="E1870" s="71"/>
      <c r="F1870" s="71"/>
      <c r="G1870" s="65"/>
      <c r="H1870" s="74"/>
      <c r="I1870" s="67" t="str">
        <f>IFERROR(__xludf.DUMMYFUNCTION("if($H1870="""", """", AVERAGE(split($H1870, "";"")))"),"")</f>
        <v/>
      </c>
      <c r="J1870" s="67" t="str">
        <f>IFERROR(__xludf.DUMMYFUNCTION("if(H1870="""", """", SUM(split(H1870, "";"")))"),"")</f>
        <v/>
      </c>
      <c r="K1870" s="68"/>
      <c r="L1870" s="68"/>
      <c r="M1870" s="68"/>
      <c r="N1870" s="68"/>
      <c r="O1870" s="68"/>
      <c r="P1870" s="68"/>
      <c r="Q1870" s="68"/>
      <c r="R1870" s="68"/>
      <c r="S1870" s="68"/>
      <c r="T1870" s="68"/>
      <c r="U1870" s="68"/>
      <c r="V1870" s="68"/>
      <c r="W1870" s="68"/>
      <c r="X1870" s="68"/>
      <c r="Y1870" s="68"/>
      <c r="Z1870" s="68"/>
      <c r="AA1870" s="68"/>
    </row>
    <row r="1871" ht="26.25" customHeight="1">
      <c r="A1871" s="68"/>
      <c r="B1871" s="68"/>
      <c r="C1871" s="68"/>
      <c r="D1871" s="71"/>
      <c r="E1871" s="71"/>
      <c r="F1871" s="71"/>
      <c r="G1871" s="65"/>
      <c r="H1871" s="74"/>
      <c r="I1871" s="67" t="str">
        <f>IFERROR(__xludf.DUMMYFUNCTION("if($H1871="""", """", AVERAGE(split($H1871, "";"")))"),"")</f>
        <v/>
      </c>
      <c r="J1871" s="67" t="str">
        <f>IFERROR(__xludf.DUMMYFUNCTION("if(H1871="""", """", SUM(split(H1871, "";"")))"),"")</f>
        <v/>
      </c>
      <c r="K1871" s="68"/>
      <c r="L1871" s="68"/>
      <c r="M1871" s="68"/>
      <c r="N1871" s="68"/>
      <c r="O1871" s="68"/>
      <c r="P1871" s="68"/>
      <c r="Q1871" s="68"/>
      <c r="R1871" s="68"/>
      <c r="S1871" s="68"/>
      <c r="T1871" s="68"/>
      <c r="U1871" s="68"/>
      <c r="V1871" s="68"/>
      <c r="W1871" s="68"/>
      <c r="X1871" s="68"/>
      <c r="Y1871" s="68"/>
      <c r="Z1871" s="68"/>
      <c r="AA1871" s="68"/>
    </row>
    <row r="1872" ht="26.25" customHeight="1">
      <c r="A1872" s="68"/>
      <c r="B1872" s="68"/>
      <c r="C1872" s="68"/>
      <c r="D1872" s="71"/>
      <c r="E1872" s="71"/>
      <c r="F1872" s="71"/>
      <c r="G1872" s="65"/>
      <c r="H1872" s="74"/>
      <c r="I1872" s="67" t="str">
        <f>IFERROR(__xludf.DUMMYFUNCTION("if($H1872="""", """", AVERAGE(split($H1872, "";"")))"),"")</f>
        <v/>
      </c>
      <c r="J1872" s="67" t="str">
        <f>IFERROR(__xludf.DUMMYFUNCTION("if(H1872="""", """", SUM(split(H1872, "";"")))"),"")</f>
        <v/>
      </c>
      <c r="K1872" s="68"/>
      <c r="L1872" s="68"/>
      <c r="M1872" s="68"/>
      <c r="N1872" s="68"/>
      <c r="O1872" s="68"/>
      <c r="P1872" s="68"/>
      <c r="Q1872" s="68"/>
      <c r="R1872" s="68"/>
      <c r="S1872" s="68"/>
      <c r="T1872" s="68"/>
      <c r="U1872" s="68"/>
      <c r="V1872" s="68"/>
      <c r="W1872" s="68"/>
      <c r="X1872" s="68"/>
      <c r="Y1872" s="68"/>
      <c r="Z1872" s="68"/>
      <c r="AA1872" s="68"/>
    </row>
    <row r="1873" ht="26.25" customHeight="1">
      <c r="A1873" s="68"/>
      <c r="B1873" s="68"/>
      <c r="C1873" s="68"/>
      <c r="D1873" s="71"/>
      <c r="E1873" s="71"/>
      <c r="F1873" s="71"/>
      <c r="G1873" s="65"/>
      <c r="H1873" s="74"/>
      <c r="I1873" s="67" t="str">
        <f>IFERROR(__xludf.DUMMYFUNCTION("if($H1873="""", """", AVERAGE(split($H1873, "";"")))"),"")</f>
        <v/>
      </c>
      <c r="J1873" s="67" t="str">
        <f>IFERROR(__xludf.DUMMYFUNCTION("if(H1873="""", """", SUM(split(H1873, "";"")))"),"")</f>
        <v/>
      </c>
      <c r="K1873" s="68"/>
      <c r="L1873" s="68"/>
      <c r="M1873" s="68"/>
      <c r="N1873" s="68"/>
      <c r="O1873" s="68"/>
      <c r="P1873" s="68"/>
      <c r="Q1873" s="68"/>
      <c r="R1873" s="68"/>
      <c r="S1873" s="68"/>
      <c r="T1873" s="68"/>
      <c r="U1873" s="68"/>
      <c r="V1873" s="68"/>
      <c r="W1873" s="68"/>
      <c r="X1873" s="68"/>
      <c r="Y1873" s="68"/>
      <c r="Z1873" s="68"/>
      <c r="AA1873" s="68"/>
    </row>
    <row r="1874" ht="26.25" customHeight="1">
      <c r="A1874" s="68"/>
      <c r="B1874" s="68"/>
      <c r="C1874" s="68"/>
      <c r="D1874" s="71"/>
      <c r="E1874" s="71"/>
      <c r="F1874" s="71"/>
      <c r="G1874" s="65"/>
      <c r="H1874" s="74"/>
      <c r="I1874" s="67" t="str">
        <f>IFERROR(__xludf.DUMMYFUNCTION("if($H1874="""", """", AVERAGE(split($H1874, "";"")))"),"")</f>
        <v/>
      </c>
      <c r="J1874" s="67" t="str">
        <f>IFERROR(__xludf.DUMMYFUNCTION("if(H1874="""", """", SUM(split(H1874, "";"")))"),"")</f>
        <v/>
      </c>
      <c r="K1874" s="68"/>
      <c r="L1874" s="68"/>
      <c r="M1874" s="68"/>
      <c r="N1874" s="68"/>
      <c r="O1874" s="68"/>
      <c r="P1874" s="68"/>
      <c r="Q1874" s="68"/>
      <c r="R1874" s="68"/>
      <c r="S1874" s="68"/>
      <c r="T1874" s="68"/>
      <c r="U1874" s="68"/>
      <c r="V1874" s="68"/>
      <c r="W1874" s="68"/>
      <c r="X1874" s="68"/>
      <c r="Y1874" s="68"/>
      <c r="Z1874" s="68"/>
      <c r="AA1874" s="68"/>
    </row>
    <row r="1875" ht="26.25" customHeight="1">
      <c r="A1875" s="68"/>
      <c r="B1875" s="68"/>
      <c r="C1875" s="68"/>
      <c r="D1875" s="71"/>
      <c r="E1875" s="71"/>
      <c r="F1875" s="71"/>
      <c r="G1875" s="65"/>
      <c r="H1875" s="74"/>
      <c r="I1875" s="67" t="str">
        <f>IFERROR(__xludf.DUMMYFUNCTION("if($H1875="""", """", AVERAGE(split($H1875, "";"")))"),"")</f>
        <v/>
      </c>
      <c r="J1875" s="67" t="str">
        <f>IFERROR(__xludf.DUMMYFUNCTION("if(H1875="""", """", SUM(split(H1875, "";"")))"),"")</f>
        <v/>
      </c>
      <c r="K1875" s="68"/>
      <c r="L1875" s="68"/>
      <c r="M1875" s="68"/>
      <c r="N1875" s="68"/>
      <c r="O1875" s="68"/>
      <c r="P1875" s="68"/>
      <c r="Q1875" s="68"/>
      <c r="R1875" s="68"/>
      <c r="S1875" s="68"/>
      <c r="T1875" s="68"/>
      <c r="U1875" s="68"/>
      <c r="V1875" s="68"/>
      <c r="W1875" s="68"/>
      <c r="X1875" s="68"/>
      <c r="Y1875" s="68"/>
      <c r="Z1875" s="68"/>
      <c r="AA1875" s="68"/>
    </row>
    <row r="1876" ht="26.25" customHeight="1">
      <c r="A1876" s="68"/>
      <c r="B1876" s="68"/>
      <c r="C1876" s="68"/>
      <c r="D1876" s="71"/>
      <c r="E1876" s="71"/>
      <c r="F1876" s="71"/>
      <c r="G1876" s="65"/>
      <c r="H1876" s="74"/>
      <c r="I1876" s="67" t="str">
        <f>IFERROR(__xludf.DUMMYFUNCTION("if($H1876="""", """", AVERAGE(split($H1876, "";"")))"),"")</f>
        <v/>
      </c>
      <c r="J1876" s="67" t="str">
        <f>IFERROR(__xludf.DUMMYFUNCTION("if(H1876="""", """", SUM(split(H1876, "";"")))"),"")</f>
        <v/>
      </c>
      <c r="K1876" s="68"/>
      <c r="L1876" s="68"/>
      <c r="M1876" s="68"/>
      <c r="N1876" s="68"/>
      <c r="O1876" s="68"/>
      <c r="P1876" s="68"/>
      <c r="Q1876" s="68"/>
      <c r="R1876" s="68"/>
      <c r="S1876" s="68"/>
      <c r="T1876" s="68"/>
      <c r="U1876" s="68"/>
      <c r="V1876" s="68"/>
      <c r="W1876" s="68"/>
      <c r="X1876" s="68"/>
      <c r="Y1876" s="68"/>
      <c r="Z1876" s="68"/>
      <c r="AA1876" s="68"/>
    </row>
    <row r="1877" ht="26.25" customHeight="1">
      <c r="A1877" s="68"/>
      <c r="B1877" s="68"/>
      <c r="C1877" s="68"/>
      <c r="D1877" s="71"/>
      <c r="E1877" s="71"/>
      <c r="F1877" s="71"/>
      <c r="G1877" s="65"/>
      <c r="H1877" s="74"/>
      <c r="I1877" s="67" t="str">
        <f>IFERROR(__xludf.DUMMYFUNCTION("if($H1877="""", """", AVERAGE(split($H1877, "";"")))"),"")</f>
        <v/>
      </c>
      <c r="J1877" s="67" t="str">
        <f>IFERROR(__xludf.DUMMYFUNCTION("if(H1877="""", """", SUM(split(H1877, "";"")))"),"")</f>
        <v/>
      </c>
      <c r="K1877" s="68"/>
      <c r="L1877" s="68"/>
      <c r="M1877" s="68"/>
      <c r="N1877" s="68"/>
      <c r="O1877" s="68"/>
      <c r="P1877" s="68"/>
      <c r="Q1877" s="68"/>
      <c r="R1877" s="68"/>
      <c r="S1877" s="68"/>
      <c r="T1877" s="68"/>
      <c r="U1877" s="68"/>
      <c r="V1877" s="68"/>
      <c r="W1877" s="68"/>
      <c r="X1877" s="68"/>
      <c r="Y1877" s="68"/>
      <c r="Z1877" s="68"/>
      <c r="AA1877" s="68"/>
    </row>
    <row r="1878" ht="26.25" customHeight="1">
      <c r="A1878" s="68"/>
      <c r="B1878" s="68"/>
      <c r="C1878" s="68"/>
      <c r="D1878" s="71"/>
      <c r="E1878" s="71"/>
      <c r="F1878" s="71"/>
      <c r="G1878" s="65"/>
      <c r="H1878" s="74"/>
      <c r="I1878" s="67" t="str">
        <f>IFERROR(__xludf.DUMMYFUNCTION("if($H1878="""", """", AVERAGE(split($H1878, "";"")))"),"")</f>
        <v/>
      </c>
      <c r="J1878" s="67" t="str">
        <f>IFERROR(__xludf.DUMMYFUNCTION("if(H1878="""", """", SUM(split(H1878, "";"")))"),"")</f>
        <v/>
      </c>
      <c r="K1878" s="68"/>
      <c r="L1878" s="68"/>
      <c r="M1878" s="68"/>
      <c r="N1878" s="68"/>
      <c r="O1878" s="68"/>
      <c r="P1878" s="68"/>
      <c r="Q1878" s="68"/>
      <c r="R1878" s="68"/>
      <c r="S1878" s="68"/>
      <c r="T1878" s="68"/>
      <c r="U1878" s="68"/>
      <c r="V1878" s="68"/>
      <c r="W1878" s="68"/>
      <c r="X1878" s="68"/>
      <c r="Y1878" s="68"/>
      <c r="Z1878" s="68"/>
      <c r="AA1878" s="68"/>
    </row>
    <row r="1879" ht="26.25" customHeight="1">
      <c r="A1879" s="68"/>
      <c r="B1879" s="68"/>
      <c r="C1879" s="68"/>
      <c r="D1879" s="71"/>
      <c r="E1879" s="71"/>
      <c r="F1879" s="71"/>
      <c r="G1879" s="65"/>
      <c r="H1879" s="74"/>
      <c r="I1879" s="67" t="str">
        <f>IFERROR(__xludf.DUMMYFUNCTION("if($H1879="""", """", AVERAGE(split($H1879, "";"")))"),"")</f>
        <v/>
      </c>
      <c r="J1879" s="67" t="str">
        <f>IFERROR(__xludf.DUMMYFUNCTION("if(H1879="""", """", SUM(split(H1879, "";"")))"),"")</f>
        <v/>
      </c>
      <c r="K1879" s="68"/>
      <c r="L1879" s="68"/>
      <c r="M1879" s="68"/>
      <c r="N1879" s="68"/>
      <c r="O1879" s="68"/>
      <c r="P1879" s="68"/>
      <c r="Q1879" s="68"/>
      <c r="R1879" s="68"/>
      <c r="S1879" s="68"/>
      <c r="T1879" s="68"/>
      <c r="U1879" s="68"/>
      <c r="V1879" s="68"/>
      <c r="W1879" s="68"/>
      <c r="X1879" s="68"/>
      <c r="Y1879" s="68"/>
      <c r="Z1879" s="68"/>
      <c r="AA1879" s="68"/>
    </row>
    <row r="1880" ht="26.25" customHeight="1">
      <c r="A1880" s="68"/>
      <c r="B1880" s="68"/>
      <c r="C1880" s="68"/>
      <c r="D1880" s="71"/>
      <c r="E1880" s="71"/>
      <c r="F1880" s="71"/>
      <c r="G1880" s="65"/>
      <c r="H1880" s="74"/>
      <c r="I1880" s="67" t="str">
        <f>IFERROR(__xludf.DUMMYFUNCTION("if($H1880="""", """", AVERAGE(split($H1880, "";"")))"),"")</f>
        <v/>
      </c>
      <c r="J1880" s="67" t="str">
        <f>IFERROR(__xludf.DUMMYFUNCTION("if(H1880="""", """", SUM(split(H1880, "";"")))"),"")</f>
        <v/>
      </c>
      <c r="K1880" s="68"/>
      <c r="L1880" s="68"/>
      <c r="M1880" s="68"/>
      <c r="N1880" s="68"/>
      <c r="O1880" s="68"/>
      <c r="P1880" s="68"/>
      <c r="Q1880" s="68"/>
      <c r="R1880" s="68"/>
      <c r="S1880" s="68"/>
      <c r="T1880" s="68"/>
      <c r="U1880" s="68"/>
      <c r="V1880" s="68"/>
      <c r="W1880" s="68"/>
      <c r="X1880" s="68"/>
      <c r="Y1880" s="68"/>
      <c r="Z1880" s="68"/>
      <c r="AA1880" s="68"/>
    </row>
    <row r="1881" ht="26.25" customHeight="1">
      <c r="A1881" s="68"/>
      <c r="B1881" s="68"/>
      <c r="C1881" s="68"/>
      <c r="D1881" s="71"/>
      <c r="E1881" s="71"/>
      <c r="F1881" s="71"/>
      <c r="G1881" s="65"/>
      <c r="H1881" s="74"/>
      <c r="I1881" s="67" t="str">
        <f>IFERROR(__xludf.DUMMYFUNCTION("if($H1881="""", """", AVERAGE(split($H1881, "";"")))"),"")</f>
        <v/>
      </c>
      <c r="J1881" s="67" t="str">
        <f>IFERROR(__xludf.DUMMYFUNCTION("if(H1881="""", """", SUM(split(H1881, "";"")))"),"")</f>
        <v/>
      </c>
      <c r="K1881" s="68"/>
      <c r="L1881" s="68"/>
      <c r="M1881" s="68"/>
      <c r="N1881" s="68"/>
      <c r="O1881" s="68"/>
      <c r="P1881" s="68"/>
      <c r="Q1881" s="68"/>
      <c r="R1881" s="68"/>
      <c r="S1881" s="68"/>
      <c r="T1881" s="68"/>
      <c r="U1881" s="68"/>
      <c r="V1881" s="68"/>
      <c r="W1881" s="68"/>
      <c r="X1881" s="68"/>
      <c r="Y1881" s="68"/>
      <c r="Z1881" s="68"/>
      <c r="AA1881" s="68"/>
    </row>
    <row r="1882" ht="26.25" customHeight="1">
      <c r="A1882" s="68"/>
      <c r="B1882" s="68"/>
      <c r="C1882" s="68"/>
      <c r="D1882" s="71"/>
      <c r="E1882" s="71"/>
      <c r="F1882" s="71"/>
      <c r="G1882" s="65"/>
      <c r="H1882" s="74"/>
      <c r="I1882" s="67" t="str">
        <f>IFERROR(__xludf.DUMMYFUNCTION("if($H1882="""", """", AVERAGE(split($H1882, "";"")))"),"")</f>
        <v/>
      </c>
      <c r="J1882" s="67" t="str">
        <f>IFERROR(__xludf.DUMMYFUNCTION("if(H1882="""", """", SUM(split(H1882, "";"")))"),"")</f>
        <v/>
      </c>
      <c r="K1882" s="68"/>
      <c r="L1882" s="68"/>
      <c r="M1882" s="68"/>
      <c r="N1882" s="68"/>
      <c r="O1882" s="68"/>
      <c r="P1882" s="68"/>
      <c r="Q1882" s="68"/>
      <c r="R1882" s="68"/>
      <c r="S1882" s="68"/>
      <c r="T1882" s="68"/>
      <c r="U1882" s="68"/>
      <c r="V1882" s="68"/>
      <c r="W1882" s="68"/>
      <c r="X1882" s="68"/>
      <c r="Y1882" s="68"/>
      <c r="Z1882" s="68"/>
      <c r="AA1882" s="68"/>
    </row>
    <row r="1883" ht="26.25" customHeight="1">
      <c r="A1883" s="68"/>
      <c r="B1883" s="68"/>
      <c r="C1883" s="68"/>
      <c r="D1883" s="71"/>
      <c r="E1883" s="71"/>
      <c r="F1883" s="71"/>
      <c r="G1883" s="65"/>
      <c r="H1883" s="74"/>
      <c r="I1883" s="67" t="str">
        <f>IFERROR(__xludf.DUMMYFUNCTION("if($H1883="""", """", AVERAGE(split($H1883, "";"")))"),"")</f>
        <v/>
      </c>
      <c r="J1883" s="67" t="str">
        <f>IFERROR(__xludf.DUMMYFUNCTION("if(H1883="""", """", SUM(split(H1883, "";"")))"),"")</f>
        <v/>
      </c>
      <c r="K1883" s="68"/>
      <c r="L1883" s="68"/>
      <c r="M1883" s="68"/>
      <c r="N1883" s="68"/>
      <c r="O1883" s="68"/>
      <c r="P1883" s="68"/>
      <c r="Q1883" s="68"/>
      <c r="R1883" s="68"/>
      <c r="S1883" s="68"/>
      <c r="T1883" s="68"/>
      <c r="U1883" s="68"/>
      <c r="V1883" s="68"/>
      <c r="W1883" s="68"/>
      <c r="X1883" s="68"/>
      <c r="Y1883" s="68"/>
      <c r="Z1883" s="68"/>
      <c r="AA1883" s="68"/>
    </row>
    <row r="1884" ht="26.25" customHeight="1">
      <c r="A1884" s="68"/>
      <c r="B1884" s="68"/>
      <c r="C1884" s="68"/>
      <c r="D1884" s="71"/>
      <c r="E1884" s="71"/>
      <c r="F1884" s="71"/>
      <c r="G1884" s="65"/>
      <c r="H1884" s="74"/>
      <c r="I1884" s="67" t="str">
        <f>IFERROR(__xludf.DUMMYFUNCTION("if($H1884="""", """", AVERAGE(split($H1884, "";"")))"),"")</f>
        <v/>
      </c>
      <c r="J1884" s="67" t="str">
        <f>IFERROR(__xludf.DUMMYFUNCTION("if(H1884="""", """", SUM(split(H1884, "";"")))"),"")</f>
        <v/>
      </c>
      <c r="K1884" s="68"/>
      <c r="L1884" s="68"/>
      <c r="M1884" s="68"/>
      <c r="N1884" s="68"/>
      <c r="O1884" s="68"/>
      <c r="P1884" s="68"/>
      <c r="Q1884" s="68"/>
      <c r="R1884" s="68"/>
      <c r="S1884" s="68"/>
      <c r="T1884" s="68"/>
      <c r="U1884" s="68"/>
      <c r="V1884" s="68"/>
      <c r="W1884" s="68"/>
      <c r="X1884" s="68"/>
      <c r="Y1884" s="68"/>
      <c r="Z1884" s="68"/>
      <c r="AA1884" s="68"/>
    </row>
    <row r="1885" ht="26.25" customHeight="1">
      <c r="A1885" s="68"/>
      <c r="B1885" s="68"/>
      <c r="C1885" s="68"/>
      <c r="D1885" s="71"/>
      <c r="E1885" s="71"/>
      <c r="F1885" s="71"/>
      <c r="G1885" s="65"/>
      <c r="H1885" s="74"/>
      <c r="I1885" s="67" t="str">
        <f>IFERROR(__xludf.DUMMYFUNCTION("if($H1885="""", """", AVERAGE(split($H1885, "";"")))"),"")</f>
        <v/>
      </c>
      <c r="J1885" s="67" t="str">
        <f>IFERROR(__xludf.DUMMYFUNCTION("if(H1885="""", """", SUM(split(H1885, "";"")))"),"")</f>
        <v/>
      </c>
      <c r="K1885" s="68"/>
      <c r="L1885" s="68"/>
      <c r="M1885" s="68"/>
      <c r="N1885" s="68"/>
      <c r="O1885" s="68"/>
      <c r="P1885" s="68"/>
      <c r="Q1885" s="68"/>
      <c r="R1885" s="68"/>
      <c r="S1885" s="68"/>
      <c r="T1885" s="68"/>
      <c r="U1885" s="68"/>
      <c r="V1885" s="68"/>
      <c r="W1885" s="68"/>
      <c r="X1885" s="68"/>
      <c r="Y1885" s="68"/>
      <c r="Z1885" s="68"/>
      <c r="AA1885" s="68"/>
    </row>
    <row r="1886" ht="26.25" customHeight="1">
      <c r="A1886" s="68"/>
      <c r="B1886" s="68"/>
      <c r="C1886" s="68"/>
      <c r="D1886" s="71"/>
      <c r="E1886" s="71"/>
      <c r="F1886" s="71"/>
      <c r="G1886" s="65"/>
      <c r="H1886" s="74"/>
      <c r="I1886" s="67" t="str">
        <f>IFERROR(__xludf.DUMMYFUNCTION("if($H1886="""", """", AVERAGE(split($H1886, "";"")))"),"")</f>
        <v/>
      </c>
      <c r="J1886" s="67" t="str">
        <f>IFERROR(__xludf.DUMMYFUNCTION("if(H1886="""", """", SUM(split(H1886, "";"")))"),"")</f>
        <v/>
      </c>
      <c r="K1886" s="68"/>
      <c r="L1886" s="68"/>
      <c r="M1886" s="68"/>
      <c r="N1886" s="68"/>
      <c r="O1886" s="68"/>
      <c r="P1886" s="68"/>
      <c r="Q1886" s="68"/>
      <c r="R1886" s="68"/>
      <c r="S1886" s="68"/>
      <c r="T1886" s="68"/>
      <c r="U1886" s="68"/>
      <c r="V1886" s="68"/>
      <c r="W1886" s="68"/>
      <c r="X1886" s="68"/>
      <c r="Y1886" s="68"/>
      <c r="Z1886" s="68"/>
      <c r="AA1886" s="68"/>
    </row>
    <row r="1887" ht="26.25" customHeight="1">
      <c r="A1887" s="68"/>
      <c r="B1887" s="68"/>
      <c r="C1887" s="68"/>
      <c r="D1887" s="71"/>
      <c r="E1887" s="71"/>
      <c r="F1887" s="71"/>
      <c r="G1887" s="65"/>
      <c r="H1887" s="74"/>
      <c r="I1887" s="67" t="str">
        <f>IFERROR(__xludf.DUMMYFUNCTION("if($H1887="""", """", AVERAGE(split($H1887, "";"")))"),"")</f>
        <v/>
      </c>
      <c r="J1887" s="67" t="str">
        <f>IFERROR(__xludf.DUMMYFUNCTION("if(H1887="""", """", SUM(split(H1887, "";"")))"),"")</f>
        <v/>
      </c>
      <c r="K1887" s="68"/>
      <c r="L1887" s="68"/>
      <c r="M1887" s="68"/>
      <c r="N1887" s="68"/>
      <c r="O1887" s="68"/>
      <c r="P1887" s="68"/>
      <c r="Q1887" s="68"/>
      <c r="R1887" s="68"/>
      <c r="S1887" s="68"/>
      <c r="T1887" s="68"/>
      <c r="U1887" s="68"/>
      <c r="V1887" s="68"/>
      <c r="W1887" s="68"/>
      <c r="X1887" s="68"/>
      <c r="Y1887" s="68"/>
      <c r="Z1887" s="68"/>
      <c r="AA1887" s="68"/>
    </row>
    <row r="1888" ht="26.25" customHeight="1">
      <c r="A1888" s="68"/>
      <c r="B1888" s="68"/>
      <c r="C1888" s="68"/>
      <c r="D1888" s="71"/>
      <c r="E1888" s="71"/>
      <c r="F1888" s="71"/>
      <c r="G1888" s="65"/>
      <c r="H1888" s="74"/>
      <c r="I1888" s="67" t="str">
        <f>IFERROR(__xludf.DUMMYFUNCTION("if($H1888="""", """", AVERAGE(split($H1888, "";"")))"),"")</f>
        <v/>
      </c>
      <c r="J1888" s="67" t="str">
        <f>IFERROR(__xludf.DUMMYFUNCTION("if(H1888="""", """", SUM(split(H1888, "";"")))"),"")</f>
        <v/>
      </c>
      <c r="K1888" s="68"/>
      <c r="L1888" s="68"/>
      <c r="M1888" s="68"/>
      <c r="N1888" s="68"/>
      <c r="O1888" s="68"/>
      <c r="P1888" s="68"/>
      <c r="Q1888" s="68"/>
      <c r="R1888" s="68"/>
      <c r="S1888" s="68"/>
      <c r="T1888" s="68"/>
      <c r="U1888" s="68"/>
      <c r="V1888" s="68"/>
      <c r="W1888" s="68"/>
      <c r="X1888" s="68"/>
      <c r="Y1888" s="68"/>
      <c r="Z1888" s="68"/>
      <c r="AA1888" s="68"/>
    </row>
    <row r="1889" ht="26.25" customHeight="1">
      <c r="A1889" s="68"/>
      <c r="B1889" s="68"/>
      <c r="C1889" s="68"/>
      <c r="D1889" s="71"/>
      <c r="E1889" s="71"/>
      <c r="F1889" s="71"/>
      <c r="G1889" s="65"/>
      <c r="H1889" s="74"/>
      <c r="I1889" s="67" t="str">
        <f>IFERROR(__xludf.DUMMYFUNCTION("if($H1889="""", """", AVERAGE(split($H1889, "";"")))"),"")</f>
        <v/>
      </c>
      <c r="J1889" s="67" t="str">
        <f>IFERROR(__xludf.DUMMYFUNCTION("if(H1889="""", """", SUM(split(H1889, "";"")))"),"")</f>
        <v/>
      </c>
      <c r="K1889" s="68"/>
      <c r="L1889" s="68"/>
      <c r="M1889" s="68"/>
      <c r="N1889" s="68"/>
      <c r="O1889" s="68"/>
      <c r="P1889" s="68"/>
      <c r="Q1889" s="68"/>
      <c r="R1889" s="68"/>
      <c r="S1889" s="68"/>
      <c r="T1889" s="68"/>
      <c r="U1889" s="68"/>
      <c r="V1889" s="68"/>
      <c r="W1889" s="68"/>
      <c r="X1889" s="68"/>
      <c r="Y1889" s="68"/>
      <c r="Z1889" s="68"/>
      <c r="AA1889" s="68"/>
    </row>
    <row r="1890" ht="26.25" customHeight="1">
      <c r="A1890" s="68"/>
      <c r="B1890" s="68"/>
      <c r="C1890" s="68"/>
      <c r="D1890" s="71"/>
      <c r="E1890" s="71"/>
      <c r="F1890" s="71"/>
      <c r="G1890" s="65"/>
      <c r="H1890" s="74"/>
      <c r="I1890" s="67" t="str">
        <f>IFERROR(__xludf.DUMMYFUNCTION("if($H1890="""", """", AVERAGE(split($H1890, "";"")))"),"")</f>
        <v/>
      </c>
      <c r="J1890" s="67" t="str">
        <f>IFERROR(__xludf.DUMMYFUNCTION("if(H1890="""", """", SUM(split(H1890, "";"")))"),"")</f>
        <v/>
      </c>
      <c r="K1890" s="68"/>
      <c r="L1890" s="68"/>
      <c r="M1890" s="68"/>
      <c r="N1890" s="68"/>
      <c r="O1890" s="68"/>
      <c r="P1890" s="68"/>
      <c r="Q1890" s="68"/>
      <c r="R1890" s="68"/>
      <c r="S1890" s="68"/>
      <c r="T1890" s="68"/>
      <c r="U1890" s="68"/>
      <c r="V1890" s="68"/>
      <c r="W1890" s="68"/>
      <c r="X1890" s="68"/>
      <c r="Y1890" s="68"/>
      <c r="Z1890" s="68"/>
      <c r="AA1890" s="68"/>
    </row>
    <row r="1891" ht="26.25" customHeight="1">
      <c r="A1891" s="68"/>
      <c r="B1891" s="68"/>
      <c r="C1891" s="68"/>
      <c r="D1891" s="71"/>
      <c r="E1891" s="71"/>
      <c r="F1891" s="71"/>
      <c r="G1891" s="65"/>
      <c r="H1891" s="74"/>
      <c r="I1891" s="67" t="str">
        <f>IFERROR(__xludf.DUMMYFUNCTION("if($H1891="""", """", AVERAGE(split($H1891, "";"")))"),"")</f>
        <v/>
      </c>
      <c r="J1891" s="67" t="str">
        <f>IFERROR(__xludf.DUMMYFUNCTION("if(H1891="""", """", SUM(split(H1891, "";"")))"),"")</f>
        <v/>
      </c>
      <c r="K1891" s="68"/>
      <c r="L1891" s="68"/>
      <c r="M1891" s="68"/>
      <c r="N1891" s="68"/>
      <c r="O1891" s="68"/>
      <c r="P1891" s="68"/>
      <c r="Q1891" s="68"/>
      <c r="R1891" s="68"/>
      <c r="S1891" s="68"/>
      <c r="T1891" s="68"/>
      <c r="U1891" s="68"/>
      <c r="V1891" s="68"/>
      <c r="W1891" s="68"/>
      <c r="X1891" s="68"/>
      <c r="Y1891" s="68"/>
      <c r="Z1891" s="68"/>
      <c r="AA1891" s="68"/>
    </row>
    <row r="1892" ht="26.25" customHeight="1">
      <c r="A1892" s="68"/>
      <c r="B1892" s="68"/>
      <c r="C1892" s="68"/>
      <c r="D1892" s="71"/>
      <c r="E1892" s="71"/>
      <c r="F1892" s="71"/>
      <c r="G1892" s="65"/>
      <c r="H1892" s="74"/>
      <c r="I1892" s="67" t="str">
        <f>IFERROR(__xludf.DUMMYFUNCTION("if($H1892="""", """", AVERAGE(split($H1892, "";"")))"),"")</f>
        <v/>
      </c>
      <c r="J1892" s="67" t="str">
        <f>IFERROR(__xludf.DUMMYFUNCTION("if(H1892="""", """", SUM(split(H1892, "";"")))"),"")</f>
        <v/>
      </c>
      <c r="K1892" s="68"/>
      <c r="L1892" s="68"/>
      <c r="M1892" s="68"/>
      <c r="N1892" s="68"/>
      <c r="O1892" s="68"/>
      <c r="P1892" s="68"/>
      <c r="Q1892" s="68"/>
      <c r="R1892" s="68"/>
      <c r="S1892" s="68"/>
      <c r="T1892" s="68"/>
      <c r="U1892" s="68"/>
      <c r="V1892" s="68"/>
      <c r="W1892" s="68"/>
      <c r="X1892" s="68"/>
      <c r="Y1892" s="68"/>
      <c r="Z1892" s="68"/>
      <c r="AA1892" s="68"/>
    </row>
    <row r="1893" ht="26.25" customHeight="1">
      <c r="A1893" s="68"/>
      <c r="B1893" s="68"/>
      <c r="C1893" s="68"/>
      <c r="D1893" s="71"/>
      <c r="E1893" s="71"/>
      <c r="F1893" s="71"/>
      <c r="G1893" s="65"/>
      <c r="H1893" s="74"/>
      <c r="I1893" s="67" t="str">
        <f>IFERROR(__xludf.DUMMYFUNCTION("if($H1893="""", """", AVERAGE(split($H1893, "";"")))"),"")</f>
        <v/>
      </c>
      <c r="J1893" s="67" t="str">
        <f>IFERROR(__xludf.DUMMYFUNCTION("if(H1893="""", """", SUM(split(H1893, "";"")))"),"")</f>
        <v/>
      </c>
      <c r="K1893" s="68"/>
      <c r="L1893" s="68"/>
      <c r="M1893" s="68"/>
      <c r="N1893" s="68"/>
      <c r="O1893" s="68"/>
      <c r="P1893" s="68"/>
      <c r="Q1893" s="68"/>
      <c r="R1893" s="68"/>
      <c r="S1893" s="68"/>
      <c r="T1893" s="68"/>
      <c r="U1893" s="68"/>
      <c r="V1893" s="68"/>
      <c r="W1893" s="68"/>
      <c r="X1893" s="68"/>
      <c r="Y1893" s="68"/>
      <c r="Z1893" s="68"/>
      <c r="AA1893" s="68"/>
    </row>
    <row r="1894" ht="26.25" customHeight="1">
      <c r="A1894" s="68"/>
      <c r="B1894" s="68"/>
      <c r="C1894" s="68"/>
      <c r="D1894" s="71"/>
      <c r="E1894" s="71"/>
      <c r="F1894" s="71"/>
      <c r="G1894" s="65"/>
      <c r="H1894" s="74"/>
      <c r="I1894" s="67" t="str">
        <f>IFERROR(__xludf.DUMMYFUNCTION("if($H1894="""", """", AVERAGE(split($H1894, "";"")))"),"")</f>
        <v/>
      </c>
      <c r="J1894" s="67" t="str">
        <f>IFERROR(__xludf.DUMMYFUNCTION("if(H1894="""", """", SUM(split(H1894, "";"")))"),"")</f>
        <v/>
      </c>
      <c r="K1894" s="68"/>
      <c r="L1894" s="68"/>
      <c r="M1894" s="68"/>
      <c r="N1894" s="68"/>
      <c r="O1894" s="68"/>
      <c r="P1894" s="68"/>
      <c r="Q1894" s="68"/>
      <c r="R1894" s="68"/>
      <c r="S1894" s="68"/>
      <c r="T1894" s="68"/>
      <c r="U1894" s="68"/>
      <c r="V1894" s="68"/>
      <c r="W1894" s="68"/>
      <c r="X1894" s="68"/>
      <c r="Y1894" s="68"/>
      <c r="Z1894" s="68"/>
      <c r="AA1894" s="68"/>
    </row>
    <row r="1895" ht="26.25" customHeight="1">
      <c r="A1895" s="68"/>
      <c r="B1895" s="68"/>
      <c r="C1895" s="68"/>
      <c r="D1895" s="71"/>
      <c r="E1895" s="71"/>
      <c r="F1895" s="71"/>
      <c r="G1895" s="65"/>
      <c r="H1895" s="74"/>
      <c r="I1895" s="67" t="str">
        <f>IFERROR(__xludf.DUMMYFUNCTION("if($H1895="""", """", AVERAGE(split($H1895, "";"")))"),"")</f>
        <v/>
      </c>
      <c r="J1895" s="67" t="str">
        <f>IFERROR(__xludf.DUMMYFUNCTION("if(H1895="""", """", SUM(split(H1895, "";"")))"),"")</f>
        <v/>
      </c>
      <c r="K1895" s="68"/>
      <c r="L1895" s="68"/>
      <c r="M1895" s="68"/>
      <c r="N1895" s="68"/>
      <c r="O1895" s="68"/>
      <c r="P1895" s="68"/>
      <c r="Q1895" s="68"/>
      <c r="R1895" s="68"/>
      <c r="S1895" s="68"/>
      <c r="T1895" s="68"/>
      <c r="U1895" s="68"/>
      <c r="V1895" s="68"/>
      <c r="W1895" s="68"/>
      <c r="X1895" s="68"/>
      <c r="Y1895" s="68"/>
      <c r="Z1895" s="68"/>
      <c r="AA1895" s="68"/>
    </row>
    <row r="1896" ht="26.25" customHeight="1">
      <c r="A1896" s="68"/>
      <c r="B1896" s="68"/>
      <c r="C1896" s="68"/>
      <c r="D1896" s="71"/>
      <c r="E1896" s="71"/>
      <c r="F1896" s="71"/>
      <c r="G1896" s="65"/>
      <c r="H1896" s="74"/>
      <c r="I1896" s="67" t="str">
        <f>IFERROR(__xludf.DUMMYFUNCTION("if($H1896="""", """", AVERAGE(split($H1896, "";"")))"),"")</f>
        <v/>
      </c>
      <c r="J1896" s="67" t="str">
        <f>IFERROR(__xludf.DUMMYFUNCTION("if(H1896="""", """", SUM(split(H1896, "";"")))"),"")</f>
        <v/>
      </c>
      <c r="K1896" s="68"/>
      <c r="L1896" s="68"/>
      <c r="M1896" s="68"/>
      <c r="N1896" s="68"/>
      <c r="O1896" s="68"/>
      <c r="P1896" s="68"/>
      <c r="Q1896" s="68"/>
      <c r="R1896" s="68"/>
      <c r="S1896" s="68"/>
      <c r="T1896" s="68"/>
      <c r="U1896" s="68"/>
      <c r="V1896" s="68"/>
      <c r="W1896" s="68"/>
      <c r="X1896" s="68"/>
      <c r="Y1896" s="68"/>
      <c r="Z1896" s="68"/>
      <c r="AA1896" s="68"/>
    </row>
    <row r="1897" ht="26.25" customHeight="1">
      <c r="A1897" s="68"/>
      <c r="B1897" s="68"/>
      <c r="C1897" s="68"/>
      <c r="D1897" s="71"/>
      <c r="E1897" s="71"/>
      <c r="F1897" s="71"/>
      <c r="G1897" s="65"/>
      <c r="H1897" s="74"/>
      <c r="I1897" s="67" t="str">
        <f>IFERROR(__xludf.DUMMYFUNCTION("if($H1897="""", """", AVERAGE(split($H1897, "";"")))"),"")</f>
        <v/>
      </c>
      <c r="J1897" s="67" t="str">
        <f>IFERROR(__xludf.DUMMYFUNCTION("if(H1897="""", """", SUM(split(H1897, "";"")))"),"")</f>
        <v/>
      </c>
      <c r="K1897" s="68"/>
      <c r="L1897" s="68"/>
      <c r="M1897" s="68"/>
      <c r="N1897" s="68"/>
      <c r="O1897" s="68"/>
      <c r="P1897" s="68"/>
      <c r="Q1897" s="68"/>
      <c r="R1897" s="68"/>
      <c r="S1897" s="68"/>
      <c r="T1897" s="68"/>
      <c r="U1897" s="68"/>
      <c r="V1897" s="68"/>
      <c r="W1897" s="68"/>
      <c r="X1897" s="68"/>
      <c r="Y1897" s="68"/>
      <c r="Z1897" s="68"/>
      <c r="AA1897" s="68"/>
    </row>
    <row r="1898" ht="26.25" customHeight="1">
      <c r="A1898" s="68"/>
      <c r="B1898" s="68"/>
      <c r="C1898" s="68"/>
      <c r="D1898" s="71"/>
      <c r="E1898" s="71"/>
      <c r="F1898" s="71"/>
      <c r="G1898" s="65"/>
      <c r="H1898" s="74"/>
      <c r="I1898" s="67" t="str">
        <f>IFERROR(__xludf.DUMMYFUNCTION("if($H1898="""", """", AVERAGE(split($H1898, "";"")))"),"")</f>
        <v/>
      </c>
      <c r="J1898" s="67" t="str">
        <f>IFERROR(__xludf.DUMMYFUNCTION("if(H1898="""", """", SUM(split(H1898, "";"")))"),"")</f>
        <v/>
      </c>
      <c r="K1898" s="68"/>
      <c r="L1898" s="68"/>
      <c r="M1898" s="68"/>
      <c r="N1898" s="68"/>
      <c r="O1898" s="68"/>
      <c r="P1898" s="68"/>
      <c r="Q1898" s="68"/>
      <c r="R1898" s="68"/>
      <c r="S1898" s="68"/>
      <c r="T1898" s="68"/>
      <c r="U1898" s="68"/>
      <c r="V1898" s="68"/>
      <c r="W1898" s="68"/>
      <c r="X1898" s="68"/>
      <c r="Y1898" s="68"/>
      <c r="Z1898" s="68"/>
      <c r="AA1898" s="68"/>
    </row>
    <row r="1899" ht="26.25" customHeight="1">
      <c r="A1899" s="68"/>
      <c r="B1899" s="68"/>
      <c r="C1899" s="68"/>
      <c r="D1899" s="71"/>
      <c r="E1899" s="71"/>
      <c r="F1899" s="71"/>
      <c r="G1899" s="65"/>
      <c r="H1899" s="74"/>
      <c r="I1899" s="67" t="str">
        <f>IFERROR(__xludf.DUMMYFUNCTION("if($H1899="""", """", AVERAGE(split($H1899, "";"")))"),"")</f>
        <v/>
      </c>
      <c r="J1899" s="67" t="str">
        <f>IFERROR(__xludf.DUMMYFUNCTION("if(H1899="""", """", SUM(split(H1899, "";"")))"),"")</f>
        <v/>
      </c>
      <c r="K1899" s="68"/>
      <c r="L1899" s="68"/>
      <c r="M1899" s="68"/>
      <c r="N1899" s="68"/>
      <c r="O1899" s="68"/>
      <c r="P1899" s="68"/>
      <c r="Q1899" s="68"/>
      <c r="R1899" s="68"/>
      <c r="S1899" s="68"/>
      <c r="T1899" s="68"/>
      <c r="U1899" s="68"/>
      <c r="V1899" s="68"/>
      <c r="W1899" s="68"/>
      <c r="X1899" s="68"/>
      <c r="Y1899" s="68"/>
      <c r="Z1899" s="68"/>
      <c r="AA1899" s="68"/>
    </row>
    <row r="1900" ht="26.25" customHeight="1">
      <c r="A1900" s="68"/>
      <c r="B1900" s="68"/>
      <c r="C1900" s="68"/>
      <c r="D1900" s="71"/>
      <c r="E1900" s="71"/>
      <c r="F1900" s="71"/>
      <c r="G1900" s="65"/>
      <c r="H1900" s="74"/>
      <c r="I1900" s="67" t="str">
        <f>IFERROR(__xludf.DUMMYFUNCTION("if($H1900="""", """", AVERAGE(split($H1900, "";"")))"),"")</f>
        <v/>
      </c>
      <c r="J1900" s="67" t="str">
        <f>IFERROR(__xludf.DUMMYFUNCTION("if(H1900="""", """", SUM(split(H1900, "";"")))"),"")</f>
        <v/>
      </c>
      <c r="K1900" s="68"/>
      <c r="L1900" s="68"/>
      <c r="M1900" s="68"/>
      <c r="N1900" s="68"/>
      <c r="O1900" s="68"/>
      <c r="P1900" s="68"/>
      <c r="Q1900" s="68"/>
      <c r="R1900" s="68"/>
      <c r="S1900" s="68"/>
      <c r="T1900" s="68"/>
      <c r="U1900" s="68"/>
      <c r="V1900" s="68"/>
      <c r="W1900" s="68"/>
      <c r="X1900" s="68"/>
      <c r="Y1900" s="68"/>
      <c r="Z1900" s="68"/>
      <c r="AA1900" s="68"/>
    </row>
    <row r="1901" ht="26.25" customHeight="1">
      <c r="A1901" s="68"/>
      <c r="B1901" s="68"/>
      <c r="C1901" s="68"/>
      <c r="D1901" s="71"/>
      <c r="E1901" s="71"/>
      <c r="F1901" s="71"/>
      <c r="G1901" s="65"/>
      <c r="H1901" s="74"/>
      <c r="I1901" s="67" t="str">
        <f>IFERROR(__xludf.DUMMYFUNCTION("if($H1901="""", """", AVERAGE(split($H1901, "";"")))"),"")</f>
        <v/>
      </c>
      <c r="J1901" s="67" t="str">
        <f>IFERROR(__xludf.DUMMYFUNCTION("if(H1901="""", """", SUM(split(H1901, "";"")))"),"")</f>
        <v/>
      </c>
      <c r="K1901" s="68"/>
      <c r="L1901" s="68"/>
      <c r="M1901" s="68"/>
      <c r="N1901" s="68"/>
      <c r="O1901" s="68"/>
      <c r="P1901" s="68"/>
      <c r="Q1901" s="68"/>
      <c r="R1901" s="68"/>
      <c r="S1901" s="68"/>
      <c r="T1901" s="68"/>
      <c r="U1901" s="68"/>
      <c r="V1901" s="68"/>
      <c r="W1901" s="68"/>
      <c r="X1901" s="68"/>
      <c r="Y1901" s="68"/>
      <c r="Z1901" s="68"/>
      <c r="AA1901" s="68"/>
    </row>
    <row r="1902" ht="26.25" customHeight="1">
      <c r="A1902" s="68"/>
      <c r="B1902" s="68"/>
      <c r="C1902" s="68"/>
      <c r="D1902" s="71"/>
      <c r="E1902" s="71"/>
      <c r="F1902" s="71"/>
      <c r="G1902" s="65"/>
      <c r="H1902" s="74"/>
      <c r="I1902" s="67" t="str">
        <f>IFERROR(__xludf.DUMMYFUNCTION("if($H1902="""", """", AVERAGE(split($H1902, "";"")))"),"")</f>
        <v/>
      </c>
      <c r="J1902" s="67" t="str">
        <f>IFERROR(__xludf.DUMMYFUNCTION("if(H1902="""", """", SUM(split(H1902, "";"")))"),"")</f>
        <v/>
      </c>
      <c r="K1902" s="68"/>
      <c r="L1902" s="68"/>
      <c r="M1902" s="68"/>
      <c r="N1902" s="68"/>
      <c r="O1902" s="68"/>
      <c r="P1902" s="68"/>
      <c r="Q1902" s="68"/>
      <c r="R1902" s="68"/>
      <c r="S1902" s="68"/>
      <c r="T1902" s="68"/>
      <c r="U1902" s="68"/>
      <c r="V1902" s="68"/>
      <c r="W1902" s="68"/>
      <c r="X1902" s="68"/>
      <c r="Y1902" s="68"/>
      <c r="Z1902" s="68"/>
      <c r="AA1902" s="68"/>
    </row>
    <row r="1903" ht="26.25" customHeight="1">
      <c r="A1903" s="68"/>
      <c r="B1903" s="68"/>
      <c r="C1903" s="68"/>
      <c r="D1903" s="71"/>
      <c r="E1903" s="71"/>
      <c r="F1903" s="71"/>
      <c r="G1903" s="65"/>
      <c r="H1903" s="74"/>
      <c r="I1903" s="67" t="str">
        <f>IFERROR(__xludf.DUMMYFUNCTION("if($H1903="""", """", AVERAGE(split($H1903, "";"")))"),"")</f>
        <v/>
      </c>
      <c r="J1903" s="67" t="str">
        <f>IFERROR(__xludf.DUMMYFUNCTION("if(H1903="""", """", SUM(split(H1903, "";"")))"),"")</f>
        <v/>
      </c>
      <c r="K1903" s="68"/>
      <c r="L1903" s="68"/>
      <c r="M1903" s="68"/>
      <c r="N1903" s="68"/>
      <c r="O1903" s="68"/>
      <c r="P1903" s="68"/>
      <c r="Q1903" s="68"/>
      <c r="R1903" s="68"/>
      <c r="S1903" s="68"/>
      <c r="T1903" s="68"/>
      <c r="U1903" s="68"/>
      <c r="V1903" s="68"/>
      <c r="W1903" s="68"/>
      <c r="X1903" s="68"/>
      <c r="Y1903" s="68"/>
      <c r="Z1903" s="68"/>
      <c r="AA1903" s="68"/>
    </row>
    <row r="1904" ht="26.25" customHeight="1">
      <c r="A1904" s="68"/>
      <c r="B1904" s="68"/>
      <c r="C1904" s="68"/>
      <c r="D1904" s="71"/>
      <c r="E1904" s="71"/>
      <c r="F1904" s="71"/>
      <c r="G1904" s="65"/>
      <c r="H1904" s="74"/>
      <c r="I1904" s="67" t="str">
        <f>IFERROR(__xludf.DUMMYFUNCTION("if($H1904="""", """", AVERAGE(split($H1904, "";"")))"),"")</f>
        <v/>
      </c>
      <c r="J1904" s="67" t="str">
        <f>IFERROR(__xludf.DUMMYFUNCTION("if(H1904="""", """", SUM(split(H1904, "";"")))"),"")</f>
        <v/>
      </c>
      <c r="K1904" s="68"/>
      <c r="L1904" s="68"/>
      <c r="M1904" s="68"/>
      <c r="N1904" s="68"/>
      <c r="O1904" s="68"/>
      <c r="P1904" s="68"/>
      <c r="Q1904" s="68"/>
      <c r="R1904" s="68"/>
      <c r="S1904" s="68"/>
      <c r="T1904" s="68"/>
      <c r="U1904" s="68"/>
      <c r="V1904" s="68"/>
      <c r="W1904" s="68"/>
      <c r="X1904" s="68"/>
      <c r="Y1904" s="68"/>
      <c r="Z1904" s="68"/>
      <c r="AA1904" s="68"/>
    </row>
    <row r="1905" ht="26.25" customHeight="1">
      <c r="A1905" s="68"/>
      <c r="B1905" s="68"/>
      <c r="C1905" s="68"/>
      <c r="D1905" s="71"/>
      <c r="E1905" s="71"/>
      <c r="F1905" s="71"/>
      <c r="G1905" s="65"/>
      <c r="H1905" s="74"/>
      <c r="I1905" s="67" t="str">
        <f>IFERROR(__xludf.DUMMYFUNCTION("if($H1905="""", """", AVERAGE(split($H1905, "";"")))"),"")</f>
        <v/>
      </c>
      <c r="J1905" s="67" t="str">
        <f>IFERROR(__xludf.DUMMYFUNCTION("if(H1905="""", """", SUM(split(H1905, "";"")))"),"")</f>
        <v/>
      </c>
      <c r="K1905" s="68"/>
      <c r="L1905" s="68"/>
      <c r="M1905" s="68"/>
      <c r="N1905" s="68"/>
      <c r="O1905" s="68"/>
      <c r="P1905" s="68"/>
      <c r="Q1905" s="68"/>
      <c r="R1905" s="68"/>
      <c r="S1905" s="68"/>
      <c r="T1905" s="68"/>
      <c r="U1905" s="68"/>
      <c r="V1905" s="68"/>
      <c r="W1905" s="68"/>
      <c r="X1905" s="68"/>
      <c r="Y1905" s="68"/>
      <c r="Z1905" s="68"/>
      <c r="AA1905" s="68"/>
    </row>
    <row r="1906" ht="26.25" customHeight="1">
      <c r="A1906" s="68"/>
      <c r="B1906" s="68"/>
      <c r="C1906" s="68"/>
      <c r="D1906" s="71"/>
      <c r="E1906" s="71"/>
      <c r="F1906" s="71"/>
      <c r="G1906" s="65"/>
      <c r="H1906" s="74"/>
      <c r="I1906" s="67" t="str">
        <f>IFERROR(__xludf.DUMMYFUNCTION("if($H1906="""", """", AVERAGE(split($H1906, "";"")))"),"")</f>
        <v/>
      </c>
      <c r="J1906" s="67" t="str">
        <f>IFERROR(__xludf.DUMMYFUNCTION("if(H1906="""", """", SUM(split(H1906, "";"")))"),"")</f>
        <v/>
      </c>
      <c r="K1906" s="68"/>
      <c r="L1906" s="68"/>
      <c r="M1906" s="68"/>
      <c r="N1906" s="68"/>
      <c r="O1906" s="68"/>
      <c r="P1906" s="68"/>
      <c r="Q1906" s="68"/>
      <c r="R1906" s="68"/>
      <c r="S1906" s="68"/>
      <c r="T1906" s="68"/>
      <c r="U1906" s="68"/>
      <c r="V1906" s="68"/>
      <c r="W1906" s="68"/>
      <c r="X1906" s="68"/>
      <c r="Y1906" s="68"/>
      <c r="Z1906" s="68"/>
      <c r="AA1906" s="68"/>
    </row>
    <row r="1907" ht="26.25" customHeight="1">
      <c r="A1907" s="68"/>
      <c r="B1907" s="68"/>
      <c r="C1907" s="68"/>
      <c r="D1907" s="71"/>
      <c r="E1907" s="71"/>
      <c r="F1907" s="71"/>
      <c r="G1907" s="65"/>
      <c r="H1907" s="74"/>
      <c r="I1907" s="67" t="str">
        <f>IFERROR(__xludf.DUMMYFUNCTION("if($H1907="""", """", AVERAGE(split($H1907, "";"")))"),"")</f>
        <v/>
      </c>
      <c r="J1907" s="67" t="str">
        <f>IFERROR(__xludf.DUMMYFUNCTION("if(H1907="""", """", SUM(split(H1907, "";"")))"),"")</f>
        <v/>
      </c>
      <c r="K1907" s="68"/>
      <c r="L1907" s="68"/>
      <c r="M1907" s="68"/>
      <c r="N1907" s="68"/>
      <c r="O1907" s="68"/>
      <c r="P1907" s="68"/>
      <c r="Q1907" s="68"/>
      <c r="R1907" s="68"/>
      <c r="S1907" s="68"/>
      <c r="T1907" s="68"/>
      <c r="U1907" s="68"/>
      <c r="V1907" s="68"/>
      <c r="W1907" s="68"/>
      <c r="X1907" s="68"/>
      <c r="Y1907" s="68"/>
      <c r="Z1907" s="68"/>
      <c r="AA1907" s="68"/>
    </row>
    <row r="1908" ht="26.25" customHeight="1">
      <c r="A1908" s="68"/>
      <c r="B1908" s="68"/>
      <c r="C1908" s="68"/>
      <c r="D1908" s="71"/>
      <c r="E1908" s="71"/>
      <c r="F1908" s="71"/>
      <c r="G1908" s="65"/>
      <c r="H1908" s="74"/>
      <c r="I1908" s="67" t="str">
        <f>IFERROR(__xludf.DUMMYFUNCTION("if($H1908="""", """", AVERAGE(split($H1908, "";"")))"),"")</f>
        <v/>
      </c>
      <c r="J1908" s="67" t="str">
        <f>IFERROR(__xludf.DUMMYFUNCTION("if(H1908="""", """", SUM(split(H1908, "";"")))"),"")</f>
        <v/>
      </c>
      <c r="K1908" s="68"/>
      <c r="L1908" s="68"/>
      <c r="M1908" s="68"/>
      <c r="N1908" s="68"/>
      <c r="O1908" s="68"/>
      <c r="P1908" s="68"/>
      <c r="Q1908" s="68"/>
      <c r="R1908" s="68"/>
      <c r="S1908" s="68"/>
      <c r="T1908" s="68"/>
      <c r="U1908" s="68"/>
      <c r="V1908" s="68"/>
      <c r="W1908" s="68"/>
      <c r="X1908" s="68"/>
      <c r="Y1908" s="68"/>
      <c r="Z1908" s="68"/>
      <c r="AA1908" s="68"/>
    </row>
    <row r="1909" ht="26.25" customHeight="1">
      <c r="A1909" s="68"/>
      <c r="B1909" s="68"/>
      <c r="C1909" s="68"/>
      <c r="D1909" s="71"/>
      <c r="E1909" s="71"/>
      <c r="F1909" s="71"/>
      <c r="G1909" s="65"/>
      <c r="H1909" s="74"/>
      <c r="I1909" s="67" t="str">
        <f>IFERROR(__xludf.DUMMYFUNCTION("if($H1909="""", """", AVERAGE(split($H1909, "";"")))"),"")</f>
        <v/>
      </c>
      <c r="J1909" s="67" t="str">
        <f>IFERROR(__xludf.DUMMYFUNCTION("if(H1909="""", """", SUM(split(H1909, "";"")))"),"")</f>
        <v/>
      </c>
      <c r="K1909" s="68"/>
      <c r="L1909" s="68"/>
      <c r="M1909" s="68"/>
      <c r="N1909" s="68"/>
      <c r="O1909" s="68"/>
      <c r="P1909" s="68"/>
      <c r="Q1909" s="68"/>
      <c r="R1909" s="68"/>
      <c r="S1909" s="68"/>
      <c r="T1909" s="68"/>
      <c r="U1909" s="68"/>
      <c r="V1909" s="68"/>
      <c r="W1909" s="68"/>
      <c r="X1909" s="68"/>
      <c r="Y1909" s="68"/>
      <c r="Z1909" s="68"/>
      <c r="AA1909" s="68"/>
    </row>
    <row r="1910" ht="26.25" customHeight="1">
      <c r="A1910" s="68"/>
      <c r="B1910" s="68"/>
      <c r="C1910" s="68"/>
      <c r="D1910" s="71"/>
      <c r="E1910" s="71"/>
      <c r="F1910" s="71"/>
      <c r="G1910" s="65"/>
      <c r="H1910" s="74"/>
      <c r="I1910" s="67" t="str">
        <f>IFERROR(__xludf.DUMMYFUNCTION("if($H1910="""", """", AVERAGE(split($H1910, "";"")))"),"")</f>
        <v/>
      </c>
      <c r="J1910" s="67" t="str">
        <f>IFERROR(__xludf.DUMMYFUNCTION("if(H1910="""", """", SUM(split(H1910, "";"")))"),"")</f>
        <v/>
      </c>
      <c r="K1910" s="68"/>
      <c r="L1910" s="68"/>
      <c r="M1910" s="68"/>
      <c r="N1910" s="68"/>
      <c r="O1910" s="68"/>
      <c r="P1910" s="68"/>
      <c r="Q1910" s="68"/>
      <c r="R1910" s="68"/>
      <c r="S1910" s="68"/>
      <c r="T1910" s="68"/>
      <c r="U1910" s="68"/>
      <c r="V1910" s="68"/>
      <c r="W1910" s="68"/>
      <c r="X1910" s="68"/>
      <c r="Y1910" s="68"/>
      <c r="Z1910" s="68"/>
      <c r="AA1910" s="68"/>
    </row>
    <row r="1911" ht="26.25" customHeight="1">
      <c r="A1911" s="68"/>
      <c r="B1911" s="68"/>
      <c r="C1911" s="68"/>
      <c r="D1911" s="71"/>
      <c r="E1911" s="71"/>
      <c r="F1911" s="71"/>
      <c r="G1911" s="65"/>
      <c r="H1911" s="74"/>
      <c r="I1911" s="67" t="str">
        <f>IFERROR(__xludf.DUMMYFUNCTION("if($H1911="""", """", AVERAGE(split($H1911, "";"")))"),"")</f>
        <v/>
      </c>
      <c r="J1911" s="67" t="str">
        <f>IFERROR(__xludf.DUMMYFUNCTION("if(H1911="""", """", SUM(split(H1911, "";"")))"),"")</f>
        <v/>
      </c>
      <c r="K1911" s="68"/>
      <c r="L1911" s="68"/>
      <c r="M1911" s="68"/>
      <c r="N1911" s="68"/>
      <c r="O1911" s="68"/>
      <c r="P1911" s="68"/>
      <c r="Q1911" s="68"/>
      <c r="R1911" s="68"/>
      <c r="S1911" s="68"/>
      <c r="T1911" s="68"/>
      <c r="U1911" s="68"/>
      <c r="V1911" s="68"/>
      <c r="W1911" s="68"/>
      <c r="X1911" s="68"/>
      <c r="Y1911" s="68"/>
      <c r="Z1911" s="68"/>
      <c r="AA1911" s="68"/>
    </row>
    <row r="1912" ht="26.25" customHeight="1">
      <c r="A1912" s="68"/>
      <c r="B1912" s="68"/>
      <c r="C1912" s="68"/>
      <c r="D1912" s="71"/>
      <c r="E1912" s="71"/>
      <c r="F1912" s="71"/>
      <c r="G1912" s="65"/>
      <c r="H1912" s="74"/>
      <c r="I1912" s="67" t="str">
        <f>IFERROR(__xludf.DUMMYFUNCTION("if($H1912="""", """", AVERAGE(split($H1912, "";"")))"),"")</f>
        <v/>
      </c>
      <c r="J1912" s="67" t="str">
        <f>IFERROR(__xludf.DUMMYFUNCTION("if(H1912="""", """", SUM(split(H1912, "";"")))"),"")</f>
        <v/>
      </c>
      <c r="K1912" s="68"/>
      <c r="L1912" s="68"/>
      <c r="M1912" s="68"/>
      <c r="N1912" s="68"/>
      <c r="O1912" s="68"/>
      <c r="P1912" s="68"/>
      <c r="Q1912" s="68"/>
      <c r="R1912" s="68"/>
      <c r="S1912" s="68"/>
      <c r="T1912" s="68"/>
      <c r="U1912" s="68"/>
      <c r="V1912" s="68"/>
      <c r="W1912" s="68"/>
      <c r="X1912" s="68"/>
      <c r="Y1912" s="68"/>
      <c r="Z1912" s="68"/>
      <c r="AA1912" s="68"/>
    </row>
    <row r="1913" ht="26.25" customHeight="1">
      <c r="A1913" s="68"/>
      <c r="B1913" s="68"/>
      <c r="C1913" s="68"/>
      <c r="D1913" s="71"/>
      <c r="E1913" s="71"/>
      <c r="F1913" s="71"/>
      <c r="G1913" s="65"/>
      <c r="H1913" s="74"/>
      <c r="I1913" s="67" t="str">
        <f>IFERROR(__xludf.DUMMYFUNCTION("if($H1913="""", """", AVERAGE(split($H1913, "";"")))"),"")</f>
        <v/>
      </c>
      <c r="J1913" s="67" t="str">
        <f>IFERROR(__xludf.DUMMYFUNCTION("if(H1913="""", """", SUM(split(H1913, "";"")))"),"")</f>
        <v/>
      </c>
      <c r="K1913" s="68"/>
      <c r="L1913" s="68"/>
      <c r="M1913" s="68"/>
      <c r="N1913" s="68"/>
      <c r="O1913" s="68"/>
      <c r="P1913" s="68"/>
      <c r="Q1913" s="68"/>
      <c r="R1913" s="68"/>
      <c r="S1913" s="68"/>
      <c r="T1913" s="68"/>
      <c r="U1913" s="68"/>
      <c r="V1913" s="68"/>
      <c r="W1913" s="68"/>
      <c r="X1913" s="68"/>
      <c r="Y1913" s="68"/>
      <c r="Z1913" s="68"/>
      <c r="AA1913" s="68"/>
    </row>
    <row r="1914" ht="26.25" customHeight="1">
      <c r="A1914" s="68"/>
      <c r="B1914" s="68"/>
      <c r="C1914" s="68"/>
      <c r="D1914" s="71"/>
      <c r="E1914" s="71"/>
      <c r="F1914" s="71"/>
      <c r="G1914" s="65"/>
      <c r="H1914" s="74"/>
      <c r="I1914" s="67" t="str">
        <f>IFERROR(__xludf.DUMMYFUNCTION("if($H1914="""", """", AVERAGE(split($H1914, "";"")))"),"")</f>
        <v/>
      </c>
      <c r="J1914" s="67" t="str">
        <f>IFERROR(__xludf.DUMMYFUNCTION("if(H1914="""", """", SUM(split(H1914, "";"")))"),"")</f>
        <v/>
      </c>
      <c r="K1914" s="68"/>
      <c r="L1914" s="68"/>
      <c r="M1914" s="68"/>
      <c r="N1914" s="68"/>
      <c r="O1914" s="68"/>
      <c r="P1914" s="68"/>
      <c r="Q1914" s="68"/>
      <c r="R1914" s="68"/>
      <c r="S1914" s="68"/>
      <c r="T1914" s="68"/>
      <c r="U1914" s="68"/>
      <c r="V1914" s="68"/>
      <c r="W1914" s="68"/>
      <c r="X1914" s="68"/>
      <c r="Y1914" s="68"/>
      <c r="Z1914" s="68"/>
      <c r="AA1914" s="68"/>
    </row>
    <row r="1915" ht="26.25" customHeight="1">
      <c r="A1915" s="68"/>
      <c r="B1915" s="68"/>
      <c r="C1915" s="68"/>
      <c r="D1915" s="71"/>
      <c r="E1915" s="71"/>
      <c r="F1915" s="71"/>
      <c r="G1915" s="65"/>
      <c r="H1915" s="74"/>
      <c r="I1915" s="67" t="str">
        <f>IFERROR(__xludf.DUMMYFUNCTION("if($H1915="""", """", AVERAGE(split($H1915, "";"")))"),"")</f>
        <v/>
      </c>
      <c r="J1915" s="67" t="str">
        <f>IFERROR(__xludf.DUMMYFUNCTION("if(H1915="""", """", SUM(split(H1915, "";"")))"),"")</f>
        <v/>
      </c>
      <c r="K1915" s="68"/>
      <c r="L1915" s="68"/>
      <c r="M1915" s="68"/>
      <c r="N1915" s="68"/>
      <c r="O1915" s="68"/>
      <c r="P1915" s="68"/>
      <c r="Q1915" s="68"/>
      <c r="R1915" s="68"/>
      <c r="S1915" s="68"/>
      <c r="T1915" s="68"/>
      <c r="U1915" s="68"/>
      <c r="V1915" s="68"/>
      <c r="W1915" s="68"/>
      <c r="X1915" s="68"/>
      <c r="Y1915" s="68"/>
      <c r="Z1915" s="68"/>
      <c r="AA1915" s="68"/>
    </row>
    <row r="1916" ht="26.25" customHeight="1">
      <c r="A1916" s="68"/>
      <c r="B1916" s="68"/>
      <c r="C1916" s="68"/>
      <c r="D1916" s="71"/>
      <c r="E1916" s="71"/>
      <c r="F1916" s="71"/>
      <c r="G1916" s="65"/>
      <c r="H1916" s="74"/>
      <c r="I1916" s="67" t="str">
        <f>IFERROR(__xludf.DUMMYFUNCTION("if($H1916="""", """", AVERAGE(split($H1916, "";"")))"),"")</f>
        <v/>
      </c>
      <c r="J1916" s="67" t="str">
        <f>IFERROR(__xludf.DUMMYFUNCTION("if(H1916="""", """", SUM(split(H1916, "";"")))"),"")</f>
        <v/>
      </c>
      <c r="K1916" s="68"/>
      <c r="L1916" s="68"/>
      <c r="M1916" s="68"/>
      <c r="N1916" s="68"/>
      <c r="O1916" s="68"/>
      <c r="P1916" s="68"/>
      <c r="Q1916" s="68"/>
      <c r="R1916" s="68"/>
      <c r="S1916" s="68"/>
      <c r="T1916" s="68"/>
      <c r="U1916" s="68"/>
      <c r="V1916" s="68"/>
      <c r="W1916" s="68"/>
      <c r="X1916" s="68"/>
      <c r="Y1916" s="68"/>
      <c r="Z1916" s="68"/>
      <c r="AA1916" s="68"/>
    </row>
    <row r="1917" ht="26.25" customHeight="1">
      <c r="A1917" s="68"/>
      <c r="B1917" s="68"/>
      <c r="C1917" s="68"/>
      <c r="D1917" s="71"/>
      <c r="E1917" s="71"/>
      <c r="F1917" s="71"/>
      <c r="G1917" s="65"/>
      <c r="H1917" s="74"/>
      <c r="I1917" s="67" t="str">
        <f>IFERROR(__xludf.DUMMYFUNCTION("if($H1917="""", """", AVERAGE(split($H1917, "";"")))"),"")</f>
        <v/>
      </c>
      <c r="J1917" s="67" t="str">
        <f>IFERROR(__xludf.DUMMYFUNCTION("if(H1917="""", """", SUM(split(H1917, "";"")))"),"")</f>
        <v/>
      </c>
      <c r="K1917" s="68"/>
      <c r="L1917" s="68"/>
      <c r="M1917" s="68"/>
      <c r="N1917" s="68"/>
      <c r="O1917" s="68"/>
      <c r="P1917" s="68"/>
      <c r="Q1917" s="68"/>
      <c r="R1917" s="68"/>
      <c r="S1917" s="68"/>
      <c r="T1917" s="68"/>
      <c r="U1917" s="68"/>
      <c r="V1917" s="68"/>
      <c r="W1917" s="68"/>
      <c r="X1917" s="68"/>
      <c r="Y1917" s="68"/>
      <c r="Z1917" s="68"/>
      <c r="AA1917" s="68"/>
    </row>
    <row r="1918" ht="26.25" customHeight="1">
      <c r="A1918" s="68"/>
      <c r="B1918" s="68"/>
      <c r="C1918" s="68"/>
      <c r="D1918" s="71"/>
      <c r="E1918" s="71"/>
      <c r="F1918" s="71"/>
      <c r="G1918" s="65"/>
      <c r="H1918" s="74"/>
      <c r="I1918" s="67" t="str">
        <f>IFERROR(__xludf.DUMMYFUNCTION("if($H1918="""", """", AVERAGE(split($H1918, "";"")))"),"")</f>
        <v/>
      </c>
      <c r="J1918" s="67" t="str">
        <f>IFERROR(__xludf.DUMMYFUNCTION("if(H1918="""", """", SUM(split(H1918, "";"")))"),"")</f>
        <v/>
      </c>
      <c r="K1918" s="68"/>
      <c r="L1918" s="68"/>
      <c r="M1918" s="68"/>
      <c r="N1918" s="68"/>
      <c r="O1918" s="68"/>
      <c r="P1918" s="68"/>
      <c r="Q1918" s="68"/>
      <c r="R1918" s="68"/>
      <c r="S1918" s="68"/>
      <c r="T1918" s="68"/>
      <c r="U1918" s="68"/>
      <c r="V1918" s="68"/>
      <c r="W1918" s="68"/>
      <c r="X1918" s="68"/>
      <c r="Y1918" s="68"/>
      <c r="Z1918" s="68"/>
      <c r="AA1918" s="68"/>
    </row>
    <row r="1919" ht="26.25" customHeight="1">
      <c r="A1919" s="68"/>
      <c r="B1919" s="68"/>
      <c r="C1919" s="68"/>
      <c r="D1919" s="71"/>
      <c r="E1919" s="71"/>
      <c r="F1919" s="71"/>
      <c r="G1919" s="65"/>
      <c r="H1919" s="74"/>
      <c r="I1919" s="67" t="str">
        <f>IFERROR(__xludf.DUMMYFUNCTION("if($H1919="""", """", AVERAGE(split($H1919, "";"")))"),"")</f>
        <v/>
      </c>
      <c r="J1919" s="67" t="str">
        <f>IFERROR(__xludf.DUMMYFUNCTION("if(H1919="""", """", SUM(split(H1919, "";"")))"),"")</f>
        <v/>
      </c>
      <c r="K1919" s="68"/>
      <c r="L1919" s="68"/>
      <c r="M1919" s="68"/>
      <c r="N1919" s="68"/>
      <c r="O1919" s="68"/>
      <c r="P1919" s="68"/>
      <c r="Q1919" s="68"/>
      <c r="R1919" s="68"/>
      <c r="S1919" s="68"/>
      <c r="T1919" s="68"/>
      <c r="U1919" s="68"/>
      <c r="V1919" s="68"/>
      <c r="W1919" s="68"/>
      <c r="X1919" s="68"/>
      <c r="Y1919" s="68"/>
      <c r="Z1919" s="68"/>
      <c r="AA1919" s="68"/>
    </row>
    <row r="1920" ht="26.25" customHeight="1">
      <c r="A1920" s="68"/>
      <c r="B1920" s="68"/>
      <c r="C1920" s="68"/>
      <c r="D1920" s="71"/>
      <c r="E1920" s="71"/>
      <c r="F1920" s="71"/>
      <c r="G1920" s="65"/>
      <c r="H1920" s="74"/>
      <c r="I1920" s="67" t="str">
        <f>IFERROR(__xludf.DUMMYFUNCTION("if($H1920="""", """", AVERAGE(split($H1920, "";"")))"),"")</f>
        <v/>
      </c>
      <c r="J1920" s="67" t="str">
        <f>IFERROR(__xludf.DUMMYFUNCTION("if(H1920="""", """", SUM(split(H1920, "";"")))"),"")</f>
        <v/>
      </c>
      <c r="K1920" s="68"/>
      <c r="L1920" s="68"/>
      <c r="M1920" s="68"/>
      <c r="N1920" s="68"/>
      <c r="O1920" s="68"/>
      <c r="P1920" s="68"/>
      <c r="Q1920" s="68"/>
      <c r="R1920" s="68"/>
      <c r="S1920" s="68"/>
      <c r="T1920" s="68"/>
      <c r="U1920" s="68"/>
      <c r="V1920" s="68"/>
      <c r="W1920" s="68"/>
      <c r="X1920" s="68"/>
      <c r="Y1920" s="68"/>
      <c r="Z1920" s="68"/>
      <c r="AA1920" s="68"/>
    </row>
    <row r="1921" ht="26.25" customHeight="1">
      <c r="A1921" s="68"/>
      <c r="B1921" s="68"/>
      <c r="C1921" s="68"/>
      <c r="D1921" s="71"/>
      <c r="E1921" s="71"/>
      <c r="F1921" s="71"/>
      <c r="G1921" s="65"/>
      <c r="H1921" s="74"/>
      <c r="I1921" s="67" t="str">
        <f>IFERROR(__xludf.DUMMYFUNCTION("if($H1921="""", """", AVERAGE(split($H1921, "";"")))"),"")</f>
        <v/>
      </c>
      <c r="J1921" s="67" t="str">
        <f>IFERROR(__xludf.DUMMYFUNCTION("if(H1921="""", """", SUM(split(H1921, "";"")))"),"")</f>
        <v/>
      </c>
      <c r="K1921" s="68"/>
      <c r="L1921" s="68"/>
      <c r="M1921" s="68"/>
      <c r="N1921" s="68"/>
      <c r="O1921" s="68"/>
      <c r="P1921" s="68"/>
      <c r="Q1921" s="68"/>
      <c r="R1921" s="68"/>
      <c r="S1921" s="68"/>
      <c r="T1921" s="68"/>
      <c r="U1921" s="68"/>
      <c r="V1921" s="68"/>
      <c r="W1921" s="68"/>
      <c r="X1921" s="68"/>
      <c r="Y1921" s="68"/>
      <c r="Z1921" s="68"/>
      <c r="AA1921" s="68"/>
    </row>
    <row r="1922" ht="26.25" customHeight="1">
      <c r="A1922" s="68"/>
      <c r="B1922" s="68"/>
      <c r="C1922" s="68"/>
      <c r="D1922" s="71"/>
      <c r="E1922" s="71"/>
      <c r="F1922" s="71"/>
      <c r="G1922" s="65"/>
      <c r="H1922" s="74"/>
      <c r="I1922" s="67" t="str">
        <f>IFERROR(__xludf.DUMMYFUNCTION("if($H1922="""", """", AVERAGE(split($H1922, "";"")))"),"")</f>
        <v/>
      </c>
      <c r="J1922" s="67" t="str">
        <f>IFERROR(__xludf.DUMMYFUNCTION("if(H1922="""", """", SUM(split(H1922, "";"")))"),"")</f>
        <v/>
      </c>
      <c r="K1922" s="68"/>
      <c r="L1922" s="68"/>
      <c r="M1922" s="68"/>
      <c r="N1922" s="68"/>
      <c r="O1922" s="68"/>
      <c r="P1922" s="68"/>
      <c r="Q1922" s="68"/>
      <c r="R1922" s="68"/>
      <c r="S1922" s="68"/>
      <c r="T1922" s="68"/>
      <c r="U1922" s="68"/>
      <c r="V1922" s="68"/>
      <c r="W1922" s="68"/>
      <c r="X1922" s="68"/>
      <c r="Y1922" s="68"/>
      <c r="Z1922" s="68"/>
      <c r="AA1922" s="68"/>
    </row>
    <row r="1923" ht="26.25" customHeight="1">
      <c r="A1923" s="68"/>
      <c r="B1923" s="68"/>
      <c r="C1923" s="68"/>
      <c r="D1923" s="71"/>
      <c r="E1923" s="71"/>
      <c r="F1923" s="71"/>
      <c r="G1923" s="65"/>
      <c r="H1923" s="74"/>
      <c r="I1923" s="67" t="str">
        <f>IFERROR(__xludf.DUMMYFUNCTION("if($H1923="""", """", AVERAGE(split($H1923, "";"")))"),"")</f>
        <v/>
      </c>
      <c r="J1923" s="67" t="str">
        <f>IFERROR(__xludf.DUMMYFUNCTION("if(H1923="""", """", SUM(split(H1923, "";"")))"),"")</f>
        <v/>
      </c>
      <c r="K1923" s="68"/>
      <c r="L1923" s="68"/>
      <c r="M1923" s="68"/>
      <c r="N1923" s="68"/>
      <c r="O1923" s="68"/>
      <c r="P1923" s="68"/>
      <c r="Q1923" s="68"/>
      <c r="R1923" s="68"/>
      <c r="S1923" s="68"/>
      <c r="T1923" s="68"/>
      <c r="U1923" s="68"/>
      <c r="V1923" s="68"/>
      <c r="W1923" s="68"/>
      <c r="X1923" s="68"/>
      <c r="Y1923" s="68"/>
      <c r="Z1923" s="68"/>
      <c r="AA1923" s="68"/>
    </row>
    <row r="1924" ht="26.25" customHeight="1">
      <c r="A1924" s="68"/>
      <c r="B1924" s="68"/>
      <c r="C1924" s="68"/>
      <c r="D1924" s="71"/>
      <c r="E1924" s="71"/>
      <c r="F1924" s="71"/>
      <c r="G1924" s="65"/>
      <c r="H1924" s="74"/>
      <c r="I1924" s="67" t="str">
        <f>IFERROR(__xludf.DUMMYFUNCTION("if($H1924="""", """", AVERAGE(split($H1924, "";"")))"),"")</f>
        <v/>
      </c>
      <c r="J1924" s="67" t="str">
        <f>IFERROR(__xludf.DUMMYFUNCTION("if(H1924="""", """", SUM(split(H1924, "";"")))"),"")</f>
        <v/>
      </c>
      <c r="K1924" s="68"/>
      <c r="L1924" s="68"/>
      <c r="M1924" s="68"/>
      <c r="N1924" s="68"/>
      <c r="O1924" s="68"/>
      <c r="P1924" s="68"/>
      <c r="Q1924" s="68"/>
      <c r="R1924" s="68"/>
      <c r="S1924" s="68"/>
      <c r="T1924" s="68"/>
      <c r="U1924" s="68"/>
      <c r="V1924" s="68"/>
      <c r="W1924" s="68"/>
      <c r="X1924" s="68"/>
      <c r="Y1924" s="68"/>
      <c r="Z1924" s="68"/>
      <c r="AA1924" s="68"/>
    </row>
    <row r="1925" ht="26.25" customHeight="1">
      <c r="A1925" s="68"/>
      <c r="B1925" s="68"/>
      <c r="C1925" s="68"/>
      <c r="D1925" s="71"/>
      <c r="E1925" s="71"/>
      <c r="F1925" s="71"/>
      <c r="G1925" s="65"/>
      <c r="H1925" s="74"/>
      <c r="I1925" s="67" t="str">
        <f>IFERROR(__xludf.DUMMYFUNCTION("if($H1925="""", """", AVERAGE(split($H1925, "";"")))"),"")</f>
        <v/>
      </c>
      <c r="J1925" s="67" t="str">
        <f>IFERROR(__xludf.DUMMYFUNCTION("if(H1925="""", """", SUM(split(H1925, "";"")))"),"")</f>
        <v/>
      </c>
      <c r="K1925" s="68"/>
      <c r="L1925" s="68"/>
      <c r="M1925" s="68"/>
      <c r="N1925" s="68"/>
      <c r="O1925" s="68"/>
      <c r="P1925" s="68"/>
      <c r="Q1925" s="68"/>
      <c r="R1925" s="68"/>
      <c r="S1925" s="68"/>
      <c r="T1925" s="68"/>
      <c r="U1925" s="68"/>
      <c r="V1925" s="68"/>
      <c r="W1925" s="68"/>
      <c r="X1925" s="68"/>
      <c r="Y1925" s="68"/>
      <c r="Z1925" s="68"/>
      <c r="AA1925" s="68"/>
    </row>
    <row r="1926" ht="26.25" customHeight="1">
      <c r="A1926" s="68"/>
      <c r="B1926" s="68"/>
      <c r="C1926" s="68"/>
      <c r="D1926" s="71"/>
      <c r="E1926" s="71"/>
      <c r="F1926" s="71"/>
      <c r="G1926" s="65"/>
      <c r="H1926" s="74"/>
      <c r="I1926" s="67" t="str">
        <f>IFERROR(__xludf.DUMMYFUNCTION("if($H1926="""", """", AVERAGE(split($H1926, "";"")))"),"")</f>
        <v/>
      </c>
      <c r="J1926" s="67" t="str">
        <f>IFERROR(__xludf.DUMMYFUNCTION("if(H1926="""", """", SUM(split(H1926, "";"")))"),"")</f>
        <v/>
      </c>
      <c r="K1926" s="68"/>
      <c r="L1926" s="68"/>
      <c r="M1926" s="68"/>
      <c r="N1926" s="68"/>
      <c r="O1926" s="68"/>
      <c r="P1926" s="68"/>
      <c r="Q1926" s="68"/>
      <c r="R1926" s="68"/>
      <c r="S1926" s="68"/>
      <c r="T1926" s="68"/>
      <c r="U1926" s="68"/>
      <c r="V1926" s="68"/>
      <c r="W1926" s="68"/>
      <c r="X1926" s="68"/>
      <c r="Y1926" s="68"/>
      <c r="Z1926" s="68"/>
      <c r="AA1926" s="68"/>
    </row>
    <row r="1927" ht="26.25" customHeight="1">
      <c r="A1927" s="68"/>
      <c r="B1927" s="68"/>
      <c r="C1927" s="68"/>
      <c r="D1927" s="71"/>
      <c r="E1927" s="71"/>
      <c r="F1927" s="71"/>
      <c r="G1927" s="65"/>
      <c r="H1927" s="74"/>
      <c r="I1927" s="67" t="str">
        <f>IFERROR(__xludf.DUMMYFUNCTION("if($H1927="""", """", AVERAGE(split($H1927, "";"")))"),"")</f>
        <v/>
      </c>
      <c r="J1927" s="67" t="str">
        <f>IFERROR(__xludf.DUMMYFUNCTION("if(H1927="""", """", SUM(split(H1927, "";"")))"),"")</f>
        <v/>
      </c>
      <c r="K1927" s="68"/>
      <c r="L1927" s="68"/>
      <c r="M1927" s="68"/>
      <c r="N1927" s="68"/>
      <c r="O1927" s="68"/>
      <c r="P1927" s="68"/>
      <c r="Q1927" s="68"/>
      <c r="R1927" s="68"/>
      <c r="S1927" s="68"/>
      <c r="T1927" s="68"/>
      <c r="U1927" s="68"/>
      <c r="V1927" s="68"/>
      <c r="W1927" s="68"/>
      <c r="X1927" s="68"/>
      <c r="Y1927" s="68"/>
      <c r="Z1927" s="68"/>
      <c r="AA1927" s="68"/>
    </row>
    <row r="1928" ht="26.25" customHeight="1">
      <c r="A1928" s="68"/>
      <c r="B1928" s="68"/>
      <c r="C1928" s="68"/>
      <c r="D1928" s="71"/>
      <c r="E1928" s="71"/>
      <c r="F1928" s="71"/>
      <c r="G1928" s="65"/>
      <c r="H1928" s="74"/>
      <c r="I1928" s="67" t="str">
        <f>IFERROR(__xludf.DUMMYFUNCTION("if($H1928="""", """", AVERAGE(split($H1928, "";"")))"),"")</f>
        <v/>
      </c>
      <c r="J1928" s="67" t="str">
        <f>IFERROR(__xludf.DUMMYFUNCTION("if(H1928="""", """", SUM(split(H1928, "";"")))"),"")</f>
        <v/>
      </c>
      <c r="K1928" s="68"/>
      <c r="L1928" s="68"/>
      <c r="M1928" s="68"/>
      <c r="N1928" s="68"/>
      <c r="O1928" s="68"/>
      <c r="P1928" s="68"/>
      <c r="Q1928" s="68"/>
      <c r="R1928" s="68"/>
      <c r="S1928" s="68"/>
      <c r="T1928" s="68"/>
      <c r="U1928" s="68"/>
      <c r="V1928" s="68"/>
      <c r="W1928" s="68"/>
      <c r="X1928" s="68"/>
      <c r="Y1928" s="68"/>
      <c r="Z1928" s="68"/>
      <c r="AA1928" s="68"/>
    </row>
    <row r="1929" ht="26.25" customHeight="1">
      <c r="A1929" s="68"/>
      <c r="B1929" s="68"/>
      <c r="C1929" s="68"/>
      <c r="D1929" s="71"/>
      <c r="E1929" s="71"/>
      <c r="F1929" s="71"/>
      <c r="G1929" s="65"/>
      <c r="H1929" s="74"/>
      <c r="I1929" s="67" t="str">
        <f>IFERROR(__xludf.DUMMYFUNCTION("if($H1929="""", """", AVERAGE(split($H1929, "";"")))"),"")</f>
        <v/>
      </c>
      <c r="J1929" s="67" t="str">
        <f>IFERROR(__xludf.DUMMYFUNCTION("if(H1929="""", """", SUM(split(H1929, "";"")))"),"")</f>
        <v/>
      </c>
      <c r="K1929" s="68"/>
      <c r="L1929" s="68"/>
      <c r="M1929" s="68"/>
      <c r="N1929" s="68"/>
      <c r="O1929" s="68"/>
      <c r="P1929" s="68"/>
      <c r="Q1929" s="68"/>
      <c r="R1929" s="68"/>
      <c r="S1929" s="68"/>
      <c r="T1929" s="68"/>
      <c r="U1929" s="68"/>
      <c r="V1929" s="68"/>
      <c r="W1929" s="68"/>
      <c r="X1929" s="68"/>
      <c r="Y1929" s="68"/>
      <c r="Z1929" s="68"/>
      <c r="AA1929" s="68"/>
    </row>
    <row r="1930" ht="26.25" customHeight="1">
      <c r="A1930" s="68"/>
      <c r="B1930" s="68"/>
      <c r="C1930" s="68"/>
      <c r="D1930" s="71"/>
      <c r="E1930" s="71"/>
      <c r="F1930" s="71"/>
      <c r="G1930" s="65"/>
      <c r="H1930" s="74"/>
      <c r="I1930" s="67" t="str">
        <f>IFERROR(__xludf.DUMMYFUNCTION("if($H1930="""", """", AVERAGE(split($H1930, "";"")))"),"")</f>
        <v/>
      </c>
      <c r="J1930" s="67" t="str">
        <f>IFERROR(__xludf.DUMMYFUNCTION("if(H1930="""", """", SUM(split(H1930, "";"")))"),"")</f>
        <v/>
      </c>
      <c r="K1930" s="68"/>
      <c r="L1930" s="68"/>
      <c r="M1930" s="68"/>
      <c r="N1930" s="68"/>
      <c r="O1930" s="68"/>
      <c r="P1930" s="68"/>
      <c r="Q1930" s="68"/>
      <c r="R1930" s="68"/>
      <c r="S1930" s="68"/>
      <c r="T1930" s="68"/>
      <c r="U1930" s="68"/>
      <c r="V1930" s="68"/>
      <c r="W1930" s="68"/>
      <c r="X1930" s="68"/>
      <c r="Y1930" s="68"/>
      <c r="Z1930" s="68"/>
      <c r="AA1930" s="68"/>
    </row>
    <row r="1931" ht="26.25" customHeight="1">
      <c r="A1931" s="68"/>
      <c r="B1931" s="68"/>
      <c r="C1931" s="68"/>
      <c r="D1931" s="71"/>
      <c r="E1931" s="71"/>
      <c r="F1931" s="71"/>
      <c r="G1931" s="65"/>
      <c r="H1931" s="74"/>
      <c r="I1931" s="67" t="str">
        <f>IFERROR(__xludf.DUMMYFUNCTION("if($H1931="""", """", AVERAGE(split($H1931, "";"")))"),"")</f>
        <v/>
      </c>
      <c r="J1931" s="67" t="str">
        <f>IFERROR(__xludf.DUMMYFUNCTION("if(H1931="""", """", SUM(split(H1931, "";"")))"),"")</f>
        <v/>
      </c>
      <c r="K1931" s="68"/>
      <c r="L1931" s="68"/>
      <c r="M1931" s="68"/>
      <c r="N1931" s="68"/>
      <c r="O1931" s="68"/>
      <c r="P1931" s="68"/>
      <c r="Q1931" s="68"/>
      <c r="R1931" s="68"/>
      <c r="S1931" s="68"/>
      <c r="T1931" s="68"/>
      <c r="U1931" s="68"/>
      <c r="V1931" s="68"/>
      <c r="W1931" s="68"/>
      <c r="X1931" s="68"/>
      <c r="Y1931" s="68"/>
      <c r="Z1931" s="68"/>
      <c r="AA1931" s="68"/>
    </row>
    <row r="1932" ht="26.25" customHeight="1">
      <c r="A1932" s="68"/>
      <c r="B1932" s="68"/>
      <c r="C1932" s="68"/>
      <c r="D1932" s="71"/>
      <c r="E1932" s="71"/>
      <c r="F1932" s="71"/>
      <c r="G1932" s="65"/>
      <c r="H1932" s="74"/>
      <c r="I1932" s="67" t="str">
        <f>IFERROR(__xludf.DUMMYFUNCTION("if($H1932="""", """", AVERAGE(split($H1932, "";"")))"),"")</f>
        <v/>
      </c>
      <c r="J1932" s="67" t="str">
        <f>IFERROR(__xludf.DUMMYFUNCTION("if(H1932="""", """", SUM(split(H1932, "";"")))"),"")</f>
        <v/>
      </c>
      <c r="K1932" s="68"/>
      <c r="L1932" s="68"/>
      <c r="M1932" s="68"/>
      <c r="N1932" s="68"/>
      <c r="O1932" s="68"/>
      <c r="P1932" s="68"/>
      <c r="Q1932" s="68"/>
      <c r="R1932" s="68"/>
      <c r="S1932" s="68"/>
      <c r="T1932" s="68"/>
      <c r="U1932" s="68"/>
      <c r="V1932" s="68"/>
      <c r="W1932" s="68"/>
      <c r="X1932" s="68"/>
      <c r="Y1932" s="68"/>
      <c r="Z1932" s="68"/>
      <c r="AA1932" s="68"/>
    </row>
    <row r="1933" ht="26.25" customHeight="1">
      <c r="A1933" s="68"/>
      <c r="B1933" s="68"/>
      <c r="C1933" s="68"/>
      <c r="D1933" s="71"/>
      <c r="E1933" s="71"/>
      <c r="F1933" s="71"/>
      <c r="G1933" s="65"/>
      <c r="H1933" s="74"/>
      <c r="I1933" s="67" t="str">
        <f>IFERROR(__xludf.DUMMYFUNCTION("if($H1933="""", """", AVERAGE(split($H1933, "";"")))"),"")</f>
        <v/>
      </c>
      <c r="J1933" s="67" t="str">
        <f>IFERROR(__xludf.DUMMYFUNCTION("if(H1933="""", """", SUM(split(H1933, "";"")))"),"")</f>
        <v/>
      </c>
      <c r="K1933" s="68"/>
      <c r="L1933" s="68"/>
      <c r="M1933" s="68"/>
      <c r="N1933" s="68"/>
      <c r="O1933" s="68"/>
      <c r="P1933" s="68"/>
      <c r="Q1933" s="68"/>
      <c r="R1933" s="68"/>
      <c r="S1933" s="68"/>
      <c r="T1933" s="68"/>
      <c r="U1933" s="68"/>
      <c r="V1933" s="68"/>
      <c r="W1933" s="68"/>
      <c r="X1933" s="68"/>
      <c r="Y1933" s="68"/>
      <c r="Z1933" s="68"/>
      <c r="AA1933" s="68"/>
    </row>
    <row r="1934" ht="26.25" customHeight="1">
      <c r="A1934" s="68"/>
      <c r="B1934" s="68"/>
      <c r="C1934" s="68"/>
      <c r="D1934" s="71"/>
      <c r="E1934" s="71"/>
      <c r="F1934" s="71"/>
      <c r="G1934" s="65"/>
      <c r="H1934" s="74"/>
      <c r="I1934" s="67" t="str">
        <f>IFERROR(__xludf.DUMMYFUNCTION("if($H1934="""", """", AVERAGE(split($H1934, "";"")))"),"")</f>
        <v/>
      </c>
      <c r="J1934" s="67" t="str">
        <f>IFERROR(__xludf.DUMMYFUNCTION("if(H1934="""", """", SUM(split(H1934, "";"")))"),"")</f>
        <v/>
      </c>
      <c r="K1934" s="68"/>
      <c r="L1934" s="68"/>
      <c r="M1934" s="68"/>
      <c r="N1934" s="68"/>
      <c r="O1934" s="68"/>
      <c r="P1934" s="68"/>
      <c r="Q1934" s="68"/>
      <c r="R1934" s="68"/>
      <c r="S1934" s="68"/>
      <c r="T1934" s="68"/>
      <c r="U1934" s="68"/>
      <c r="V1934" s="68"/>
      <c r="W1934" s="68"/>
      <c r="X1934" s="68"/>
      <c r="Y1934" s="68"/>
      <c r="Z1934" s="68"/>
      <c r="AA1934" s="68"/>
    </row>
    <row r="1935" ht="26.25" customHeight="1">
      <c r="A1935" s="68"/>
      <c r="B1935" s="68"/>
      <c r="C1935" s="68"/>
      <c r="D1935" s="71"/>
      <c r="E1935" s="71"/>
      <c r="F1935" s="71"/>
      <c r="G1935" s="65"/>
      <c r="H1935" s="74"/>
      <c r="I1935" s="67" t="str">
        <f>IFERROR(__xludf.DUMMYFUNCTION("if($H1935="""", """", AVERAGE(split($H1935, "";"")))"),"")</f>
        <v/>
      </c>
      <c r="J1935" s="67" t="str">
        <f>IFERROR(__xludf.DUMMYFUNCTION("if(H1935="""", """", SUM(split(H1935, "";"")))"),"")</f>
        <v/>
      </c>
      <c r="K1935" s="68"/>
      <c r="L1935" s="68"/>
      <c r="M1935" s="68"/>
      <c r="N1935" s="68"/>
      <c r="O1935" s="68"/>
      <c r="P1935" s="68"/>
      <c r="Q1935" s="68"/>
      <c r="R1935" s="68"/>
      <c r="S1935" s="68"/>
      <c r="T1935" s="68"/>
      <c r="U1935" s="68"/>
      <c r="V1935" s="68"/>
      <c r="W1935" s="68"/>
      <c r="X1935" s="68"/>
      <c r="Y1935" s="68"/>
      <c r="Z1935" s="68"/>
      <c r="AA1935" s="68"/>
    </row>
    <row r="1936" ht="26.25" customHeight="1">
      <c r="A1936" s="68"/>
      <c r="B1936" s="68"/>
      <c r="C1936" s="68"/>
      <c r="D1936" s="71"/>
      <c r="E1936" s="71"/>
      <c r="F1936" s="71"/>
      <c r="G1936" s="65"/>
      <c r="H1936" s="74"/>
      <c r="I1936" s="67" t="str">
        <f>IFERROR(__xludf.DUMMYFUNCTION("if($H1936="""", """", AVERAGE(split($H1936, "";"")))"),"")</f>
        <v/>
      </c>
      <c r="J1936" s="67" t="str">
        <f>IFERROR(__xludf.DUMMYFUNCTION("if(H1936="""", """", SUM(split(H1936, "";"")))"),"")</f>
        <v/>
      </c>
      <c r="K1936" s="68"/>
      <c r="L1936" s="68"/>
      <c r="M1936" s="68"/>
      <c r="N1936" s="68"/>
      <c r="O1936" s="68"/>
      <c r="P1936" s="68"/>
      <c r="Q1936" s="68"/>
      <c r="R1936" s="68"/>
      <c r="S1936" s="68"/>
      <c r="T1936" s="68"/>
      <c r="U1936" s="68"/>
      <c r="V1936" s="68"/>
      <c r="W1936" s="68"/>
      <c r="X1936" s="68"/>
      <c r="Y1936" s="68"/>
      <c r="Z1936" s="68"/>
      <c r="AA1936" s="68"/>
    </row>
    <row r="1937" ht="26.25" customHeight="1">
      <c r="A1937" s="68"/>
      <c r="B1937" s="68"/>
      <c r="C1937" s="68"/>
      <c r="D1937" s="71"/>
      <c r="E1937" s="71"/>
      <c r="F1937" s="71"/>
      <c r="G1937" s="65"/>
      <c r="H1937" s="74"/>
      <c r="I1937" s="67" t="str">
        <f>IFERROR(__xludf.DUMMYFUNCTION("if($H1937="""", """", AVERAGE(split($H1937, "";"")))"),"")</f>
        <v/>
      </c>
      <c r="J1937" s="67" t="str">
        <f>IFERROR(__xludf.DUMMYFUNCTION("if(H1937="""", """", SUM(split(H1937, "";"")))"),"")</f>
        <v/>
      </c>
      <c r="K1937" s="68"/>
      <c r="L1937" s="68"/>
      <c r="M1937" s="68"/>
      <c r="N1937" s="68"/>
      <c r="O1937" s="68"/>
      <c r="P1937" s="68"/>
      <c r="Q1937" s="68"/>
      <c r="R1937" s="68"/>
      <c r="S1937" s="68"/>
      <c r="T1937" s="68"/>
      <c r="U1937" s="68"/>
      <c r="V1937" s="68"/>
      <c r="W1937" s="68"/>
      <c r="X1937" s="68"/>
      <c r="Y1937" s="68"/>
      <c r="Z1937" s="68"/>
      <c r="AA1937" s="68"/>
    </row>
    <row r="1938" ht="26.25" customHeight="1">
      <c r="A1938" s="68"/>
      <c r="B1938" s="68"/>
      <c r="C1938" s="68"/>
      <c r="D1938" s="71"/>
      <c r="E1938" s="71"/>
      <c r="F1938" s="71"/>
      <c r="G1938" s="65"/>
      <c r="H1938" s="74"/>
      <c r="I1938" s="67" t="str">
        <f>IFERROR(__xludf.DUMMYFUNCTION("if($H1938="""", """", AVERAGE(split($H1938, "";"")))"),"")</f>
        <v/>
      </c>
      <c r="J1938" s="67" t="str">
        <f>IFERROR(__xludf.DUMMYFUNCTION("if(H1938="""", """", SUM(split(H1938, "";"")))"),"")</f>
        <v/>
      </c>
      <c r="K1938" s="68"/>
      <c r="L1938" s="68"/>
      <c r="M1938" s="68"/>
      <c r="N1938" s="68"/>
      <c r="O1938" s="68"/>
      <c r="P1938" s="68"/>
      <c r="Q1938" s="68"/>
      <c r="R1938" s="68"/>
      <c r="S1938" s="68"/>
      <c r="T1938" s="68"/>
      <c r="U1938" s="68"/>
      <c r="V1938" s="68"/>
      <c r="W1938" s="68"/>
      <c r="X1938" s="68"/>
      <c r="Y1938" s="68"/>
      <c r="Z1938" s="68"/>
      <c r="AA1938" s="68"/>
    </row>
    <row r="1939" ht="26.25" customHeight="1">
      <c r="A1939" s="68"/>
      <c r="B1939" s="68"/>
      <c r="C1939" s="68"/>
      <c r="D1939" s="71"/>
      <c r="E1939" s="71"/>
      <c r="F1939" s="71"/>
      <c r="G1939" s="65"/>
      <c r="H1939" s="74"/>
      <c r="I1939" s="67" t="str">
        <f>IFERROR(__xludf.DUMMYFUNCTION("if($H1939="""", """", AVERAGE(split($H1939, "";"")))"),"")</f>
        <v/>
      </c>
      <c r="J1939" s="67" t="str">
        <f>IFERROR(__xludf.DUMMYFUNCTION("if(H1939="""", """", SUM(split(H1939, "";"")))"),"")</f>
        <v/>
      </c>
      <c r="K1939" s="68"/>
      <c r="L1939" s="68"/>
      <c r="M1939" s="68"/>
      <c r="N1939" s="68"/>
      <c r="O1939" s="68"/>
      <c r="P1939" s="68"/>
      <c r="Q1939" s="68"/>
      <c r="R1939" s="68"/>
      <c r="S1939" s="68"/>
      <c r="T1939" s="68"/>
      <c r="U1939" s="68"/>
      <c r="V1939" s="68"/>
      <c r="W1939" s="68"/>
      <c r="X1939" s="68"/>
      <c r="Y1939" s="68"/>
      <c r="Z1939" s="68"/>
      <c r="AA1939" s="68"/>
    </row>
    <row r="1940" ht="26.25" customHeight="1">
      <c r="A1940" s="68"/>
      <c r="B1940" s="68"/>
      <c r="C1940" s="68"/>
      <c r="D1940" s="71"/>
      <c r="E1940" s="71"/>
      <c r="F1940" s="71"/>
      <c r="G1940" s="65"/>
      <c r="H1940" s="74"/>
      <c r="I1940" s="67" t="str">
        <f>IFERROR(__xludf.DUMMYFUNCTION("if($H1940="""", """", AVERAGE(split($H1940, "";"")))"),"")</f>
        <v/>
      </c>
      <c r="J1940" s="67" t="str">
        <f>IFERROR(__xludf.DUMMYFUNCTION("if(H1940="""", """", SUM(split(H1940, "";"")))"),"")</f>
        <v/>
      </c>
      <c r="K1940" s="68"/>
      <c r="L1940" s="68"/>
      <c r="M1940" s="68"/>
      <c r="N1940" s="68"/>
      <c r="O1940" s="68"/>
      <c r="P1940" s="68"/>
      <c r="Q1940" s="68"/>
      <c r="R1940" s="68"/>
      <c r="S1940" s="68"/>
      <c r="T1940" s="68"/>
      <c r="U1940" s="68"/>
      <c r="V1940" s="68"/>
      <c r="W1940" s="68"/>
      <c r="X1940" s="68"/>
      <c r="Y1940" s="68"/>
      <c r="Z1940" s="68"/>
      <c r="AA1940" s="68"/>
    </row>
    <row r="1941" ht="26.25" customHeight="1">
      <c r="A1941" s="68"/>
      <c r="B1941" s="68"/>
      <c r="C1941" s="68"/>
      <c r="D1941" s="71"/>
      <c r="E1941" s="71"/>
      <c r="F1941" s="71"/>
      <c r="G1941" s="65"/>
      <c r="H1941" s="74"/>
      <c r="I1941" s="67" t="str">
        <f>IFERROR(__xludf.DUMMYFUNCTION("if($H1941="""", """", AVERAGE(split($H1941, "";"")))"),"")</f>
        <v/>
      </c>
      <c r="J1941" s="67" t="str">
        <f>IFERROR(__xludf.DUMMYFUNCTION("if(H1941="""", """", SUM(split(H1941, "";"")))"),"")</f>
        <v/>
      </c>
      <c r="K1941" s="68"/>
      <c r="L1941" s="68"/>
      <c r="M1941" s="68"/>
      <c r="N1941" s="68"/>
      <c r="O1941" s="68"/>
      <c r="P1941" s="68"/>
      <c r="Q1941" s="68"/>
      <c r="R1941" s="68"/>
      <c r="S1941" s="68"/>
      <c r="T1941" s="68"/>
      <c r="U1941" s="68"/>
      <c r="V1941" s="68"/>
      <c r="W1941" s="68"/>
      <c r="X1941" s="68"/>
      <c r="Y1941" s="68"/>
      <c r="Z1941" s="68"/>
      <c r="AA1941" s="68"/>
    </row>
    <row r="1942" ht="26.25" customHeight="1">
      <c r="A1942" s="68"/>
      <c r="B1942" s="68"/>
      <c r="C1942" s="68"/>
      <c r="D1942" s="71"/>
      <c r="E1942" s="71"/>
      <c r="F1942" s="71"/>
      <c r="G1942" s="65"/>
      <c r="H1942" s="74"/>
      <c r="I1942" s="67" t="str">
        <f>IFERROR(__xludf.DUMMYFUNCTION("if($H1942="""", """", AVERAGE(split($H1942, "";"")))"),"")</f>
        <v/>
      </c>
      <c r="J1942" s="67" t="str">
        <f>IFERROR(__xludf.DUMMYFUNCTION("if(H1942="""", """", SUM(split(H1942, "";"")))"),"")</f>
        <v/>
      </c>
      <c r="K1942" s="68"/>
      <c r="L1942" s="68"/>
      <c r="M1942" s="68"/>
      <c r="N1942" s="68"/>
      <c r="O1942" s="68"/>
      <c r="P1942" s="68"/>
      <c r="Q1942" s="68"/>
      <c r="R1942" s="68"/>
      <c r="S1942" s="68"/>
      <c r="T1942" s="68"/>
      <c r="U1942" s="68"/>
      <c r="V1942" s="68"/>
      <c r="W1942" s="68"/>
      <c r="X1942" s="68"/>
      <c r="Y1942" s="68"/>
      <c r="Z1942" s="68"/>
      <c r="AA1942" s="68"/>
    </row>
    <row r="1943" ht="26.25" customHeight="1">
      <c r="A1943" s="68"/>
      <c r="B1943" s="68"/>
      <c r="C1943" s="68"/>
      <c r="D1943" s="71"/>
      <c r="E1943" s="71"/>
      <c r="F1943" s="71"/>
      <c r="G1943" s="65"/>
      <c r="H1943" s="74"/>
      <c r="I1943" s="67" t="str">
        <f>IFERROR(__xludf.DUMMYFUNCTION("if($H1943="""", """", AVERAGE(split($H1943, "";"")))"),"")</f>
        <v/>
      </c>
      <c r="J1943" s="67" t="str">
        <f>IFERROR(__xludf.DUMMYFUNCTION("if(H1943="""", """", SUM(split(H1943, "";"")))"),"")</f>
        <v/>
      </c>
      <c r="K1943" s="68"/>
      <c r="L1943" s="68"/>
      <c r="M1943" s="68"/>
      <c r="N1943" s="68"/>
      <c r="O1943" s="68"/>
      <c r="P1943" s="68"/>
      <c r="Q1943" s="68"/>
      <c r="R1943" s="68"/>
      <c r="S1943" s="68"/>
      <c r="T1943" s="68"/>
      <c r="U1943" s="68"/>
      <c r="V1943" s="68"/>
      <c r="W1943" s="68"/>
      <c r="X1943" s="68"/>
      <c r="Y1943" s="68"/>
      <c r="Z1943" s="68"/>
      <c r="AA1943" s="68"/>
    </row>
    <row r="1944" ht="26.25" customHeight="1">
      <c r="A1944" s="68"/>
      <c r="B1944" s="68"/>
      <c r="C1944" s="68"/>
      <c r="D1944" s="71"/>
      <c r="E1944" s="71"/>
      <c r="F1944" s="71"/>
      <c r="G1944" s="65"/>
      <c r="H1944" s="74"/>
      <c r="I1944" s="67" t="str">
        <f>IFERROR(__xludf.DUMMYFUNCTION("if($H1944="""", """", AVERAGE(split($H1944, "";"")))"),"")</f>
        <v/>
      </c>
      <c r="J1944" s="67" t="str">
        <f>IFERROR(__xludf.DUMMYFUNCTION("if(H1944="""", """", SUM(split(H1944, "";"")))"),"")</f>
        <v/>
      </c>
      <c r="K1944" s="68"/>
      <c r="L1944" s="68"/>
      <c r="M1944" s="68"/>
      <c r="N1944" s="68"/>
      <c r="O1944" s="68"/>
      <c r="P1944" s="68"/>
      <c r="Q1944" s="68"/>
      <c r="R1944" s="68"/>
      <c r="S1944" s="68"/>
      <c r="T1944" s="68"/>
      <c r="U1944" s="68"/>
      <c r="V1944" s="68"/>
      <c r="W1944" s="68"/>
      <c r="X1944" s="68"/>
      <c r="Y1944" s="68"/>
      <c r="Z1944" s="68"/>
      <c r="AA1944" s="68"/>
    </row>
    <row r="1945" ht="26.25" customHeight="1">
      <c r="A1945" s="68"/>
      <c r="B1945" s="68"/>
      <c r="C1945" s="68"/>
      <c r="D1945" s="71"/>
      <c r="E1945" s="71"/>
      <c r="F1945" s="71"/>
      <c r="G1945" s="65"/>
      <c r="H1945" s="74"/>
      <c r="I1945" s="67" t="str">
        <f>IFERROR(__xludf.DUMMYFUNCTION("if($H1945="""", """", AVERAGE(split($H1945, "";"")))"),"")</f>
        <v/>
      </c>
      <c r="J1945" s="67" t="str">
        <f>IFERROR(__xludf.DUMMYFUNCTION("if(H1945="""", """", SUM(split(H1945, "";"")))"),"")</f>
        <v/>
      </c>
      <c r="K1945" s="68"/>
      <c r="L1945" s="68"/>
      <c r="M1945" s="68"/>
      <c r="N1945" s="68"/>
      <c r="O1945" s="68"/>
      <c r="P1945" s="68"/>
      <c r="Q1945" s="68"/>
      <c r="R1945" s="68"/>
      <c r="S1945" s="68"/>
      <c r="T1945" s="68"/>
      <c r="U1945" s="68"/>
      <c r="V1945" s="68"/>
      <c r="W1945" s="68"/>
      <c r="X1945" s="68"/>
      <c r="Y1945" s="68"/>
      <c r="Z1945" s="68"/>
      <c r="AA1945" s="68"/>
    </row>
    <row r="1946" ht="26.25" customHeight="1">
      <c r="A1946" s="68"/>
      <c r="B1946" s="68"/>
      <c r="C1946" s="68"/>
      <c r="D1946" s="71"/>
      <c r="E1946" s="71"/>
      <c r="F1946" s="71"/>
      <c r="G1946" s="65"/>
      <c r="H1946" s="74"/>
      <c r="I1946" s="67" t="str">
        <f>IFERROR(__xludf.DUMMYFUNCTION("if($H1946="""", """", AVERAGE(split($H1946, "";"")))"),"")</f>
        <v/>
      </c>
      <c r="J1946" s="67" t="str">
        <f>IFERROR(__xludf.DUMMYFUNCTION("if(H1946="""", """", SUM(split(H1946, "";"")))"),"")</f>
        <v/>
      </c>
      <c r="K1946" s="68"/>
      <c r="L1946" s="68"/>
      <c r="M1946" s="68"/>
      <c r="N1946" s="68"/>
      <c r="O1946" s="68"/>
      <c r="P1946" s="68"/>
      <c r="Q1946" s="68"/>
      <c r="R1946" s="68"/>
      <c r="S1946" s="68"/>
      <c r="T1946" s="68"/>
      <c r="U1946" s="68"/>
      <c r="V1946" s="68"/>
      <c r="W1946" s="68"/>
      <c r="X1946" s="68"/>
      <c r="Y1946" s="68"/>
      <c r="Z1946" s="68"/>
      <c r="AA1946" s="68"/>
    </row>
    <row r="1947" ht="26.25" customHeight="1">
      <c r="A1947" s="68"/>
      <c r="B1947" s="68"/>
      <c r="C1947" s="68"/>
      <c r="D1947" s="71"/>
      <c r="E1947" s="71"/>
      <c r="F1947" s="71"/>
      <c r="G1947" s="65"/>
      <c r="H1947" s="74"/>
      <c r="I1947" s="67" t="str">
        <f>IFERROR(__xludf.DUMMYFUNCTION("if($H1947="""", """", AVERAGE(split($H1947, "";"")))"),"")</f>
        <v/>
      </c>
      <c r="J1947" s="67" t="str">
        <f>IFERROR(__xludf.DUMMYFUNCTION("if(H1947="""", """", SUM(split(H1947, "";"")))"),"")</f>
        <v/>
      </c>
      <c r="K1947" s="68"/>
      <c r="L1947" s="68"/>
      <c r="M1947" s="68"/>
      <c r="N1947" s="68"/>
      <c r="O1947" s="68"/>
      <c r="P1947" s="68"/>
      <c r="Q1947" s="68"/>
      <c r="R1947" s="68"/>
      <c r="S1947" s="68"/>
      <c r="T1947" s="68"/>
      <c r="U1947" s="68"/>
      <c r="V1947" s="68"/>
      <c r="W1947" s="68"/>
      <c r="X1947" s="68"/>
      <c r="Y1947" s="68"/>
      <c r="Z1947" s="68"/>
      <c r="AA1947" s="68"/>
    </row>
    <row r="1948" ht="26.25" customHeight="1">
      <c r="A1948" s="68"/>
      <c r="B1948" s="68"/>
      <c r="C1948" s="68"/>
      <c r="D1948" s="71"/>
      <c r="E1948" s="71"/>
      <c r="F1948" s="71"/>
      <c r="G1948" s="65"/>
      <c r="H1948" s="74"/>
      <c r="I1948" s="67" t="str">
        <f>IFERROR(__xludf.DUMMYFUNCTION("if($H1948="""", """", AVERAGE(split($H1948, "";"")))"),"")</f>
        <v/>
      </c>
      <c r="J1948" s="67" t="str">
        <f>IFERROR(__xludf.DUMMYFUNCTION("if(H1948="""", """", SUM(split(H1948, "";"")))"),"")</f>
        <v/>
      </c>
      <c r="K1948" s="68"/>
      <c r="L1948" s="68"/>
      <c r="M1948" s="68"/>
      <c r="N1948" s="68"/>
      <c r="O1948" s="68"/>
      <c r="P1948" s="68"/>
      <c r="Q1948" s="68"/>
      <c r="R1948" s="68"/>
      <c r="S1948" s="68"/>
      <c r="T1948" s="68"/>
      <c r="U1948" s="68"/>
      <c r="V1948" s="68"/>
      <c r="W1948" s="68"/>
      <c r="X1948" s="68"/>
      <c r="Y1948" s="68"/>
      <c r="Z1948" s="68"/>
      <c r="AA1948" s="68"/>
    </row>
    <row r="1949" ht="26.25" customHeight="1">
      <c r="A1949" s="68"/>
      <c r="B1949" s="68"/>
      <c r="C1949" s="68"/>
      <c r="D1949" s="71"/>
      <c r="E1949" s="71"/>
      <c r="F1949" s="71"/>
      <c r="G1949" s="65"/>
      <c r="H1949" s="74"/>
      <c r="I1949" s="67" t="str">
        <f>IFERROR(__xludf.DUMMYFUNCTION("if($H1949="""", """", AVERAGE(split($H1949, "";"")))"),"")</f>
        <v/>
      </c>
      <c r="J1949" s="67" t="str">
        <f>IFERROR(__xludf.DUMMYFUNCTION("if(H1949="""", """", SUM(split(H1949, "";"")))"),"")</f>
        <v/>
      </c>
      <c r="K1949" s="68"/>
      <c r="L1949" s="68"/>
      <c r="M1949" s="68"/>
      <c r="N1949" s="68"/>
      <c r="O1949" s="68"/>
      <c r="P1949" s="68"/>
      <c r="Q1949" s="68"/>
      <c r="R1949" s="68"/>
      <c r="S1949" s="68"/>
      <c r="T1949" s="68"/>
      <c r="U1949" s="68"/>
      <c r="V1949" s="68"/>
      <c r="W1949" s="68"/>
      <c r="X1949" s="68"/>
      <c r="Y1949" s="68"/>
      <c r="Z1949" s="68"/>
      <c r="AA1949" s="68"/>
    </row>
    <row r="1950" ht="26.25" customHeight="1">
      <c r="A1950" s="68"/>
      <c r="B1950" s="68"/>
      <c r="C1950" s="68"/>
      <c r="D1950" s="71"/>
      <c r="E1950" s="71"/>
      <c r="F1950" s="71"/>
      <c r="G1950" s="65"/>
      <c r="H1950" s="74"/>
      <c r="I1950" s="67" t="str">
        <f>IFERROR(__xludf.DUMMYFUNCTION("if($H1950="""", """", AVERAGE(split($H1950, "";"")))"),"")</f>
        <v/>
      </c>
      <c r="J1950" s="67" t="str">
        <f>IFERROR(__xludf.DUMMYFUNCTION("if(H1950="""", """", SUM(split(H1950, "";"")))"),"")</f>
        <v/>
      </c>
      <c r="K1950" s="68"/>
      <c r="L1950" s="68"/>
      <c r="M1950" s="68"/>
      <c r="N1950" s="68"/>
      <c r="O1950" s="68"/>
      <c r="P1950" s="68"/>
      <c r="Q1950" s="68"/>
      <c r="R1950" s="68"/>
      <c r="S1950" s="68"/>
      <c r="T1950" s="68"/>
      <c r="U1950" s="68"/>
      <c r="V1950" s="68"/>
      <c r="W1950" s="68"/>
      <c r="X1950" s="68"/>
      <c r="Y1950" s="68"/>
      <c r="Z1950" s="68"/>
      <c r="AA1950" s="68"/>
    </row>
    <row r="1951" ht="26.25" customHeight="1">
      <c r="A1951" s="68"/>
      <c r="B1951" s="68"/>
      <c r="C1951" s="68"/>
      <c r="D1951" s="71"/>
      <c r="E1951" s="71"/>
      <c r="F1951" s="71"/>
      <c r="G1951" s="65"/>
      <c r="H1951" s="74"/>
      <c r="I1951" s="67" t="str">
        <f>IFERROR(__xludf.DUMMYFUNCTION("if($H1951="""", """", AVERAGE(split($H1951, "";"")))"),"")</f>
        <v/>
      </c>
      <c r="J1951" s="67" t="str">
        <f>IFERROR(__xludf.DUMMYFUNCTION("if(H1951="""", """", SUM(split(H1951, "";"")))"),"")</f>
        <v/>
      </c>
      <c r="K1951" s="68"/>
      <c r="L1951" s="68"/>
      <c r="M1951" s="68"/>
      <c r="N1951" s="68"/>
      <c r="O1951" s="68"/>
      <c r="P1951" s="68"/>
      <c r="Q1951" s="68"/>
      <c r="R1951" s="68"/>
      <c r="S1951" s="68"/>
      <c r="T1951" s="68"/>
      <c r="U1951" s="68"/>
      <c r="V1951" s="68"/>
      <c r="W1951" s="68"/>
      <c r="X1951" s="68"/>
      <c r="Y1951" s="68"/>
      <c r="Z1951" s="68"/>
      <c r="AA1951" s="68"/>
    </row>
    <row r="1952" ht="26.25" customHeight="1">
      <c r="A1952" s="68"/>
      <c r="B1952" s="68"/>
      <c r="C1952" s="68"/>
      <c r="D1952" s="71"/>
      <c r="E1952" s="71"/>
      <c r="F1952" s="71"/>
      <c r="G1952" s="65"/>
      <c r="H1952" s="74"/>
      <c r="I1952" s="67" t="str">
        <f>IFERROR(__xludf.DUMMYFUNCTION("if($H1952="""", """", AVERAGE(split($H1952, "";"")))"),"")</f>
        <v/>
      </c>
      <c r="J1952" s="67" t="str">
        <f>IFERROR(__xludf.DUMMYFUNCTION("if(H1952="""", """", SUM(split(H1952, "";"")))"),"")</f>
        <v/>
      </c>
      <c r="K1952" s="68"/>
      <c r="L1952" s="68"/>
      <c r="M1952" s="68"/>
      <c r="N1952" s="68"/>
      <c r="O1952" s="68"/>
      <c r="P1952" s="68"/>
      <c r="Q1952" s="68"/>
      <c r="R1952" s="68"/>
      <c r="S1952" s="68"/>
      <c r="T1952" s="68"/>
      <c r="U1952" s="68"/>
      <c r="V1952" s="68"/>
      <c r="W1952" s="68"/>
      <c r="X1952" s="68"/>
      <c r="Y1952" s="68"/>
      <c r="Z1952" s="68"/>
      <c r="AA1952" s="68"/>
    </row>
    <row r="1953" ht="26.25" customHeight="1">
      <c r="A1953" s="68"/>
      <c r="B1953" s="68"/>
      <c r="C1953" s="68"/>
      <c r="D1953" s="71"/>
      <c r="E1953" s="71"/>
      <c r="F1953" s="71"/>
      <c r="G1953" s="65"/>
      <c r="H1953" s="74"/>
      <c r="I1953" s="67" t="str">
        <f>IFERROR(__xludf.DUMMYFUNCTION("if($H1953="""", """", AVERAGE(split($H1953, "";"")))"),"")</f>
        <v/>
      </c>
      <c r="J1953" s="67" t="str">
        <f>IFERROR(__xludf.DUMMYFUNCTION("if(H1953="""", """", SUM(split(H1953, "";"")))"),"")</f>
        <v/>
      </c>
      <c r="K1953" s="68"/>
      <c r="L1953" s="68"/>
      <c r="M1953" s="68"/>
      <c r="N1953" s="68"/>
      <c r="O1953" s="68"/>
      <c r="P1953" s="68"/>
      <c r="Q1953" s="68"/>
      <c r="R1953" s="68"/>
      <c r="S1953" s="68"/>
      <c r="T1953" s="68"/>
      <c r="U1953" s="68"/>
      <c r="V1953" s="68"/>
      <c r="W1953" s="68"/>
      <c r="X1953" s="68"/>
      <c r="Y1953" s="68"/>
      <c r="Z1953" s="68"/>
      <c r="AA1953" s="68"/>
    </row>
    <row r="1954" ht="26.25" customHeight="1">
      <c r="A1954" s="68"/>
      <c r="B1954" s="68"/>
      <c r="C1954" s="68"/>
      <c r="D1954" s="71"/>
      <c r="E1954" s="71"/>
      <c r="F1954" s="71"/>
      <c r="G1954" s="65"/>
      <c r="H1954" s="74"/>
      <c r="I1954" s="67" t="str">
        <f>IFERROR(__xludf.DUMMYFUNCTION("if($H1954="""", """", AVERAGE(split($H1954, "";"")))"),"")</f>
        <v/>
      </c>
      <c r="J1954" s="67" t="str">
        <f>IFERROR(__xludf.DUMMYFUNCTION("if(H1954="""", """", SUM(split(H1954, "";"")))"),"")</f>
        <v/>
      </c>
      <c r="K1954" s="68"/>
      <c r="L1954" s="68"/>
      <c r="M1954" s="68"/>
      <c r="N1954" s="68"/>
      <c r="O1954" s="68"/>
      <c r="P1954" s="68"/>
      <c r="Q1954" s="68"/>
      <c r="R1954" s="68"/>
      <c r="S1954" s="68"/>
      <c r="T1954" s="68"/>
      <c r="U1954" s="68"/>
      <c r="V1954" s="68"/>
      <c r="W1954" s="68"/>
      <c r="X1954" s="68"/>
      <c r="Y1954" s="68"/>
      <c r="Z1954" s="68"/>
      <c r="AA1954" s="68"/>
    </row>
    <row r="1955" ht="26.25" customHeight="1">
      <c r="A1955" s="68"/>
      <c r="B1955" s="68"/>
      <c r="C1955" s="68"/>
      <c r="D1955" s="71"/>
      <c r="E1955" s="71"/>
      <c r="F1955" s="71"/>
      <c r="G1955" s="65"/>
      <c r="H1955" s="74"/>
      <c r="I1955" s="67" t="str">
        <f>IFERROR(__xludf.DUMMYFUNCTION("if($H1955="""", """", AVERAGE(split($H1955, "";"")))"),"")</f>
        <v/>
      </c>
      <c r="J1955" s="67" t="str">
        <f>IFERROR(__xludf.DUMMYFUNCTION("if(H1955="""", """", SUM(split(H1955, "";"")))"),"")</f>
        <v/>
      </c>
      <c r="K1955" s="68"/>
      <c r="L1955" s="68"/>
      <c r="M1955" s="68"/>
      <c r="N1955" s="68"/>
      <c r="O1955" s="68"/>
      <c r="P1955" s="68"/>
      <c r="Q1955" s="68"/>
      <c r="R1955" s="68"/>
      <c r="S1955" s="68"/>
      <c r="T1955" s="68"/>
      <c r="U1955" s="68"/>
      <c r="V1955" s="68"/>
      <c r="W1955" s="68"/>
      <c r="X1955" s="68"/>
      <c r="Y1955" s="68"/>
      <c r="Z1955" s="68"/>
      <c r="AA1955" s="68"/>
    </row>
    <row r="1956" ht="26.25" customHeight="1">
      <c r="A1956" s="68"/>
      <c r="B1956" s="68"/>
      <c r="C1956" s="68"/>
      <c r="D1956" s="71"/>
      <c r="E1956" s="71"/>
      <c r="F1956" s="71"/>
      <c r="G1956" s="65"/>
      <c r="H1956" s="74"/>
      <c r="I1956" s="67" t="str">
        <f>IFERROR(__xludf.DUMMYFUNCTION("if($H1956="""", """", AVERAGE(split($H1956, "";"")))"),"")</f>
        <v/>
      </c>
      <c r="J1956" s="67" t="str">
        <f>IFERROR(__xludf.DUMMYFUNCTION("if(H1956="""", """", SUM(split(H1956, "";"")))"),"")</f>
        <v/>
      </c>
      <c r="K1956" s="68"/>
      <c r="L1956" s="68"/>
      <c r="M1956" s="68"/>
      <c r="N1956" s="68"/>
      <c r="O1956" s="68"/>
      <c r="P1956" s="68"/>
      <c r="Q1956" s="68"/>
      <c r="R1956" s="68"/>
      <c r="S1956" s="68"/>
      <c r="T1956" s="68"/>
      <c r="U1956" s="68"/>
      <c r="V1956" s="68"/>
      <c r="W1956" s="68"/>
      <c r="X1956" s="68"/>
      <c r="Y1956" s="68"/>
      <c r="Z1956" s="68"/>
      <c r="AA1956" s="68"/>
    </row>
    <row r="1957" ht="26.25" customHeight="1">
      <c r="A1957" s="68"/>
      <c r="B1957" s="68"/>
      <c r="C1957" s="68"/>
      <c r="D1957" s="71"/>
      <c r="E1957" s="71"/>
      <c r="F1957" s="71"/>
      <c r="G1957" s="65"/>
      <c r="H1957" s="74"/>
      <c r="I1957" s="67" t="str">
        <f>IFERROR(__xludf.DUMMYFUNCTION("if($H1957="""", """", AVERAGE(split($H1957, "";"")))"),"")</f>
        <v/>
      </c>
      <c r="J1957" s="67" t="str">
        <f>IFERROR(__xludf.DUMMYFUNCTION("if(H1957="""", """", SUM(split(H1957, "";"")))"),"")</f>
        <v/>
      </c>
      <c r="K1957" s="68"/>
      <c r="L1957" s="68"/>
      <c r="M1957" s="68"/>
      <c r="N1957" s="68"/>
      <c r="O1957" s="68"/>
      <c r="P1957" s="68"/>
      <c r="Q1957" s="68"/>
      <c r="R1957" s="68"/>
      <c r="S1957" s="68"/>
      <c r="T1957" s="68"/>
      <c r="U1957" s="68"/>
      <c r="V1957" s="68"/>
      <c r="W1957" s="68"/>
      <c r="X1957" s="68"/>
      <c r="Y1957" s="68"/>
      <c r="Z1957" s="68"/>
      <c r="AA1957" s="68"/>
    </row>
    <row r="1958" ht="26.25" customHeight="1">
      <c r="A1958" s="68"/>
      <c r="B1958" s="68"/>
      <c r="C1958" s="68"/>
      <c r="D1958" s="71"/>
      <c r="E1958" s="71"/>
      <c r="F1958" s="71"/>
      <c r="G1958" s="65"/>
      <c r="H1958" s="74"/>
      <c r="I1958" s="67" t="str">
        <f>IFERROR(__xludf.DUMMYFUNCTION("if($H1958="""", """", AVERAGE(split($H1958, "";"")))"),"")</f>
        <v/>
      </c>
      <c r="J1958" s="67" t="str">
        <f>IFERROR(__xludf.DUMMYFUNCTION("if(H1958="""", """", SUM(split(H1958, "";"")))"),"")</f>
        <v/>
      </c>
      <c r="K1958" s="68"/>
      <c r="L1958" s="68"/>
      <c r="M1958" s="68"/>
      <c r="N1958" s="68"/>
      <c r="O1958" s="68"/>
      <c r="P1958" s="68"/>
      <c r="Q1958" s="68"/>
      <c r="R1958" s="68"/>
      <c r="S1958" s="68"/>
      <c r="T1958" s="68"/>
      <c r="U1958" s="68"/>
      <c r="V1958" s="68"/>
      <c r="W1958" s="68"/>
      <c r="X1958" s="68"/>
      <c r="Y1958" s="68"/>
      <c r="Z1958" s="68"/>
      <c r="AA1958" s="68"/>
    </row>
    <row r="1959" ht="26.25" customHeight="1">
      <c r="A1959" s="68"/>
      <c r="B1959" s="68"/>
      <c r="C1959" s="68"/>
      <c r="D1959" s="71"/>
      <c r="E1959" s="71"/>
      <c r="F1959" s="71"/>
      <c r="G1959" s="65"/>
      <c r="H1959" s="74"/>
      <c r="I1959" s="67" t="str">
        <f>IFERROR(__xludf.DUMMYFUNCTION("if($H1959="""", """", AVERAGE(split($H1959, "";"")))"),"")</f>
        <v/>
      </c>
      <c r="J1959" s="67" t="str">
        <f>IFERROR(__xludf.DUMMYFUNCTION("if(H1959="""", """", SUM(split(H1959, "";"")))"),"")</f>
        <v/>
      </c>
      <c r="K1959" s="68"/>
      <c r="L1959" s="68"/>
      <c r="M1959" s="68"/>
      <c r="N1959" s="68"/>
      <c r="O1959" s="68"/>
      <c r="P1959" s="68"/>
      <c r="Q1959" s="68"/>
      <c r="R1959" s="68"/>
      <c r="S1959" s="68"/>
      <c r="T1959" s="68"/>
      <c r="U1959" s="68"/>
      <c r="V1959" s="68"/>
      <c r="W1959" s="68"/>
      <c r="X1959" s="68"/>
      <c r="Y1959" s="68"/>
      <c r="Z1959" s="68"/>
      <c r="AA1959" s="68"/>
    </row>
    <row r="1960" ht="26.25" customHeight="1">
      <c r="A1960" s="68"/>
      <c r="B1960" s="68"/>
      <c r="C1960" s="68"/>
      <c r="D1960" s="71"/>
      <c r="E1960" s="71"/>
      <c r="F1960" s="71"/>
      <c r="G1960" s="65"/>
      <c r="H1960" s="74"/>
      <c r="I1960" s="67" t="str">
        <f>IFERROR(__xludf.DUMMYFUNCTION("if($H1960="""", """", AVERAGE(split($H1960, "";"")))"),"")</f>
        <v/>
      </c>
      <c r="J1960" s="67" t="str">
        <f>IFERROR(__xludf.DUMMYFUNCTION("if(H1960="""", """", SUM(split(H1960, "";"")))"),"")</f>
        <v/>
      </c>
      <c r="K1960" s="68"/>
      <c r="L1960" s="68"/>
      <c r="M1960" s="68"/>
      <c r="N1960" s="68"/>
      <c r="O1960" s="68"/>
      <c r="P1960" s="68"/>
      <c r="Q1960" s="68"/>
      <c r="R1960" s="68"/>
      <c r="S1960" s="68"/>
      <c r="T1960" s="68"/>
      <c r="U1960" s="68"/>
      <c r="V1960" s="68"/>
      <c r="W1960" s="68"/>
      <c r="X1960" s="68"/>
      <c r="Y1960" s="68"/>
      <c r="Z1960" s="68"/>
      <c r="AA1960" s="68"/>
    </row>
    <row r="1961" ht="26.25" customHeight="1">
      <c r="A1961" s="68"/>
      <c r="B1961" s="68"/>
      <c r="C1961" s="68"/>
      <c r="D1961" s="71"/>
      <c r="E1961" s="71"/>
      <c r="F1961" s="71"/>
      <c r="G1961" s="65"/>
      <c r="H1961" s="74"/>
      <c r="I1961" s="67" t="str">
        <f>IFERROR(__xludf.DUMMYFUNCTION("if($H1961="""", """", AVERAGE(split($H1961, "";"")))"),"")</f>
        <v/>
      </c>
      <c r="J1961" s="67" t="str">
        <f>IFERROR(__xludf.DUMMYFUNCTION("if(H1961="""", """", SUM(split(H1961, "";"")))"),"")</f>
        <v/>
      </c>
      <c r="K1961" s="68"/>
      <c r="L1961" s="68"/>
      <c r="M1961" s="68"/>
      <c r="N1961" s="68"/>
      <c r="O1961" s="68"/>
      <c r="P1961" s="68"/>
      <c r="Q1961" s="68"/>
      <c r="R1961" s="68"/>
      <c r="S1961" s="68"/>
      <c r="T1961" s="68"/>
      <c r="U1961" s="68"/>
      <c r="V1961" s="68"/>
      <c r="W1961" s="68"/>
      <c r="X1961" s="68"/>
      <c r="Y1961" s="68"/>
      <c r="Z1961" s="68"/>
      <c r="AA1961" s="68"/>
    </row>
    <row r="1962" ht="26.25" customHeight="1">
      <c r="A1962" s="68"/>
      <c r="B1962" s="68"/>
      <c r="C1962" s="68"/>
      <c r="D1962" s="71"/>
      <c r="E1962" s="71"/>
      <c r="F1962" s="71"/>
      <c r="G1962" s="65"/>
      <c r="H1962" s="74"/>
      <c r="I1962" s="67" t="str">
        <f>IFERROR(__xludf.DUMMYFUNCTION("if($H1962="""", """", AVERAGE(split($H1962, "";"")))"),"")</f>
        <v/>
      </c>
      <c r="J1962" s="67" t="str">
        <f>IFERROR(__xludf.DUMMYFUNCTION("if(H1962="""", """", SUM(split(H1962, "";"")))"),"")</f>
        <v/>
      </c>
      <c r="K1962" s="68"/>
      <c r="L1962" s="68"/>
      <c r="M1962" s="68"/>
      <c r="N1962" s="68"/>
      <c r="O1962" s="68"/>
      <c r="P1962" s="68"/>
      <c r="Q1962" s="68"/>
      <c r="R1962" s="68"/>
      <c r="S1962" s="68"/>
      <c r="T1962" s="68"/>
      <c r="U1962" s="68"/>
      <c r="V1962" s="68"/>
      <c r="W1962" s="68"/>
      <c r="X1962" s="68"/>
      <c r="Y1962" s="68"/>
      <c r="Z1962" s="68"/>
      <c r="AA1962" s="68"/>
    </row>
    <row r="1963" ht="26.25" customHeight="1">
      <c r="A1963" s="68"/>
      <c r="B1963" s="68"/>
      <c r="C1963" s="68"/>
      <c r="D1963" s="71"/>
      <c r="E1963" s="71"/>
      <c r="F1963" s="71"/>
      <c r="G1963" s="65"/>
      <c r="H1963" s="74"/>
      <c r="I1963" s="67" t="str">
        <f>IFERROR(__xludf.DUMMYFUNCTION("if($H1963="""", """", AVERAGE(split($H1963, "";"")))"),"")</f>
        <v/>
      </c>
      <c r="J1963" s="67" t="str">
        <f>IFERROR(__xludf.DUMMYFUNCTION("if(H1963="""", """", SUM(split(H1963, "";"")))"),"")</f>
        <v/>
      </c>
      <c r="K1963" s="68"/>
      <c r="L1963" s="68"/>
      <c r="M1963" s="68"/>
      <c r="N1963" s="68"/>
      <c r="O1963" s="68"/>
      <c r="P1963" s="68"/>
      <c r="Q1963" s="68"/>
      <c r="R1963" s="68"/>
      <c r="S1963" s="68"/>
      <c r="T1963" s="68"/>
      <c r="U1963" s="68"/>
      <c r="V1963" s="68"/>
      <c r="W1963" s="68"/>
      <c r="X1963" s="68"/>
      <c r="Y1963" s="68"/>
      <c r="Z1963" s="68"/>
      <c r="AA1963" s="68"/>
    </row>
    <row r="1964" ht="26.25" customHeight="1">
      <c r="A1964" s="68"/>
      <c r="B1964" s="68"/>
      <c r="C1964" s="68"/>
      <c r="D1964" s="71"/>
      <c r="E1964" s="71"/>
      <c r="F1964" s="71"/>
      <c r="G1964" s="65"/>
      <c r="H1964" s="74"/>
      <c r="I1964" s="67" t="str">
        <f>IFERROR(__xludf.DUMMYFUNCTION("if($H1964="""", """", AVERAGE(split($H1964, "";"")))"),"")</f>
        <v/>
      </c>
      <c r="J1964" s="67" t="str">
        <f>IFERROR(__xludf.DUMMYFUNCTION("if(H1964="""", """", SUM(split(H1964, "";"")))"),"")</f>
        <v/>
      </c>
      <c r="K1964" s="68"/>
      <c r="L1964" s="68"/>
      <c r="M1964" s="68"/>
      <c r="N1964" s="68"/>
      <c r="O1964" s="68"/>
      <c r="P1964" s="68"/>
      <c r="Q1964" s="68"/>
      <c r="R1964" s="68"/>
      <c r="S1964" s="68"/>
      <c r="T1964" s="68"/>
      <c r="U1964" s="68"/>
      <c r="V1964" s="68"/>
      <c r="W1964" s="68"/>
      <c r="X1964" s="68"/>
      <c r="Y1964" s="68"/>
      <c r="Z1964" s="68"/>
      <c r="AA1964" s="68"/>
    </row>
    <row r="1965" ht="26.25" customHeight="1">
      <c r="A1965" s="68"/>
      <c r="B1965" s="68"/>
      <c r="C1965" s="68"/>
      <c r="D1965" s="71"/>
      <c r="E1965" s="71"/>
      <c r="F1965" s="71"/>
      <c r="G1965" s="65"/>
      <c r="H1965" s="74"/>
      <c r="I1965" s="67" t="str">
        <f>IFERROR(__xludf.DUMMYFUNCTION("if($H1965="""", """", AVERAGE(split($H1965, "";"")))"),"")</f>
        <v/>
      </c>
      <c r="J1965" s="67" t="str">
        <f>IFERROR(__xludf.DUMMYFUNCTION("if(H1965="""", """", SUM(split(H1965, "";"")))"),"")</f>
        <v/>
      </c>
      <c r="K1965" s="68"/>
      <c r="L1965" s="68"/>
      <c r="M1965" s="68"/>
      <c r="N1965" s="68"/>
      <c r="O1965" s="68"/>
      <c r="P1965" s="68"/>
      <c r="Q1965" s="68"/>
      <c r="R1965" s="68"/>
      <c r="S1965" s="68"/>
      <c r="T1965" s="68"/>
      <c r="U1965" s="68"/>
      <c r="V1965" s="68"/>
      <c r="W1965" s="68"/>
      <c r="X1965" s="68"/>
      <c r="Y1965" s="68"/>
      <c r="Z1965" s="68"/>
      <c r="AA1965" s="68"/>
    </row>
    <row r="1966" ht="26.25" customHeight="1">
      <c r="A1966" s="68"/>
      <c r="B1966" s="68"/>
      <c r="C1966" s="68"/>
      <c r="D1966" s="71"/>
      <c r="E1966" s="71"/>
      <c r="F1966" s="71"/>
      <c r="G1966" s="65"/>
      <c r="H1966" s="74"/>
      <c r="I1966" s="67" t="str">
        <f>IFERROR(__xludf.DUMMYFUNCTION("if($H1966="""", """", AVERAGE(split($H1966, "";"")))"),"")</f>
        <v/>
      </c>
      <c r="J1966" s="67" t="str">
        <f>IFERROR(__xludf.DUMMYFUNCTION("if(H1966="""", """", SUM(split(H1966, "";"")))"),"")</f>
        <v/>
      </c>
      <c r="K1966" s="68"/>
      <c r="L1966" s="68"/>
      <c r="M1966" s="68"/>
      <c r="N1966" s="68"/>
      <c r="O1966" s="68"/>
      <c r="P1966" s="68"/>
      <c r="Q1966" s="68"/>
      <c r="R1966" s="68"/>
      <c r="S1966" s="68"/>
      <c r="T1966" s="68"/>
      <c r="U1966" s="68"/>
      <c r="V1966" s="68"/>
      <c r="W1966" s="68"/>
      <c r="X1966" s="68"/>
      <c r="Y1966" s="68"/>
      <c r="Z1966" s="68"/>
      <c r="AA1966" s="68"/>
    </row>
    <row r="1967" ht="26.25" customHeight="1">
      <c r="A1967" s="68"/>
      <c r="B1967" s="68"/>
      <c r="C1967" s="68"/>
      <c r="D1967" s="71"/>
      <c r="E1967" s="71"/>
      <c r="F1967" s="71"/>
      <c r="G1967" s="65"/>
      <c r="H1967" s="74"/>
      <c r="I1967" s="67" t="str">
        <f>IFERROR(__xludf.DUMMYFUNCTION("if($H1967="""", """", AVERAGE(split($H1967, "";"")))"),"")</f>
        <v/>
      </c>
      <c r="J1967" s="67" t="str">
        <f>IFERROR(__xludf.DUMMYFUNCTION("if(H1967="""", """", SUM(split(H1967, "";"")))"),"")</f>
        <v/>
      </c>
      <c r="K1967" s="68"/>
      <c r="L1967" s="68"/>
      <c r="M1967" s="68"/>
      <c r="N1967" s="68"/>
      <c r="O1967" s="68"/>
      <c r="P1967" s="68"/>
      <c r="Q1967" s="68"/>
      <c r="R1967" s="68"/>
      <c r="S1967" s="68"/>
      <c r="T1967" s="68"/>
      <c r="U1967" s="68"/>
      <c r="V1967" s="68"/>
      <c r="W1967" s="68"/>
      <c r="X1967" s="68"/>
      <c r="Y1967" s="68"/>
      <c r="Z1967" s="68"/>
      <c r="AA1967" s="68"/>
    </row>
    <row r="1968" ht="26.25" customHeight="1">
      <c r="A1968" s="68"/>
      <c r="B1968" s="68"/>
      <c r="C1968" s="68"/>
      <c r="D1968" s="71"/>
      <c r="E1968" s="71"/>
      <c r="F1968" s="71"/>
      <c r="G1968" s="65"/>
      <c r="H1968" s="74"/>
      <c r="I1968" s="67" t="str">
        <f>IFERROR(__xludf.DUMMYFUNCTION("if($H1968="""", """", AVERAGE(split($H1968, "";"")))"),"")</f>
        <v/>
      </c>
      <c r="J1968" s="67" t="str">
        <f>IFERROR(__xludf.DUMMYFUNCTION("if(H1968="""", """", SUM(split(H1968, "";"")))"),"")</f>
        <v/>
      </c>
      <c r="K1968" s="68"/>
      <c r="L1968" s="68"/>
      <c r="M1968" s="68"/>
      <c r="N1968" s="68"/>
      <c r="O1968" s="68"/>
      <c r="P1968" s="68"/>
      <c r="Q1968" s="68"/>
      <c r="R1968" s="68"/>
      <c r="S1968" s="68"/>
      <c r="T1968" s="68"/>
      <c r="U1968" s="68"/>
      <c r="V1968" s="68"/>
      <c r="W1968" s="68"/>
      <c r="X1968" s="68"/>
      <c r="Y1968" s="68"/>
      <c r="Z1968" s="68"/>
      <c r="AA1968" s="68"/>
    </row>
    <row r="1969" ht="26.25" customHeight="1">
      <c r="A1969" s="68"/>
      <c r="B1969" s="68"/>
      <c r="C1969" s="68"/>
      <c r="D1969" s="71"/>
      <c r="E1969" s="71"/>
      <c r="F1969" s="71"/>
      <c r="G1969" s="65"/>
      <c r="H1969" s="74"/>
      <c r="I1969" s="67" t="str">
        <f>IFERROR(__xludf.DUMMYFUNCTION("if($H1969="""", """", AVERAGE(split($H1969, "";"")))"),"")</f>
        <v/>
      </c>
      <c r="J1969" s="67" t="str">
        <f>IFERROR(__xludf.DUMMYFUNCTION("if(H1969="""", """", SUM(split(H1969, "";"")))"),"")</f>
        <v/>
      </c>
      <c r="K1969" s="68"/>
      <c r="L1969" s="68"/>
      <c r="M1969" s="68"/>
      <c r="N1969" s="68"/>
      <c r="O1969" s="68"/>
      <c r="P1969" s="68"/>
      <c r="Q1969" s="68"/>
      <c r="R1969" s="68"/>
      <c r="S1969" s="68"/>
      <c r="T1969" s="68"/>
      <c r="U1969" s="68"/>
      <c r="V1969" s="68"/>
      <c r="W1969" s="68"/>
      <c r="X1969" s="68"/>
      <c r="Y1969" s="68"/>
      <c r="Z1969" s="68"/>
      <c r="AA1969" s="68"/>
    </row>
    <row r="1970" ht="26.25" customHeight="1">
      <c r="A1970" s="68"/>
      <c r="B1970" s="68"/>
      <c r="C1970" s="68"/>
      <c r="D1970" s="71"/>
      <c r="E1970" s="71"/>
      <c r="F1970" s="71"/>
      <c r="G1970" s="65"/>
      <c r="H1970" s="74"/>
      <c r="I1970" s="67" t="str">
        <f>IFERROR(__xludf.DUMMYFUNCTION("if($H1970="""", """", AVERAGE(split($H1970, "";"")))"),"")</f>
        <v/>
      </c>
      <c r="J1970" s="67" t="str">
        <f>IFERROR(__xludf.DUMMYFUNCTION("if(H1970="""", """", SUM(split(H1970, "";"")))"),"")</f>
        <v/>
      </c>
      <c r="K1970" s="68"/>
      <c r="L1970" s="68"/>
      <c r="M1970" s="68"/>
      <c r="N1970" s="68"/>
      <c r="O1970" s="68"/>
      <c r="P1970" s="68"/>
      <c r="Q1970" s="68"/>
      <c r="R1970" s="68"/>
      <c r="S1970" s="68"/>
      <c r="T1970" s="68"/>
      <c r="U1970" s="68"/>
      <c r="V1970" s="68"/>
      <c r="W1970" s="68"/>
      <c r="X1970" s="68"/>
      <c r="Y1970" s="68"/>
      <c r="Z1970" s="68"/>
      <c r="AA1970" s="68"/>
    </row>
    <row r="1971" ht="26.25" customHeight="1">
      <c r="A1971" s="68"/>
      <c r="B1971" s="68"/>
      <c r="C1971" s="68"/>
      <c r="D1971" s="71"/>
      <c r="E1971" s="71"/>
      <c r="F1971" s="71"/>
      <c r="G1971" s="65"/>
      <c r="H1971" s="74"/>
      <c r="I1971" s="67" t="str">
        <f>IFERROR(__xludf.DUMMYFUNCTION("if($H1971="""", """", AVERAGE(split($H1971, "";"")))"),"")</f>
        <v/>
      </c>
      <c r="J1971" s="67" t="str">
        <f>IFERROR(__xludf.DUMMYFUNCTION("if(H1971="""", """", SUM(split(H1971, "";"")))"),"")</f>
        <v/>
      </c>
      <c r="K1971" s="68"/>
      <c r="L1971" s="68"/>
      <c r="M1971" s="68"/>
      <c r="N1971" s="68"/>
      <c r="O1971" s="68"/>
      <c r="P1971" s="68"/>
      <c r="Q1971" s="68"/>
      <c r="R1971" s="68"/>
      <c r="S1971" s="68"/>
      <c r="T1971" s="68"/>
      <c r="U1971" s="68"/>
      <c r="V1971" s="68"/>
      <c r="W1971" s="68"/>
      <c r="X1971" s="68"/>
      <c r="Y1971" s="68"/>
      <c r="Z1971" s="68"/>
      <c r="AA1971" s="68"/>
    </row>
    <row r="1972" ht="26.25" customHeight="1">
      <c r="A1972" s="68"/>
      <c r="B1972" s="68"/>
      <c r="C1972" s="68"/>
      <c r="D1972" s="71"/>
      <c r="E1972" s="71"/>
      <c r="F1972" s="71"/>
      <c r="G1972" s="65"/>
      <c r="H1972" s="74"/>
      <c r="I1972" s="67" t="str">
        <f>IFERROR(__xludf.DUMMYFUNCTION("if($H1972="""", """", AVERAGE(split($H1972, "";"")))"),"")</f>
        <v/>
      </c>
      <c r="J1972" s="67" t="str">
        <f>IFERROR(__xludf.DUMMYFUNCTION("if(H1972="""", """", SUM(split(H1972, "";"")))"),"")</f>
        <v/>
      </c>
      <c r="K1972" s="68"/>
      <c r="L1972" s="68"/>
      <c r="M1972" s="68"/>
      <c r="N1972" s="68"/>
      <c r="O1972" s="68"/>
      <c r="P1972" s="68"/>
      <c r="Q1972" s="68"/>
      <c r="R1972" s="68"/>
      <c r="S1972" s="68"/>
      <c r="T1972" s="68"/>
      <c r="U1972" s="68"/>
      <c r="V1972" s="68"/>
      <c r="W1972" s="68"/>
      <c r="X1972" s="68"/>
      <c r="Y1972" s="68"/>
      <c r="Z1972" s="68"/>
      <c r="AA1972" s="68"/>
    </row>
    <row r="1973" ht="26.25" customHeight="1">
      <c r="A1973" s="68"/>
      <c r="B1973" s="68"/>
      <c r="C1973" s="68"/>
      <c r="D1973" s="71"/>
      <c r="E1973" s="71"/>
      <c r="F1973" s="71"/>
      <c r="G1973" s="65"/>
      <c r="H1973" s="74"/>
      <c r="I1973" s="67" t="str">
        <f>IFERROR(__xludf.DUMMYFUNCTION("if($H1973="""", """", AVERAGE(split($H1973, "";"")))"),"")</f>
        <v/>
      </c>
      <c r="J1973" s="67" t="str">
        <f>IFERROR(__xludf.DUMMYFUNCTION("if(H1973="""", """", SUM(split(H1973, "";"")))"),"")</f>
        <v/>
      </c>
      <c r="K1973" s="68"/>
      <c r="L1973" s="68"/>
      <c r="M1973" s="68"/>
      <c r="N1973" s="68"/>
      <c r="O1973" s="68"/>
      <c r="P1973" s="68"/>
      <c r="Q1973" s="68"/>
      <c r="R1973" s="68"/>
      <c r="S1973" s="68"/>
      <c r="T1973" s="68"/>
      <c r="U1973" s="68"/>
      <c r="V1973" s="68"/>
      <c r="W1973" s="68"/>
      <c r="X1973" s="68"/>
      <c r="Y1973" s="68"/>
      <c r="Z1973" s="68"/>
      <c r="AA1973" s="68"/>
    </row>
    <row r="1974" ht="26.25" customHeight="1">
      <c r="A1974" s="68"/>
      <c r="B1974" s="68"/>
      <c r="C1974" s="68"/>
      <c r="D1974" s="71"/>
      <c r="E1974" s="71"/>
      <c r="F1974" s="71"/>
      <c r="G1974" s="65"/>
      <c r="H1974" s="74"/>
      <c r="I1974" s="67" t="str">
        <f>IFERROR(__xludf.DUMMYFUNCTION("if($H1974="""", """", AVERAGE(split($H1974, "";"")))"),"")</f>
        <v/>
      </c>
      <c r="J1974" s="67" t="str">
        <f>IFERROR(__xludf.DUMMYFUNCTION("if(H1974="""", """", SUM(split(H1974, "";"")))"),"")</f>
        <v/>
      </c>
      <c r="K1974" s="68"/>
      <c r="L1974" s="68"/>
      <c r="M1974" s="68"/>
      <c r="N1974" s="68"/>
      <c r="O1974" s="68"/>
      <c r="P1974" s="68"/>
      <c r="Q1974" s="68"/>
      <c r="R1974" s="68"/>
      <c r="S1974" s="68"/>
      <c r="T1974" s="68"/>
      <c r="U1974" s="68"/>
      <c r="V1974" s="68"/>
      <c r="W1974" s="68"/>
      <c r="X1974" s="68"/>
      <c r="Y1974" s="68"/>
      <c r="Z1974" s="68"/>
      <c r="AA1974" s="68"/>
    </row>
    <row r="1975" ht="26.25" customHeight="1">
      <c r="A1975" s="68"/>
      <c r="B1975" s="68"/>
      <c r="C1975" s="68"/>
      <c r="D1975" s="71"/>
      <c r="E1975" s="71"/>
      <c r="F1975" s="71"/>
      <c r="G1975" s="65"/>
      <c r="H1975" s="74"/>
      <c r="I1975" s="67" t="str">
        <f>IFERROR(__xludf.DUMMYFUNCTION("if($H1975="""", """", AVERAGE(split($H1975, "";"")))"),"")</f>
        <v/>
      </c>
      <c r="J1975" s="67" t="str">
        <f>IFERROR(__xludf.DUMMYFUNCTION("if(H1975="""", """", SUM(split(H1975, "";"")))"),"")</f>
        <v/>
      </c>
      <c r="K1975" s="68"/>
      <c r="L1975" s="68"/>
      <c r="M1975" s="68"/>
      <c r="N1975" s="68"/>
      <c r="O1975" s="68"/>
      <c r="P1975" s="68"/>
      <c r="Q1975" s="68"/>
      <c r="R1975" s="68"/>
      <c r="S1975" s="68"/>
      <c r="T1975" s="68"/>
      <c r="U1975" s="68"/>
      <c r="V1975" s="68"/>
      <c r="W1975" s="68"/>
      <c r="X1975" s="68"/>
      <c r="Y1975" s="68"/>
      <c r="Z1975" s="68"/>
      <c r="AA1975" s="68"/>
    </row>
    <row r="1976" ht="26.25" customHeight="1">
      <c r="A1976" s="68"/>
      <c r="B1976" s="68"/>
      <c r="C1976" s="68"/>
      <c r="D1976" s="71"/>
      <c r="E1976" s="71"/>
      <c r="F1976" s="71"/>
      <c r="G1976" s="65"/>
      <c r="H1976" s="74"/>
      <c r="I1976" s="67" t="str">
        <f>IFERROR(__xludf.DUMMYFUNCTION("if($H1976="""", """", AVERAGE(split($H1976, "";"")))"),"")</f>
        <v/>
      </c>
      <c r="J1976" s="67" t="str">
        <f>IFERROR(__xludf.DUMMYFUNCTION("if(H1976="""", """", SUM(split(H1976, "";"")))"),"")</f>
        <v/>
      </c>
      <c r="K1976" s="68"/>
      <c r="L1976" s="68"/>
      <c r="M1976" s="68"/>
      <c r="N1976" s="68"/>
      <c r="O1976" s="68"/>
      <c r="P1976" s="68"/>
      <c r="Q1976" s="68"/>
      <c r="R1976" s="68"/>
      <c r="S1976" s="68"/>
      <c r="T1976" s="68"/>
      <c r="U1976" s="68"/>
      <c r="V1976" s="68"/>
      <c r="W1976" s="68"/>
      <c r="X1976" s="68"/>
      <c r="Y1976" s="68"/>
      <c r="Z1976" s="68"/>
      <c r="AA1976" s="68"/>
    </row>
    <row r="1977" ht="26.25" customHeight="1">
      <c r="A1977" s="68"/>
      <c r="B1977" s="68"/>
      <c r="C1977" s="68"/>
      <c r="D1977" s="71"/>
      <c r="E1977" s="71"/>
      <c r="F1977" s="71"/>
      <c r="G1977" s="65"/>
      <c r="H1977" s="74"/>
      <c r="I1977" s="67" t="str">
        <f>IFERROR(__xludf.DUMMYFUNCTION("if($H1977="""", """", AVERAGE(split($H1977, "";"")))"),"")</f>
        <v/>
      </c>
      <c r="J1977" s="67" t="str">
        <f>IFERROR(__xludf.DUMMYFUNCTION("if(H1977="""", """", SUM(split(H1977, "";"")))"),"")</f>
        <v/>
      </c>
      <c r="K1977" s="68"/>
      <c r="L1977" s="68"/>
      <c r="M1977" s="68"/>
      <c r="N1977" s="68"/>
      <c r="O1977" s="68"/>
      <c r="P1977" s="68"/>
      <c r="Q1977" s="68"/>
      <c r="R1977" s="68"/>
      <c r="S1977" s="68"/>
      <c r="T1977" s="68"/>
      <c r="U1977" s="68"/>
      <c r="V1977" s="68"/>
      <c r="W1977" s="68"/>
      <c r="X1977" s="68"/>
      <c r="Y1977" s="68"/>
      <c r="Z1977" s="68"/>
      <c r="AA1977" s="68"/>
    </row>
    <row r="1978" ht="26.25" customHeight="1">
      <c r="A1978" s="68"/>
      <c r="B1978" s="68"/>
      <c r="C1978" s="68"/>
      <c r="D1978" s="71"/>
      <c r="E1978" s="71"/>
      <c r="F1978" s="71"/>
      <c r="G1978" s="65"/>
      <c r="H1978" s="74"/>
      <c r="I1978" s="67" t="str">
        <f>IFERROR(__xludf.DUMMYFUNCTION("if($H1978="""", """", AVERAGE(split($H1978, "";"")))"),"")</f>
        <v/>
      </c>
      <c r="J1978" s="67" t="str">
        <f>IFERROR(__xludf.DUMMYFUNCTION("if(H1978="""", """", SUM(split(H1978, "";"")))"),"")</f>
        <v/>
      </c>
      <c r="K1978" s="68"/>
      <c r="L1978" s="68"/>
      <c r="M1978" s="68"/>
      <c r="N1978" s="68"/>
      <c r="O1978" s="68"/>
      <c r="P1978" s="68"/>
      <c r="Q1978" s="68"/>
      <c r="R1978" s="68"/>
      <c r="S1978" s="68"/>
      <c r="T1978" s="68"/>
      <c r="U1978" s="68"/>
      <c r="V1978" s="68"/>
      <c r="W1978" s="68"/>
      <c r="X1978" s="68"/>
      <c r="Y1978" s="68"/>
      <c r="Z1978" s="68"/>
      <c r="AA1978" s="68"/>
    </row>
    <row r="1979" ht="26.25" customHeight="1">
      <c r="A1979" s="68"/>
      <c r="B1979" s="68"/>
      <c r="C1979" s="68"/>
      <c r="D1979" s="71"/>
      <c r="E1979" s="71"/>
      <c r="F1979" s="71"/>
      <c r="G1979" s="65"/>
      <c r="H1979" s="74"/>
      <c r="I1979" s="67" t="str">
        <f>IFERROR(__xludf.DUMMYFUNCTION("if($H1979="""", """", AVERAGE(split($H1979, "";"")))"),"")</f>
        <v/>
      </c>
      <c r="J1979" s="67" t="str">
        <f>IFERROR(__xludf.DUMMYFUNCTION("if(H1979="""", """", SUM(split(H1979, "";"")))"),"")</f>
        <v/>
      </c>
      <c r="K1979" s="68"/>
      <c r="L1979" s="68"/>
      <c r="M1979" s="68"/>
      <c r="N1979" s="68"/>
      <c r="O1979" s="68"/>
      <c r="P1979" s="68"/>
      <c r="Q1979" s="68"/>
      <c r="R1979" s="68"/>
      <c r="S1979" s="68"/>
      <c r="T1979" s="68"/>
      <c r="U1979" s="68"/>
      <c r="V1979" s="68"/>
      <c r="W1979" s="68"/>
      <c r="X1979" s="68"/>
      <c r="Y1979" s="68"/>
      <c r="Z1979" s="68"/>
      <c r="AA1979" s="68"/>
    </row>
    <row r="1980" ht="26.25" customHeight="1">
      <c r="A1980" s="68"/>
      <c r="B1980" s="68"/>
      <c r="C1980" s="68"/>
      <c r="D1980" s="71"/>
      <c r="E1980" s="71"/>
      <c r="F1980" s="71"/>
      <c r="G1980" s="65"/>
      <c r="H1980" s="74"/>
      <c r="I1980" s="67" t="str">
        <f>IFERROR(__xludf.DUMMYFUNCTION("if($H1980="""", """", AVERAGE(split($H1980, "";"")))"),"")</f>
        <v/>
      </c>
      <c r="J1980" s="67" t="str">
        <f>IFERROR(__xludf.DUMMYFUNCTION("if(H1980="""", """", SUM(split(H1980, "";"")))"),"")</f>
        <v/>
      </c>
      <c r="K1980" s="68"/>
      <c r="L1980" s="68"/>
      <c r="M1980" s="68"/>
      <c r="N1980" s="68"/>
      <c r="O1980" s="68"/>
      <c r="P1980" s="68"/>
      <c r="Q1980" s="68"/>
      <c r="R1980" s="68"/>
      <c r="S1980" s="68"/>
      <c r="T1980" s="68"/>
      <c r="U1980" s="68"/>
      <c r="V1980" s="68"/>
      <c r="W1980" s="68"/>
      <c r="X1980" s="68"/>
      <c r="Y1980" s="68"/>
      <c r="Z1980" s="68"/>
      <c r="AA1980" s="68"/>
    </row>
    <row r="1981" ht="26.25" customHeight="1">
      <c r="A1981" s="68"/>
      <c r="B1981" s="68"/>
      <c r="C1981" s="68"/>
      <c r="D1981" s="71"/>
      <c r="E1981" s="71"/>
      <c r="F1981" s="71"/>
      <c r="G1981" s="65"/>
      <c r="H1981" s="74"/>
      <c r="I1981" s="67" t="str">
        <f>IFERROR(__xludf.DUMMYFUNCTION("if($H1981="""", """", AVERAGE(split($H1981, "";"")))"),"")</f>
        <v/>
      </c>
      <c r="J1981" s="67" t="str">
        <f>IFERROR(__xludf.DUMMYFUNCTION("if(H1981="""", """", SUM(split(H1981, "";"")))"),"")</f>
        <v/>
      </c>
      <c r="K1981" s="68"/>
      <c r="L1981" s="68"/>
      <c r="M1981" s="68"/>
      <c r="N1981" s="68"/>
      <c r="O1981" s="68"/>
      <c r="P1981" s="68"/>
      <c r="Q1981" s="68"/>
      <c r="R1981" s="68"/>
      <c r="S1981" s="68"/>
      <c r="T1981" s="68"/>
      <c r="U1981" s="68"/>
      <c r="V1981" s="68"/>
      <c r="W1981" s="68"/>
      <c r="X1981" s="68"/>
      <c r="Y1981" s="68"/>
      <c r="Z1981" s="68"/>
      <c r="AA1981" s="68"/>
    </row>
    <row r="1982" ht="26.25" customHeight="1">
      <c r="A1982" s="68"/>
      <c r="B1982" s="68"/>
      <c r="C1982" s="68"/>
      <c r="D1982" s="71"/>
      <c r="E1982" s="71"/>
      <c r="F1982" s="71"/>
      <c r="G1982" s="65"/>
      <c r="H1982" s="74"/>
      <c r="I1982" s="67" t="str">
        <f>IFERROR(__xludf.DUMMYFUNCTION("if($H1982="""", """", AVERAGE(split($H1982, "";"")))"),"")</f>
        <v/>
      </c>
      <c r="J1982" s="67" t="str">
        <f>IFERROR(__xludf.DUMMYFUNCTION("if(H1982="""", """", SUM(split(H1982, "";"")))"),"")</f>
        <v/>
      </c>
      <c r="K1982" s="68"/>
      <c r="L1982" s="68"/>
      <c r="M1982" s="68"/>
      <c r="N1982" s="68"/>
      <c r="O1982" s="68"/>
      <c r="P1982" s="68"/>
      <c r="Q1982" s="68"/>
      <c r="R1982" s="68"/>
      <c r="S1982" s="68"/>
      <c r="T1982" s="68"/>
      <c r="U1982" s="68"/>
      <c r="V1982" s="68"/>
      <c r="W1982" s="68"/>
      <c r="X1982" s="68"/>
      <c r="Y1982" s="68"/>
      <c r="Z1982" s="68"/>
      <c r="AA1982" s="68"/>
    </row>
    <row r="1983" ht="26.25" customHeight="1">
      <c r="A1983" s="68"/>
      <c r="B1983" s="68"/>
      <c r="C1983" s="68"/>
      <c r="D1983" s="71"/>
      <c r="E1983" s="71"/>
      <c r="F1983" s="71"/>
      <c r="G1983" s="65"/>
      <c r="H1983" s="74"/>
      <c r="I1983" s="67" t="str">
        <f>IFERROR(__xludf.DUMMYFUNCTION("if($H1983="""", """", AVERAGE(split($H1983, "";"")))"),"")</f>
        <v/>
      </c>
      <c r="J1983" s="67" t="str">
        <f>IFERROR(__xludf.DUMMYFUNCTION("if(H1983="""", """", SUM(split(H1983, "";"")))"),"")</f>
        <v/>
      </c>
      <c r="K1983" s="68"/>
      <c r="L1983" s="68"/>
      <c r="M1983" s="68"/>
      <c r="N1983" s="68"/>
      <c r="O1983" s="68"/>
      <c r="P1983" s="68"/>
      <c r="Q1983" s="68"/>
      <c r="R1983" s="68"/>
      <c r="S1983" s="68"/>
      <c r="T1983" s="68"/>
      <c r="U1983" s="68"/>
      <c r="V1983" s="68"/>
      <c r="W1983" s="68"/>
      <c r="X1983" s="68"/>
      <c r="Y1983" s="68"/>
      <c r="Z1983" s="68"/>
      <c r="AA1983" s="68"/>
    </row>
    <row r="1984" ht="26.25" customHeight="1">
      <c r="A1984" s="68"/>
      <c r="B1984" s="68"/>
      <c r="C1984" s="68"/>
      <c r="D1984" s="71"/>
      <c r="E1984" s="71"/>
      <c r="F1984" s="71"/>
      <c r="G1984" s="65"/>
      <c r="H1984" s="74"/>
      <c r="I1984" s="67" t="str">
        <f>IFERROR(__xludf.DUMMYFUNCTION("if($H1984="""", """", AVERAGE(split($H1984, "";"")))"),"")</f>
        <v/>
      </c>
      <c r="J1984" s="67" t="str">
        <f>IFERROR(__xludf.DUMMYFUNCTION("if(H1984="""", """", SUM(split(H1984, "";"")))"),"")</f>
        <v/>
      </c>
      <c r="K1984" s="68"/>
      <c r="L1984" s="68"/>
      <c r="M1984" s="68"/>
      <c r="N1984" s="68"/>
      <c r="O1984" s="68"/>
      <c r="P1984" s="68"/>
      <c r="Q1984" s="68"/>
      <c r="R1984" s="68"/>
      <c r="S1984" s="68"/>
      <c r="T1984" s="68"/>
      <c r="U1984" s="68"/>
      <c r="V1984" s="68"/>
      <c r="W1984" s="68"/>
      <c r="X1984" s="68"/>
      <c r="Y1984" s="68"/>
      <c r="Z1984" s="68"/>
      <c r="AA1984" s="68"/>
    </row>
    <row r="1985" ht="26.25" customHeight="1">
      <c r="A1985" s="68"/>
      <c r="B1985" s="68"/>
      <c r="C1985" s="68"/>
      <c r="D1985" s="71"/>
      <c r="E1985" s="71"/>
      <c r="F1985" s="71"/>
      <c r="G1985" s="65"/>
      <c r="H1985" s="74"/>
      <c r="I1985" s="67" t="str">
        <f>IFERROR(__xludf.DUMMYFUNCTION("if($H1985="""", """", AVERAGE(split($H1985, "";"")))"),"")</f>
        <v/>
      </c>
      <c r="J1985" s="67" t="str">
        <f>IFERROR(__xludf.DUMMYFUNCTION("if(H1985="""", """", SUM(split(H1985, "";"")))"),"")</f>
        <v/>
      </c>
      <c r="K1985" s="68"/>
      <c r="L1985" s="68"/>
      <c r="M1985" s="68"/>
      <c r="N1985" s="68"/>
      <c r="O1985" s="68"/>
      <c r="P1985" s="68"/>
      <c r="Q1985" s="68"/>
      <c r="R1985" s="68"/>
      <c r="S1985" s="68"/>
      <c r="T1985" s="68"/>
      <c r="U1985" s="68"/>
      <c r="V1985" s="68"/>
      <c r="W1985" s="68"/>
      <c r="X1985" s="68"/>
      <c r="Y1985" s="68"/>
      <c r="Z1985" s="68"/>
      <c r="AA1985" s="68"/>
    </row>
    <row r="1986" ht="26.25" customHeight="1">
      <c r="A1986" s="68"/>
      <c r="B1986" s="68"/>
      <c r="C1986" s="68"/>
      <c r="D1986" s="71"/>
      <c r="E1986" s="71"/>
      <c r="F1986" s="71"/>
      <c r="G1986" s="65"/>
      <c r="H1986" s="74"/>
      <c r="I1986" s="67" t="str">
        <f>IFERROR(__xludf.DUMMYFUNCTION("if($H1986="""", """", AVERAGE(split($H1986, "";"")))"),"")</f>
        <v/>
      </c>
      <c r="J1986" s="67" t="str">
        <f>IFERROR(__xludf.DUMMYFUNCTION("if(H1986="""", """", SUM(split(H1986, "";"")))"),"")</f>
        <v/>
      </c>
      <c r="K1986" s="68"/>
      <c r="L1986" s="68"/>
      <c r="M1986" s="68"/>
      <c r="N1986" s="68"/>
      <c r="O1986" s="68"/>
      <c r="P1986" s="68"/>
      <c r="Q1986" s="68"/>
      <c r="R1986" s="68"/>
      <c r="S1986" s="68"/>
      <c r="T1986" s="68"/>
      <c r="U1986" s="68"/>
      <c r="V1986" s="68"/>
      <c r="W1986" s="68"/>
      <c r="X1986" s="68"/>
      <c r="Y1986" s="68"/>
      <c r="Z1986" s="68"/>
      <c r="AA1986" s="68"/>
    </row>
    <row r="1987" ht="26.25" customHeight="1">
      <c r="A1987" s="68"/>
      <c r="B1987" s="68"/>
      <c r="C1987" s="68"/>
      <c r="D1987" s="71"/>
      <c r="E1987" s="71"/>
      <c r="F1987" s="71"/>
      <c r="G1987" s="65"/>
      <c r="H1987" s="74"/>
      <c r="I1987" s="67" t="str">
        <f>IFERROR(__xludf.DUMMYFUNCTION("if($H1987="""", """", AVERAGE(split($H1987, "";"")))"),"")</f>
        <v/>
      </c>
      <c r="J1987" s="67" t="str">
        <f>IFERROR(__xludf.DUMMYFUNCTION("if(H1987="""", """", SUM(split(H1987, "";"")))"),"")</f>
        <v/>
      </c>
      <c r="K1987" s="68"/>
      <c r="L1987" s="68"/>
      <c r="M1987" s="68"/>
      <c r="N1987" s="68"/>
      <c r="O1987" s="68"/>
      <c r="P1987" s="68"/>
      <c r="Q1987" s="68"/>
      <c r="R1987" s="68"/>
      <c r="S1987" s="68"/>
      <c r="T1987" s="68"/>
      <c r="U1987" s="68"/>
      <c r="V1987" s="68"/>
      <c r="W1987" s="68"/>
      <c r="X1987" s="68"/>
      <c r="Y1987" s="68"/>
      <c r="Z1987" s="68"/>
      <c r="AA1987" s="68"/>
    </row>
    <row r="1988" ht="26.25" customHeight="1">
      <c r="A1988" s="68"/>
      <c r="B1988" s="68"/>
      <c r="C1988" s="68"/>
      <c r="D1988" s="71"/>
      <c r="E1988" s="71"/>
      <c r="F1988" s="71"/>
      <c r="G1988" s="65"/>
      <c r="H1988" s="74"/>
      <c r="I1988" s="67" t="str">
        <f>IFERROR(__xludf.DUMMYFUNCTION("if($H1988="""", """", AVERAGE(split($H1988, "";"")))"),"")</f>
        <v/>
      </c>
      <c r="J1988" s="67" t="str">
        <f>IFERROR(__xludf.DUMMYFUNCTION("if(H1988="""", """", SUM(split(H1988, "";"")))"),"")</f>
        <v/>
      </c>
      <c r="K1988" s="68"/>
      <c r="L1988" s="68"/>
      <c r="M1988" s="68"/>
      <c r="N1988" s="68"/>
      <c r="O1988" s="68"/>
      <c r="P1988" s="68"/>
      <c r="Q1988" s="68"/>
      <c r="R1988" s="68"/>
      <c r="S1988" s="68"/>
      <c r="T1988" s="68"/>
      <c r="U1988" s="68"/>
      <c r="V1988" s="68"/>
      <c r="W1988" s="68"/>
      <c r="X1988" s="68"/>
      <c r="Y1988" s="68"/>
      <c r="Z1988" s="68"/>
      <c r="AA1988" s="68"/>
    </row>
    <row r="1989" ht="26.25" customHeight="1">
      <c r="A1989" s="68"/>
      <c r="B1989" s="68"/>
      <c r="C1989" s="68"/>
      <c r="D1989" s="71"/>
      <c r="E1989" s="71"/>
      <c r="F1989" s="71"/>
      <c r="G1989" s="65"/>
      <c r="H1989" s="74"/>
      <c r="I1989" s="67" t="str">
        <f>IFERROR(__xludf.DUMMYFUNCTION("if($H1989="""", """", AVERAGE(split($H1989, "";"")))"),"")</f>
        <v/>
      </c>
      <c r="J1989" s="67" t="str">
        <f>IFERROR(__xludf.DUMMYFUNCTION("if(H1989="""", """", SUM(split(H1989, "";"")))"),"")</f>
        <v/>
      </c>
      <c r="K1989" s="68"/>
      <c r="L1989" s="68"/>
      <c r="M1989" s="68"/>
      <c r="N1989" s="68"/>
      <c r="O1989" s="68"/>
      <c r="P1989" s="68"/>
      <c r="Q1989" s="68"/>
      <c r="R1989" s="68"/>
      <c r="S1989" s="68"/>
      <c r="T1989" s="68"/>
      <c r="U1989" s="68"/>
      <c r="V1989" s="68"/>
      <c r="W1989" s="68"/>
      <c r="X1989" s="68"/>
      <c r="Y1989" s="68"/>
      <c r="Z1989" s="68"/>
      <c r="AA1989" s="68"/>
    </row>
    <row r="1990" ht="26.25" customHeight="1">
      <c r="A1990" s="68"/>
      <c r="B1990" s="68"/>
      <c r="C1990" s="68"/>
      <c r="D1990" s="71"/>
      <c r="E1990" s="71"/>
      <c r="F1990" s="71"/>
      <c r="G1990" s="65"/>
      <c r="H1990" s="74"/>
      <c r="I1990" s="67" t="str">
        <f>IFERROR(__xludf.DUMMYFUNCTION("if($H1990="""", """", AVERAGE(split($H1990, "";"")))"),"")</f>
        <v/>
      </c>
      <c r="J1990" s="67" t="str">
        <f>IFERROR(__xludf.DUMMYFUNCTION("if(H1990="""", """", SUM(split(H1990, "";"")))"),"")</f>
        <v/>
      </c>
      <c r="K1990" s="68"/>
      <c r="L1990" s="68"/>
      <c r="M1990" s="68"/>
      <c r="N1990" s="68"/>
      <c r="O1990" s="68"/>
      <c r="P1990" s="68"/>
      <c r="Q1990" s="68"/>
      <c r="R1990" s="68"/>
      <c r="S1990" s="68"/>
      <c r="T1990" s="68"/>
      <c r="U1990" s="68"/>
      <c r="V1990" s="68"/>
      <c r="W1990" s="68"/>
      <c r="X1990" s="68"/>
      <c r="Y1990" s="68"/>
      <c r="Z1990" s="68"/>
      <c r="AA1990" s="68"/>
    </row>
    <row r="1991" ht="26.25" customHeight="1">
      <c r="A1991" s="68"/>
      <c r="B1991" s="68"/>
      <c r="C1991" s="68"/>
      <c r="D1991" s="71"/>
      <c r="E1991" s="71"/>
      <c r="F1991" s="71"/>
      <c r="G1991" s="65"/>
      <c r="H1991" s="74"/>
      <c r="I1991" s="67" t="str">
        <f>IFERROR(__xludf.DUMMYFUNCTION("if($H1991="""", """", AVERAGE(split($H1991, "";"")))"),"")</f>
        <v/>
      </c>
      <c r="J1991" s="67" t="str">
        <f>IFERROR(__xludf.DUMMYFUNCTION("if(H1991="""", """", SUM(split(H1991, "";"")))"),"")</f>
        <v/>
      </c>
      <c r="K1991" s="68"/>
      <c r="L1991" s="68"/>
      <c r="M1991" s="68"/>
      <c r="N1991" s="68"/>
      <c r="O1991" s="68"/>
      <c r="P1991" s="68"/>
      <c r="Q1991" s="68"/>
      <c r="R1991" s="68"/>
      <c r="S1991" s="68"/>
      <c r="T1991" s="68"/>
      <c r="U1991" s="68"/>
      <c r="V1991" s="68"/>
      <c r="W1991" s="68"/>
      <c r="X1991" s="68"/>
      <c r="Y1991" s="68"/>
      <c r="Z1991" s="68"/>
      <c r="AA1991" s="68"/>
    </row>
    <row r="1992" ht="26.25" customHeight="1">
      <c r="A1992" s="68"/>
      <c r="B1992" s="68"/>
      <c r="C1992" s="68"/>
      <c r="D1992" s="71"/>
      <c r="E1992" s="71"/>
      <c r="F1992" s="71"/>
      <c r="G1992" s="65"/>
      <c r="H1992" s="74"/>
      <c r="I1992" s="67" t="str">
        <f>IFERROR(__xludf.DUMMYFUNCTION("if($H1992="""", """", AVERAGE(split($H1992, "";"")))"),"")</f>
        <v/>
      </c>
      <c r="J1992" s="67" t="str">
        <f>IFERROR(__xludf.DUMMYFUNCTION("if(H1992="""", """", SUM(split(H1992, "";"")))"),"")</f>
        <v/>
      </c>
      <c r="K1992" s="68"/>
      <c r="L1992" s="68"/>
      <c r="M1992" s="68"/>
      <c r="N1992" s="68"/>
      <c r="O1992" s="68"/>
      <c r="P1992" s="68"/>
      <c r="Q1992" s="68"/>
      <c r="R1992" s="68"/>
      <c r="S1992" s="68"/>
      <c r="T1992" s="68"/>
      <c r="U1992" s="68"/>
      <c r="V1992" s="68"/>
      <c r="W1992" s="68"/>
      <c r="X1992" s="68"/>
      <c r="Y1992" s="68"/>
      <c r="Z1992" s="68"/>
      <c r="AA1992" s="68"/>
    </row>
    <row r="1993" ht="26.25" customHeight="1">
      <c r="A1993" s="68"/>
      <c r="B1993" s="68"/>
      <c r="C1993" s="68"/>
      <c r="D1993" s="71"/>
      <c r="E1993" s="71"/>
      <c r="F1993" s="71"/>
      <c r="G1993" s="65"/>
      <c r="H1993" s="74"/>
      <c r="I1993" s="67" t="str">
        <f>IFERROR(__xludf.DUMMYFUNCTION("if($H1993="""", """", AVERAGE(split($H1993, "";"")))"),"")</f>
        <v/>
      </c>
      <c r="J1993" s="67" t="str">
        <f>IFERROR(__xludf.DUMMYFUNCTION("if(H1993="""", """", SUM(split(H1993, "";"")))"),"")</f>
        <v/>
      </c>
      <c r="K1993" s="68"/>
      <c r="L1993" s="68"/>
      <c r="M1993" s="68"/>
      <c r="N1993" s="68"/>
      <c r="O1993" s="68"/>
      <c r="P1993" s="68"/>
      <c r="Q1993" s="68"/>
      <c r="R1993" s="68"/>
      <c r="S1993" s="68"/>
      <c r="T1993" s="68"/>
      <c r="U1993" s="68"/>
      <c r="V1993" s="68"/>
      <c r="W1993" s="68"/>
      <c r="X1993" s="68"/>
      <c r="Y1993" s="68"/>
      <c r="Z1993" s="68"/>
      <c r="AA1993" s="68"/>
    </row>
    <row r="1994" ht="26.25" customHeight="1">
      <c r="A1994" s="68"/>
      <c r="B1994" s="68"/>
      <c r="C1994" s="68"/>
      <c r="D1994" s="71"/>
      <c r="E1994" s="71"/>
      <c r="F1994" s="71"/>
      <c r="G1994" s="65"/>
      <c r="H1994" s="74"/>
      <c r="I1994" s="67" t="str">
        <f>IFERROR(__xludf.DUMMYFUNCTION("if($H1994="""", """", AVERAGE(split($H1994, "";"")))"),"")</f>
        <v/>
      </c>
      <c r="J1994" s="67" t="str">
        <f>IFERROR(__xludf.DUMMYFUNCTION("if(H1994="""", """", SUM(split(H1994, "";"")))"),"")</f>
        <v/>
      </c>
      <c r="K1994" s="68"/>
      <c r="L1994" s="68"/>
      <c r="M1994" s="68"/>
      <c r="N1994" s="68"/>
      <c r="O1994" s="68"/>
      <c r="P1994" s="68"/>
      <c r="Q1994" s="68"/>
      <c r="R1994" s="68"/>
      <c r="S1994" s="68"/>
      <c r="T1994" s="68"/>
      <c r="U1994" s="68"/>
      <c r="V1994" s="68"/>
      <c r="W1994" s="68"/>
      <c r="X1994" s="68"/>
      <c r="Y1994" s="68"/>
      <c r="Z1994" s="68"/>
      <c r="AA1994" s="68"/>
    </row>
    <row r="1995" ht="26.25" customHeight="1">
      <c r="A1995" s="68"/>
      <c r="B1995" s="68"/>
      <c r="C1995" s="68"/>
      <c r="D1995" s="71"/>
      <c r="E1995" s="71"/>
      <c r="F1995" s="71"/>
      <c r="G1995" s="65"/>
      <c r="H1995" s="74"/>
      <c r="I1995" s="67" t="str">
        <f>IFERROR(__xludf.DUMMYFUNCTION("if($H1995="""", """", AVERAGE(split($H1995, "";"")))"),"")</f>
        <v/>
      </c>
      <c r="J1995" s="67" t="str">
        <f>IFERROR(__xludf.DUMMYFUNCTION("if(H1995="""", """", SUM(split(H1995, "";"")))"),"")</f>
        <v/>
      </c>
      <c r="K1995" s="68"/>
      <c r="L1995" s="68"/>
      <c r="M1995" s="68"/>
      <c r="N1995" s="68"/>
      <c r="O1995" s="68"/>
      <c r="P1995" s="68"/>
      <c r="Q1995" s="68"/>
      <c r="R1995" s="68"/>
      <c r="S1995" s="68"/>
      <c r="T1995" s="68"/>
      <c r="U1995" s="68"/>
      <c r="V1995" s="68"/>
      <c r="W1995" s="68"/>
      <c r="X1995" s="68"/>
      <c r="Y1995" s="68"/>
      <c r="Z1995" s="68"/>
      <c r="AA1995" s="68"/>
    </row>
    <row r="1996" ht="26.25" customHeight="1">
      <c r="A1996" s="68"/>
      <c r="B1996" s="68"/>
      <c r="C1996" s="68"/>
      <c r="D1996" s="71"/>
      <c r="E1996" s="71"/>
      <c r="F1996" s="71"/>
      <c r="G1996" s="65"/>
      <c r="H1996" s="74"/>
      <c r="I1996" s="67" t="str">
        <f>IFERROR(__xludf.DUMMYFUNCTION("if($H1996="""", """", AVERAGE(split($H1996, "";"")))"),"")</f>
        <v/>
      </c>
      <c r="J1996" s="67" t="str">
        <f>IFERROR(__xludf.DUMMYFUNCTION("if(H1996="""", """", SUM(split(H1996, "";"")))"),"")</f>
        <v/>
      </c>
      <c r="K1996" s="68"/>
      <c r="L1996" s="68"/>
      <c r="M1996" s="68"/>
      <c r="N1996" s="68"/>
      <c r="O1996" s="68"/>
      <c r="P1996" s="68"/>
      <c r="Q1996" s="68"/>
      <c r="R1996" s="68"/>
      <c r="S1996" s="68"/>
      <c r="T1996" s="68"/>
      <c r="U1996" s="68"/>
      <c r="V1996" s="68"/>
      <c r="W1996" s="68"/>
      <c r="X1996" s="68"/>
      <c r="Y1996" s="68"/>
      <c r="Z1996" s="68"/>
      <c r="AA1996" s="68"/>
    </row>
    <row r="1997" ht="26.25" customHeight="1">
      <c r="A1997" s="68"/>
      <c r="B1997" s="68"/>
      <c r="C1997" s="68"/>
      <c r="D1997" s="71"/>
      <c r="E1997" s="71"/>
      <c r="F1997" s="71"/>
      <c r="G1997" s="65"/>
      <c r="H1997" s="74"/>
      <c r="I1997" s="67" t="str">
        <f>IFERROR(__xludf.DUMMYFUNCTION("if($H1997="""", """", AVERAGE(split($H1997, "";"")))"),"")</f>
        <v/>
      </c>
      <c r="J1997" s="67" t="str">
        <f>IFERROR(__xludf.DUMMYFUNCTION("if(H1997="""", """", SUM(split(H1997, "";"")))"),"")</f>
        <v/>
      </c>
      <c r="K1997" s="68"/>
      <c r="L1997" s="68"/>
      <c r="M1997" s="68"/>
      <c r="N1997" s="68"/>
      <c r="O1997" s="68"/>
      <c r="P1997" s="68"/>
      <c r="Q1997" s="68"/>
      <c r="R1997" s="68"/>
      <c r="S1997" s="68"/>
      <c r="T1997" s="68"/>
      <c r="U1997" s="68"/>
      <c r="V1997" s="68"/>
      <c r="W1997" s="68"/>
      <c r="X1997" s="68"/>
      <c r="Y1997" s="68"/>
      <c r="Z1997" s="68"/>
      <c r="AA1997" s="68"/>
    </row>
    <row r="1998" ht="26.25" customHeight="1">
      <c r="A1998" s="68"/>
      <c r="B1998" s="68"/>
      <c r="C1998" s="68"/>
      <c r="D1998" s="71"/>
      <c r="E1998" s="71"/>
      <c r="F1998" s="71"/>
      <c r="G1998" s="65"/>
      <c r="H1998" s="74"/>
      <c r="I1998" s="67" t="str">
        <f>IFERROR(__xludf.DUMMYFUNCTION("if($H1998="""", """", AVERAGE(split($H1998, "";"")))"),"")</f>
        <v/>
      </c>
      <c r="J1998" s="67" t="str">
        <f>IFERROR(__xludf.DUMMYFUNCTION("if(H1998="""", """", SUM(split(H1998, "";"")))"),"")</f>
        <v/>
      </c>
      <c r="K1998" s="68"/>
      <c r="L1998" s="68"/>
      <c r="M1998" s="68"/>
      <c r="N1998" s="68"/>
      <c r="O1998" s="68"/>
      <c r="P1998" s="68"/>
      <c r="Q1998" s="68"/>
      <c r="R1998" s="68"/>
      <c r="S1998" s="68"/>
      <c r="T1998" s="68"/>
      <c r="U1998" s="68"/>
      <c r="V1998" s="68"/>
      <c r="W1998" s="68"/>
      <c r="X1998" s="68"/>
      <c r="Y1998" s="68"/>
      <c r="Z1998" s="68"/>
      <c r="AA1998" s="68"/>
    </row>
    <row r="1999" ht="26.25" customHeight="1">
      <c r="A1999" s="68"/>
      <c r="B1999" s="68"/>
      <c r="C1999" s="68"/>
      <c r="D1999" s="71"/>
      <c r="E1999" s="71"/>
      <c r="F1999" s="71"/>
      <c r="G1999" s="65"/>
      <c r="H1999" s="74"/>
      <c r="I1999" s="67" t="str">
        <f>IFERROR(__xludf.DUMMYFUNCTION("if($H1999="""", """", AVERAGE(split($H1999, "";"")))"),"")</f>
        <v/>
      </c>
      <c r="J1999" s="67" t="str">
        <f>IFERROR(__xludf.DUMMYFUNCTION("if(H1999="""", """", SUM(split(H1999, "";"")))"),"")</f>
        <v/>
      </c>
      <c r="K1999" s="68"/>
      <c r="L1999" s="68"/>
      <c r="M1999" s="68"/>
      <c r="N1999" s="68"/>
      <c r="O1999" s="68"/>
      <c r="P1999" s="68"/>
      <c r="Q1999" s="68"/>
      <c r="R1999" s="68"/>
      <c r="S1999" s="68"/>
      <c r="T1999" s="68"/>
      <c r="U1999" s="68"/>
      <c r="V1999" s="68"/>
      <c r="W1999" s="68"/>
      <c r="X1999" s="68"/>
      <c r="Y1999" s="68"/>
      <c r="Z1999" s="68"/>
      <c r="AA1999" s="68"/>
    </row>
    <row r="2000" ht="26.25" customHeight="1">
      <c r="A2000" s="68"/>
      <c r="B2000" s="68"/>
      <c r="C2000" s="68"/>
      <c r="D2000" s="71"/>
      <c r="E2000" s="71"/>
      <c r="F2000" s="71"/>
      <c r="G2000" s="65"/>
      <c r="H2000" s="74"/>
      <c r="I2000" s="67" t="str">
        <f>IFERROR(__xludf.DUMMYFUNCTION("if($H2000="""", """", AVERAGE(split($H2000, "";"")))"),"")</f>
        <v/>
      </c>
      <c r="J2000" s="67" t="str">
        <f>IFERROR(__xludf.DUMMYFUNCTION("if(H2000="""", """", SUM(split(H2000, "";"")))"),"")</f>
        <v/>
      </c>
      <c r="K2000" s="68"/>
      <c r="L2000" s="68"/>
      <c r="M2000" s="68"/>
      <c r="N2000" s="68"/>
      <c r="O2000" s="68"/>
      <c r="P2000" s="68"/>
      <c r="Q2000" s="68"/>
      <c r="R2000" s="68"/>
      <c r="S2000" s="68"/>
      <c r="T2000" s="68"/>
      <c r="U2000" s="68"/>
      <c r="V2000" s="68"/>
      <c r="W2000" s="68"/>
      <c r="X2000" s="68"/>
      <c r="Y2000" s="68"/>
      <c r="Z2000" s="68"/>
      <c r="AA2000" s="6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4.25"/>
    <col customWidth="1" min="3" max="3" width="17.63"/>
    <col customWidth="1" min="4" max="4" width="20.13"/>
    <col customWidth="1" min="5" max="5" width="19.75"/>
    <col customWidth="1" min="6" max="6" width="18.88"/>
    <col customWidth="1" min="7" max="7" width="20.13"/>
    <col customWidth="1" min="8" max="8" width="16.88"/>
    <col customWidth="1" min="9" max="9" width="22.5"/>
    <col customWidth="1" min="10" max="10" width="26.25"/>
  </cols>
  <sheetData>
    <row r="1">
      <c r="A1" s="56" t="s">
        <v>89</v>
      </c>
      <c r="B1" s="56" t="s">
        <v>1</v>
      </c>
      <c r="C1" s="56" t="s">
        <v>2</v>
      </c>
      <c r="D1" s="56" t="s">
        <v>3</v>
      </c>
      <c r="E1" s="56" t="s">
        <v>121</v>
      </c>
      <c r="F1" s="56" t="s">
        <v>122</v>
      </c>
      <c r="G1" s="56" t="s">
        <v>123</v>
      </c>
      <c r="H1" s="56" t="s">
        <v>124</v>
      </c>
      <c r="I1" s="56" t="s">
        <v>5</v>
      </c>
      <c r="J1" s="56" t="s">
        <v>125</v>
      </c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</row>
    <row r="2" ht="26.25" customHeight="1">
      <c r="A2" s="61">
        <v>1.0</v>
      </c>
      <c r="B2" s="62" t="s">
        <v>25</v>
      </c>
      <c r="C2" s="61" t="s">
        <v>26</v>
      </c>
      <c r="D2" s="61" t="s">
        <v>27</v>
      </c>
      <c r="E2" s="61" t="s">
        <v>126</v>
      </c>
      <c r="F2" s="61" t="s">
        <v>127</v>
      </c>
      <c r="G2" s="61" t="s">
        <v>90</v>
      </c>
      <c r="H2" s="61">
        <v>22.0</v>
      </c>
      <c r="I2" s="76">
        <v>46026.0</v>
      </c>
      <c r="J2" s="77">
        <v>100.0</v>
      </c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</row>
    <row r="3" ht="26.25" customHeight="1">
      <c r="A3" s="61">
        <v>1.0</v>
      </c>
      <c r="B3" s="62" t="s">
        <v>25</v>
      </c>
      <c r="C3" s="61" t="s">
        <v>26</v>
      </c>
      <c r="D3" s="61" t="s">
        <v>27</v>
      </c>
      <c r="E3" s="61" t="s">
        <v>126</v>
      </c>
      <c r="F3" s="61" t="s">
        <v>90</v>
      </c>
      <c r="G3" s="61" t="s">
        <v>127</v>
      </c>
      <c r="H3" s="61">
        <v>22.0</v>
      </c>
      <c r="I3" s="76">
        <v>46029.0</v>
      </c>
      <c r="J3" s="77">
        <v>100.0</v>
      </c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</row>
    <row r="4" ht="26.25" customHeight="1">
      <c r="A4" s="61">
        <v>2.0</v>
      </c>
      <c r="B4" s="62" t="s">
        <v>38</v>
      </c>
      <c r="C4" s="61" t="s">
        <v>26</v>
      </c>
      <c r="D4" s="61" t="s">
        <v>27</v>
      </c>
      <c r="E4" s="61" t="s">
        <v>126</v>
      </c>
      <c r="F4" s="61" t="s">
        <v>127</v>
      </c>
      <c r="G4" s="61" t="s">
        <v>90</v>
      </c>
      <c r="H4" s="61">
        <v>21.2</v>
      </c>
      <c r="I4" s="76">
        <v>46029.0</v>
      </c>
      <c r="J4" s="77">
        <v>100.0</v>
      </c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</row>
    <row r="5" ht="26.25" customHeight="1">
      <c r="A5" s="61">
        <v>3.0</v>
      </c>
      <c r="B5" s="62" t="s">
        <v>40</v>
      </c>
      <c r="C5" s="61" t="s">
        <v>26</v>
      </c>
      <c r="D5" s="61" t="s">
        <v>27</v>
      </c>
      <c r="E5" s="61" t="s">
        <v>126</v>
      </c>
      <c r="F5" s="61" t="s">
        <v>127</v>
      </c>
      <c r="G5" s="61" t="s">
        <v>90</v>
      </c>
      <c r="H5" s="61">
        <v>22.0</v>
      </c>
      <c r="I5" s="76">
        <v>46031.0</v>
      </c>
      <c r="J5" s="77">
        <v>100.0</v>
      </c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</row>
    <row r="6" ht="26.25" customHeight="1">
      <c r="A6" s="61">
        <v>3.0</v>
      </c>
      <c r="B6" s="62" t="s">
        <v>40</v>
      </c>
      <c r="C6" s="61" t="s">
        <v>26</v>
      </c>
      <c r="D6" s="61" t="s">
        <v>27</v>
      </c>
      <c r="E6" s="61" t="s">
        <v>126</v>
      </c>
      <c r="F6" s="61" t="s">
        <v>90</v>
      </c>
      <c r="G6" s="61" t="s">
        <v>127</v>
      </c>
      <c r="H6" s="61">
        <v>22.0</v>
      </c>
      <c r="I6" s="76">
        <v>46036.0</v>
      </c>
      <c r="J6" s="77">
        <v>100.0</v>
      </c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</row>
    <row r="7" ht="26.25" customHeight="1">
      <c r="A7" s="61">
        <v>12.0</v>
      </c>
      <c r="B7" s="62" t="s">
        <v>25</v>
      </c>
      <c r="C7" s="61" t="s">
        <v>26</v>
      </c>
      <c r="D7" s="61" t="s">
        <v>27</v>
      </c>
      <c r="E7" s="61" t="s">
        <v>126</v>
      </c>
      <c r="F7" s="61" t="s">
        <v>127</v>
      </c>
      <c r="G7" s="61" t="s">
        <v>90</v>
      </c>
      <c r="H7" s="61">
        <v>23.0</v>
      </c>
      <c r="I7" s="76">
        <v>46082.0</v>
      </c>
      <c r="J7" s="77">
        <v>100.0</v>
      </c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</row>
    <row r="8" ht="26.25" customHeight="1">
      <c r="A8" s="61">
        <v>12.0</v>
      </c>
      <c r="B8" s="62" t="s">
        <v>25</v>
      </c>
      <c r="C8" s="61" t="s">
        <v>26</v>
      </c>
      <c r="D8" s="61" t="s">
        <v>27</v>
      </c>
      <c r="E8" s="61" t="s">
        <v>126</v>
      </c>
      <c r="F8" s="61" t="s">
        <v>90</v>
      </c>
      <c r="G8" s="61" t="s">
        <v>127</v>
      </c>
      <c r="H8" s="61">
        <v>23.0</v>
      </c>
      <c r="I8" s="76">
        <v>46085.0</v>
      </c>
      <c r="J8" s="77">
        <v>100.0</v>
      </c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</row>
    <row r="9" ht="26.25" customHeight="1">
      <c r="A9" s="61">
        <v>17.0</v>
      </c>
      <c r="B9" s="62" t="s">
        <v>40</v>
      </c>
      <c r="C9" s="61" t="s">
        <v>26</v>
      </c>
      <c r="D9" s="61" t="s">
        <v>27</v>
      </c>
      <c r="E9" s="61" t="s">
        <v>126</v>
      </c>
      <c r="F9" s="61" t="s">
        <v>127</v>
      </c>
      <c r="G9" s="61" t="s">
        <v>90</v>
      </c>
      <c r="H9" s="61">
        <v>22.0</v>
      </c>
      <c r="I9" s="76">
        <v>46093.0</v>
      </c>
      <c r="J9" s="77">
        <v>100.0</v>
      </c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</row>
    <row r="10" ht="26.25" customHeight="1">
      <c r="A10" s="61">
        <v>17.0</v>
      </c>
      <c r="B10" s="62" t="s">
        <v>40</v>
      </c>
      <c r="C10" s="61" t="s">
        <v>26</v>
      </c>
      <c r="D10" s="61" t="s">
        <v>27</v>
      </c>
      <c r="E10" s="61" t="s">
        <v>126</v>
      </c>
      <c r="F10" s="61" t="s">
        <v>128</v>
      </c>
      <c r="G10" s="61" t="s">
        <v>127</v>
      </c>
      <c r="H10" s="61">
        <v>15.0</v>
      </c>
      <c r="I10" s="76">
        <v>46095.0</v>
      </c>
      <c r="J10" s="77">
        <v>100.0</v>
      </c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</row>
    <row r="11" ht="26.25" customHeight="1">
      <c r="A11" s="73"/>
      <c r="B11" s="68"/>
      <c r="C11" s="61" t="s">
        <v>129</v>
      </c>
      <c r="D11" s="61" t="s">
        <v>130</v>
      </c>
      <c r="E11" s="61"/>
      <c r="F11" s="73"/>
      <c r="G11" s="73"/>
      <c r="H11" s="73"/>
      <c r="I11" s="73"/>
      <c r="J11" s="7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</row>
    <row r="12" ht="26.25" customHeight="1">
      <c r="A12" s="73"/>
      <c r="B12" s="68"/>
      <c r="C12" s="61" t="s">
        <v>129</v>
      </c>
      <c r="D12" s="61" t="s">
        <v>130</v>
      </c>
      <c r="E12" s="68"/>
      <c r="F12" s="73"/>
      <c r="G12" s="73"/>
      <c r="H12" s="73"/>
      <c r="I12" s="73"/>
      <c r="J12" s="7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</row>
    <row r="13" ht="26.25" customHeight="1">
      <c r="A13" s="73"/>
      <c r="B13" s="68"/>
      <c r="C13" s="61" t="s">
        <v>129</v>
      </c>
      <c r="D13" s="61" t="s">
        <v>130</v>
      </c>
      <c r="E13" s="68"/>
      <c r="F13" s="73"/>
      <c r="G13" s="73"/>
      <c r="H13" s="73"/>
      <c r="I13" s="73"/>
      <c r="J13" s="7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</row>
    <row r="14" ht="26.25" customHeight="1">
      <c r="A14" s="68"/>
      <c r="B14" s="68"/>
      <c r="C14" s="61" t="s">
        <v>129</v>
      </c>
      <c r="D14" s="61" t="s">
        <v>130</v>
      </c>
      <c r="E14" s="68"/>
      <c r="F14" s="73"/>
      <c r="G14" s="68"/>
      <c r="H14" s="73"/>
      <c r="I14" s="73"/>
      <c r="J14" s="7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</row>
    <row r="15" ht="26.25" customHeight="1">
      <c r="A15" s="68"/>
      <c r="B15" s="68"/>
      <c r="C15" s="61" t="s">
        <v>129</v>
      </c>
      <c r="D15" s="61" t="s">
        <v>130</v>
      </c>
      <c r="E15" s="68"/>
      <c r="F15" s="68"/>
      <c r="G15" s="68"/>
      <c r="H15" s="68"/>
      <c r="I15" s="68"/>
      <c r="J15" s="7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</row>
    <row r="16" ht="26.25" customHeight="1">
      <c r="A16" s="68"/>
      <c r="B16" s="68"/>
      <c r="C16" s="61" t="s">
        <v>129</v>
      </c>
      <c r="D16" s="61" t="s">
        <v>130</v>
      </c>
      <c r="E16" s="68"/>
      <c r="F16" s="68"/>
      <c r="G16" s="68"/>
      <c r="H16" s="68"/>
      <c r="I16" s="68"/>
      <c r="J16" s="7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</row>
    <row r="17" ht="26.25" customHeight="1">
      <c r="A17" s="68"/>
      <c r="B17" s="68"/>
      <c r="C17" s="61" t="s">
        <v>129</v>
      </c>
      <c r="D17" s="61" t="s">
        <v>130</v>
      </c>
      <c r="E17" s="68"/>
      <c r="F17" s="68"/>
      <c r="G17" s="68"/>
      <c r="H17" s="68"/>
      <c r="I17" s="68"/>
      <c r="J17" s="7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</row>
    <row r="18" ht="26.25" customHeight="1">
      <c r="A18" s="68"/>
      <c r="B18" s="68"/>
      <c r="C18" s="61" t="s">
        <v>129</v>
      </c>
      <c r="D18" s="61" t="s">
        <v>130</v>
      </c>
      <c r="E18" s="68"/>
      <c r="F18" s="68"/>
      <c r="G18" s="68"/>
      <c r="H18" s="68"/>
      <c r="I18" s="68"/>
      <c r="J18" s="7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</row>
    <row r="19" ht="26.25" customHeight="1">
      <c r="A19" s="68"/>
      <c r="B19" s="68"/>
      <c r="C19" s="61" t="s">
        <v>129</v>
      </c>
      <c r="D19" s="61" t="s">
        <v>130</v>
      </c>
      <c r="E19" s="68"/>
      <c r="F19" s="68"/>
      <c r="G19" s="68"/>
      <c r="H19" s="68"/>
      <c r="I19" s="68"/>
      <c r="J19" s="7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</row>
    <row r="20" ht="26.25" customHeight="1">
      <c r="A20" s="68"/>
      <c r="B20" s="68"/>
      <c r="C20" s="61" t="s">
        <v>129</v>
      </c>
      <c r="D20" s="61" t="s">
        <v>130</v>
      </c>
      <c r="E20" s="68"/>
      <c r="F20" s="68"/>
      <c r="G20" s="68"/>
      <c r="H20" s="68"/>
      <c r="I20" s="68"/>
      <c r="J20" s="7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</row>
    <row r="21" ht="26.25" customHeight="1">
      <c r="A21" s="68"/>
      <c r="B21" s="68"/>
      <c r="C21" s="61" t="s">
        <v>129</v>
      </c>
      <c r="D21" s="61" t="s">
        <v>130</v>
      </c>
      <c r="E21" s="68"/>
      <c r="F21" s="68"/>
      <c r="G21" s="68"/>
      <c r="H21" s="68"/>
      <c r="I21" s="68"/>
      <c r="J21" s="7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</row>
    <row r="22" ht="26.25" customHeight="1">
      <c r="A22" s="68"/>
      <c r="B22" s="68"/>
      <c r="C22" s="61" t="s">
        <v>129</v>
      </c>
      <c r="D22" s="61" t="s">
        <v>130</v>
      </c>
      <c r="E22" s="68"/>
      <c r="F22" s="68"/>
      <c r="G22" s="68"/>
      <c r="H22" s="68"/>
      <c r="I22" s="68"/>
      <c r="J22" s="7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</row>
    <row r="23" ht="26.25" customHeight="1">
      <c r="A23" s="68"/>
      <c r="B23" s="68"/>
      <c r="C23" s="61" t="s">
        <v>129</v>
      </c>
      <c r="D23" s="61" t="s">
        <v>130</v>
      </c>
      <c r="E23" s="68"/>
      <c r="F23" s="68"/>
      <c r="G23" s="68"/>
      <c r="H23" s="68"/>
      <c r="I23" s="68"/>
      <c r="J23" s="7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</row>
    <row r="24" ht="26.25" customHeight="1">
      <c r="A24" s="68"/>
      <c r="B24" s="68"/>
      <c r="C24" s="61" t="s">
        <v>129</v>
      </c>
      <c r="D24" s="61" t="s">
        <v>130</v>
      </c>
      <c r="E24" s="68"/>
      <c r="F24" s="68"/>
      <c r="G24" s="68"/>
      <c r="H24" s="68"/>
      <c r="I24" s="68"/>
      <c r="J24" s="7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</row>
    <row r="25" ht="26.25" customHeight="1">
      <c r="A25" s="68"/>
      <c r="B25" s="68"/>
      <c r="C25" s="61" t="s">
        <v>129</v>
      </c>
      <c r="D25" s="61" t="s">
        <v>130</v>
      </c>
      <c r="E25" s="68"/>
      <c r="F25" s="68"/>
      <c r="G25" s="68"/>
      <c r="H25" s="68"/>
      <c r="I25" s="68"/>
      <c r="J25" s="7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</row>
    <row r="26" ht="26.25" customHeight="1">
      <c r="A26" s="68"/>
      <c r="B26" s="68"/>
      <c r="C26" s="61" t="s">
        <v>129</v>
      </c>
      <c r="D26" s="61" t="s">
        <v>130</v>
      </c>
      <c r="E26" s="68"/>
      <c r="F26" s="68"/>
      <c r="G26" s="68"/>
      <c r="H26" s="68"/>
      <c r="I26" s="68"/>
      <c r="J26" s="7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</row>
    <row r="27" ht="26.25" customHeight="1">
      <c r="A27" s="68"/>
      <c r="B27" s="68"/>
      <c r="C27" s="61" t="s">
        <v>129</v>
      </c>
      <c r="D27" s="61" t="s">
        <v>130</v>
      </c>
      <c r="E27" s="68"/>
      <c r="F27" s="68"/>
      <c r="G27" s="68"/>
      <c r="H27" s="68"/>
      <c r="I27" s="68"/>
      <c r="J27" s="7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</row>
    <row r="28" ht="26.25" customHeight="1">
      <c r="A28" s="68"/>
      <c r="B28" s="68"/>
      <c r="C28" s="61" t="s">
        <v>129</v>
      </c>
      <c r="D28" s="61" t="s">
        <v>130</v>
      </c>
      <c r="E28" s="68"/>
      <c r="F28" s="68"/>
      <c r="G28" s="68"/>
      <c r="H28" s="68"/>
      <c r="I28" s="68"/>
      <c r="J28" s="7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</row>
    <row r="29" ht="26.25" customHeight="1">
      <c r="A29" s="68"/>
      <c r="B29" s="68"/>
      <c r="C29" s="61" t="s">
        <v>129</v>
      </c>
      <c r="D29" s="61" t="s">
        <v>130</v>
      </c>
      <c r="E29" s="68"/>
      <c r="F29" s="68"/>
      <c r="G29" s="68"/>
      <c r="H29" s="68"/>
      <c r="I29" s="68"/>
      <c r="J29" s="7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</row>
    <row r="30" ht="26.25" customHeight="1">
      <c r="A30" s="68"/>
      <c r="B30" s="68"/>
      <c r="C30" s="61" t="s">
        <v>129</v>
      </c>
      <c r="D30" s="61" t="s">
        <v>130</v>
      </c>
      <c r="E30" s="68"/>
      <c r="F30" s="68"/>
      <c r="G30" s="68"/>
      <c r="H30" s="68"/>
      <c r="I30" s="68"/>
      <c r="J30" s="7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</row>
    <row r="31" ht="26.25" customHeight="1">
      <c r="A31" s="68"/>
      <c r="B31" s="68"/>
      <c r="C31" s="61" t="s">
        <v>129</v>
      </c>
      <c r="D31" s="61" t="s">
        <v>130</v>
      </c>
      <c r="E31" s="68"/>
      <c r="F31" s="68"/>
      <c r="G31" s="68"/>
      <c r="H31" s="68"/>
      <c r="I31" s="68"/>
      <c r="J31" s="7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</row>
    <row r="32" ht="26.25" customHeight="1">
      <c r="A32" s="68"/>
      <c r="B32" s="68"/>
      <c r="C32" s="61" t="s">
        <v>129</v>
      </c>
      <c r="D32" s="61" t="s">
        <v>130</v>
      </c>
      <c r="E32" s="68"/>
      <c r="F32" s="68"/>
      <c r="G32" s="68"/>
      <c r="H32" s="68"/>
      <c r="I32" s="68"/>
      <c r="J32" s="7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</row>
    <row r="33" ht="26.25" customHeight="1">
      <c r="A33" s="68"/>
      <c r="B33" s="68"/>
      <c r="C33" s="61" t="s">
        <v>129</v>
      </c>
      <c r="D33" s="61" t="s">
        <v>130</v>
      </c>
      <c r="E33" s="68"/>
      <c r="F33" s="68"/>
      <c r="G33" s="68"/>
      <c r="H33" s="68"/>
      <c r="I33" s="68"/>
      <c r="J33" s="7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</row>
    <row r="34" ht="26.25" customHeight="1">
      <c r="A34" s="68"/>
      <c r="B34" s="68"/>
      <c r="C34" s="61" t="s">
        <v>129</v>
      </c>
      <c r="D34" s="61" t="s">
        <v>130</v>
      </c>
      <c r="E34" s="68"/>
      <c r="F34" s="68"/>
      <c r="G34" s="68"/>
      <c r="H34" s="68"/>
      <c r="I34" s="68"/>
      <c r="J34" s="7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</row>
    <row r="35" ht="26.25" customHeight="1">
      <c r="A35" s="68"/>
      <c r="B35" s="68"/>
      <c r="C35" s="61" t="s">
        <v>129</v>
      </c>
      <c r="D35" s="61" t="s">
        <v>130</v>
      </c>
      <c r="E35" s="68"/>
      <c r="F35" s="68"/>
      <c r="G35" s="68"/>
      <c r="H35" s="68"/>
      <c r="I35" s="68"/>
      <c r="J35" s="7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</row>
    <row r="36" ht="26.25" customHeight="1">
      <c r="A36" s="68"/>
      <c r="B36" s="68"/>
      <c r="C36" s="61" t="s">
        <v>129</v>
      </c>
      <c r="D36" s="61" t="s">
        <v>130</v>
      </c>
      <c r="E36" s="68"/>
      <c r="F36" s="68"/>
      <c r="G36" s="68"/>
      <c r="H36" s="68"/>
      <c r="I36" s="68"/>
      <c r="J36" s="7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</row>
    <row r="37" ht="26.25" customHeight="1">
      <c r="A37" s="68"/>
      <c r="B37" s="68"/>
      <c r="C37" s="61" t="s">
        <v>129</v>
      </c>
      <c r="D37" s="61" t="s">
        <v>130</v>
      </c>
      <c r="E37" s="68"/>
      <c r="F37" s="68"/>
      <c r="G37" s="68"/>
      <c r="H37" s="68"/>
      <c r="I37" s="68"/>
      <c r="J37" s="7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</row>
    <row r="38" ht="26.25" customHeight="1">
      <c r="A38" s="68"/>
      <c r="B38" s="68"/>
      <c r="C38" s="61" t="s">
        <v>129</v>
      </c>
      <c r="D38" s="61" t="s">
        <v>130</v>
      </c>
      <c r="E38" s="68"/>
      <c r="F38" s="68"/>
      <c r="G38" s="68"/>
      <c r="H38" s="68"/>
      <c r="I38" s="68"/>
      <c r="J38" s="7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</row>
    <row r="39" ht="26.25" customHeight="1">
      <c r="A39" s="68"/>
      <c r="B39" s="68"/>
      <c r="C39" s="61" t="s">
        <v>129</v>
      </c>
      <c r="D39" s="61" t="s">
        <v>130</v>
      </c>
      <c r="E39" s="68"/>
      <c r="F39" s="68"/>
      <c r="G39" s="68"/>
      <c r="H39" s="68"/>
      <c r="I39" s="68"/>
      <c r="J39" s="7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</row>
    <row r="40" ht="26.25" customHeight="1">
      <c r="A40" s="68"/>
      <c r="B40" s="68"/>
      <c r="C40" s="61" t="s">
        <v>129</v>
      </c>
      <c r="D40" s="61" t="s">
        <v>130</v>
      </c>
      <c r="E40" s="68"/>
      <c r="F40" s="68"/>
      <c r="G40" s="68"/>
      <c r="H40" s="68"/>
      <c r="I40" s="68"/>
      <c r="J40" s="7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</row>
    <row r="41" ht="26.25" customHeight="1">
      <c r="A41" s="68"/>
      <c r="B41" s="68"/>
      <c r="C41" s="61" t="s">
        <v>129</v>
      </c>
      <c r="D41" s="61" t="s">
        <v>130</v>
      </c>
      <c r="E41" s="68"/>
      <c r="F41" s="68"/>
      <c r="G41" s="68"/>
      <c r="H41" s="68"/>
      <c r="I41" s="68"/>
      <c r="J41" s="7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</row>
    <row r="42" ht="26.25" customHeight="1">
      <c r="A42" s="68"/>
      <c r="B42" s="68"/>
      <c r="C42" s="61" t="s">
        <v>129</v>
      </c>
      <c r="D42" s="61" t="s">
        <v>130</v>
      </c>
      <c r="E42" s="68"/>
      <c r="F42" s="68"/>
      <c r="G42" s="68"/>
      <c r="H42" s="68"/>
      <c r="I42" s="68"/>
      <c r="J42" s="7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</row>
    <row r="43" ht="26.25" customHeight="1">
      <c r="A43" s="68"/>
      <c r="B43" s="68"/>
      <c r="C43" s="61" t="s">
        <v>129</v>
      </c>
      <c r="D43" s="61" t="s">
        <v>130</v>
      </c>
      <c r="E43" s="68"/>
      <c r="F43" s="68"/>
      <c r="G43" s="68"/>
      <c r="H43" s="68"/>
      <c r="I43" s="68"/>
      <c r="J43" s="7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</row>
    <row r="44" ht="26.25" customHeight="1">
      <c r="A44" s="68"/>
      <c r="B44" s="68"/>
      <c r="C44" s="61" t="s">
        <v>129</v>
      </c>
      <c r="D44" s="61" t="s">
        <v>130</v>
      </c>
      <c r="E44" s="68"/>
      <c r="F44" s="68"/>
      <c r="G44" s="68"/>
      <c r="H44" s="68"/>
      <c r="I44" s="68"/>
      <c r="J44" s="7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</row>
    <row r="45" ht="26.25" customHeight="1">
      <c r="A45" s="68"/>
      <c r="B45" s="68"/>
      <c r="C45" s="61" t="s">
        <v>129</v>
      </c>
      <c r="D45" s="61" t="s">
        <v>130</v>
      </c>
      <c r="E45" s="68"/>
      <c r="F45" s="68"/>
      <c r="G45" s="68"/>
      <c r="H45" s="68"/>
      <c r="I45" s="68"/>
      <c r="J45" s="7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</row>
    <row r="46" ht="26.25" customHeight="1">
      <c r="A46" s="68"/>
      <c r="B46" s="68"/>
      <c r="C46" s="61" t="s">
        <v>129</v>
      </c>
      <c r="D46" s="61" t="s">
        <v>130</v>
      </c>
      <c r="E46" s="68"/>
      <c r="F46" s="68"/>
      <c r="G46" s="68"/>
      <c r="H46" s="68"/>
      <c r="I46" s="68"/>
      <c r="J46" s="7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</row>
    <row r="47" ht="26.25" customHeight="1">
      <c r="A47" s="68"/>
      <c r="B47" s="68"/>
      <c r="C47" s="61" t="s">
        <v>129</v>
      </c>
      <c r="D47" s="61" t="s">
        <v>130</v>
      </c>
      <c r="E47" s="68"/>
      <c r="F47" s="68"/>
      <c r="G47" s="68"/>
      <c r="H47" s="68"/>
      <c r="I47" s="68"/>
      <c r="J47" s="7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</row>
    <row r="48" ht="26.25" customHeight="1">
      <c r="A48" s="68"/>
      <c r="B48" s="68"/>
      <c r="C48" s="61" t="s">
        <v>129</v>
      </c>
      <c r="D48" s="61" t="s">
        <v>130</v>
      </c>
      <c r="E48" s="68"/>
      <c r="F48" s="68"/>
      <c r="G48" s="68"/>
      <c r="H48" s="68"/>
      <c r="I48" s="68"/>
      <c r="J48" s="7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</row>
    <row r="49" ht="26.25" customHeight="1">
      <c r="A49" s="68"/>
      <c r="B49" s="68"/>
      <c r="C49" s="61" t="s">
        <v>129</v>
      </c>
      <c r="D49" s="61" t="s">
        <v>130</v>
      </c>
      <c r="E49" s="68"/>
      <c r="F49" s="68"/>
      <c r="G49" s="68"/>
      <c r="H49" s="68"/>
      <c r="I49" s="68"/>
      <c r="J49" s="7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</row>
    <row r="50" ht="26.25" customHeight="1">
      <c r="A50" s="68"/>
      <c r="B50" s="68"/>
      <c r="C50" s="61" t="s">
        <v>129</v>
      </c>
      <c r="D50" s="61" t="s">
        <v>130</v>
      </c>
      <c r="E50" s="68"/>
      <c r="F50" s="68"/>
      <c r="G50" s="68"/>
      <c r="H50" s="68"/>
      <c r="I50" s="68"/>
      <c r="J50" s="7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8"/>
    </row>
    <row r="51" ht="26.25" customHeight="1">
      <c r="A51" s="68"/>
      <c r="B51" s="68"/>
      <c r="C51" s="61" t="s">
        <v>129</v>
      </c>
      <c r="D51" s="61" t="s">
        <v>130</v>
      </c>
      <c r="E51" s="68"/>
      <c r="F51" s="68"/>
      <c r="G51" s="68"/>
      <c r="H51" s="68"/>
      <c r="I51" s="68"/>
      <c r="J51" s="7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  <c r="AC51" s="68"/>
      <c r="AD51" s="68"/>
      <c r="AE51" s="68"/>
    </row>
    <row r="52" ht="26.25" customHeight="1">
      <c r="A52" s="68"/>
      <c r="B52" s="68"/>
      <c r="C52" s="61" t="s">
        <v>129</v>
      </c>
      <c r="D52" s="61" t="s">
        <v>130</v>
      </c>
      <c r="E52" s="68"/>
      <c r="F52" s="68"/>
      <c r="G52" s="68"/>
      <c r="H52" s="68"/>
      <c r="I52" s="68"/>
      <c r="J52" s="7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</row>
    <row r="53" ht="26.25" customHeight="1">
      <c r="A53" s="68"/>
      <c r="B53" s="68"/>
      <c r="C53" s="61" t="s">
        <v>129</v>
      </c>
      <c r="D53" s="61" t="s">
        <v>130</v>
      </c>
      <c r="E53" s="68"/>
      <c r="F53" s="68"/>
      <c r="G53" s="68"/>
      <c r="H53" s="68"/>
      <c r="I53" s="68"/>
      <c r="J53" s="7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</row>
    <row r="54" ht="26.25" customHeight="1">
      <c r="A54" s="68"/>
      <c r="B54" s="68"/>
      <c r="C54" s="61" t="s">
        <v>129</v>
      </c>
      <c r="D54" s="61" t="s">
        <v>130</v>
      </c>
      <c r="E54" s="68"/>
      <c r="F54" s="68"/>
      <c r="G54" s="68"/>
      <c r="H54" s="68"/>
      <c r="I54" s="68"/>
      <c r="J54" s="7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</row>
    <row r="55" ht="26.25" customHeight="1">
      <c r="A55" s="68"/>
      <c r="B55" s="68"/>
      <c r="C55" s="61" t="s">
        <v>129</v>
      </c>
      <c r="D55" s="61" t="s">
        <v>130</v>
      </c>
      <c r="E55" s="68"/>
      <c r="F55" s="68"/>
      <c r="G55" s="68"/>
      <c r="H55" s="68"/>
      <c r="I55" s="68"/>
      <c r="J55" s="7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  <c r="AC55" s="68"/>
      <c r="AD55" s="68"/>
      <c r="AE55" s="68"/>
    </row>
    <row r="56" ht="26.25" customHeight="1">
      <c r="A56" s="68"/>
      <c r="B56" s="68"/>
      <c r="C56" s="61" t="s">
        <v>129</v>
      </c>
      <c r="D56" s="61" t="s">
        <v>130</v>
      </c>
      <c r="E56" s="68"/>
      <c r="F56" s="68"/>
      <c r="G56" s="68"/>
      <c r="H56" s="68"/>
      <c r="I56" s="68"/>
      <c r="J56" s="7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  <c r="AB56" s="68"/>
      <c r="AC56" s="68"/>
      <c r="AD56" s="68"/>
      <c r="AE56" s="68"/>
    </row>
    <row r="57" ht="26.25" customHeight="1">
      <c r="A57" s="68"/>
      <c r="B57" s="68"/>
      <c r="C57" s="61" t="s">
        <v>129</v>
      </c>
      <c r="D57" s="61" t="s">
        <v>130</v>
      </c>
      <c r="E57" s="68"/>
      <c r="F57" s="68"/>
      <c r="G57" s="68"/>
      <c r="H57" s="68"/>
      <c r="I57" s="68"/>
      <c r="J57" s="7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  <c r="AB57" s="68"/>
      <c r="AC57" s="68"/>
      <c r="AD57" s="68"/>
      <c r="AE57" s="68"/>
    </row>
    <row r="58" ht="26.25" customHeight="1">
      <c r="A58" s="68"/>
      <c r="B58" s="68"/>
      <c r="C58" s="61" t="s">
        <v>129</v>
      </c>
      <c r="D58" s="61" t="s">
        <v>130</v>
      </c>
      <c r="E58" s="68"/>
      <c r="F58" s="68"/>
      <c r="G58" s="68"/>
      <c r="H58" s="68"/>
      <c r="I58" s="68"/>
      <c r="J58" s="7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  <c r="AB58" s="68"/>
      <c r="AC58" s="68"/>
      <c r="AD58" s="68"/>
      <c r="AE58" s="68"/>
    </row>
    <row r="59" ht="26.25" customHeight="1">
      <c r="A59" s="68"/>
      <c r="B59" s="68"/>
      <c r="C59" s="61" t="s">
        <v>129</v>
      </c>
      <c r="D59" s="61" t="s">
        <v>130</v>
      </c>
      <c r="E59" s="68"/>
      <c r="F59" s="68"/>
      <c r="G59" s="68"/>
      <c r="H59" s="68"/>
      <c r="I59" s="68"/>
      <c r="J59" s="7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  <c r="AB59" s="68"/>
      <c r="AC59" s="68"/>
      <c r="AD59" s="68"/>
      <c r="AE59" s="68"/>
    </row>
    <row r="60" ht="26.25" customHeight="1">
      <c r="A60" s="68"/>
      <c r="B60" s="68"/>
      <c r="C60" s="61" t="s">
        <v>129</v>
      </c>
      <c r="D60" s="61" t="s">
        <v>130</v>
      </c>
      <c r="E60" s="68"/>
      <c r="F60" s="68"/>
      <c r="G60" s="68"/>
      <c r="H60" s="68"/>
      <c r="I60" s="68"/>
      <c r="J60" s="7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  <c r="AB60" s="68"/>
      <c r="AC60" s="68"/>
      <c r="AD60" s="68"/>
      <c r="AE60" s="68"/>
    </row>
    <row r="61" ht="26.25" customHeight="1">
      <c r="A61" s="68"/>
      <c r="B61" s="68"/>
      <c r="C61" s="61" t="s">
        <v>129</v>
      </c>
      <c r="D61" s="61" t="s">
        <v>130</v>
      </c>
      <c r="E61" s="68"/>
      <c r="F61" s="68"/>
      <c r="G61" s="68"/>
      <c r="H61" s="68"/>
      <c r="I61" s="68"/>
      <c r="J61" s="7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  <c r="AB61" s="68"/>
      <c r="AC61" s="68"/>
      <c r="AD61" s="68"/>
      <c r="AE61" s="68"/>
    </row>
    <row r="62" ht="26.25" customHeight="1">
      <c r="A62" s="68"/>
      <c r="B62" s="68"/>
      <c r="C62" s="61" t="s">
        <v>129</v>
      </c>
      <c r="D62" s="61" t="s">
        <v>130</v>
      </c>
      <c r="E62" s="68"/>
      <c r="F62" s="68"/>
      <c r="G62" s="68"/>
      <c r="H62" s="68"/>
      <c r="I62" s="68"/>
      <c r="J62" s="7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  <c r="AB62" s="68"/>
      <c r="AC62" s="68"/>
      <c r="AD62" s="68"/>
      <c r="AE62" s="68"/>
    </row>
    <row r="63" ht="26.25" customHeight="1">
      <c r="A63" s="68"/>
      <c r="B63" s="68"/>
      <c r="C63" s="61" t="s">
        <v>129</v>
      </c>
      <c r="D63" s="61" t="s">
        <v>130</v>
      </c>
      <c r="E63" s="68"/>
      <c r="F63" s="68"/>
      <c r="G63" s="68"/>
      <c r="H63" s="68"/>
      <c r="I63" s="68"/>
      <c r="J63" s="7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</row>
    <row r="64" ht="26.25" customHeight="1">
      <c r="A64" s="68"/>
      <c r="B64" s="68"/>
      <c r="C64" s="61" t="s">
        <v>129</v>
      </c>
      <c r="D64" s="61" t="s">
        <v>130</v>
      </c>
      <c r="E64" s="68"/>
      <c r="F64" s="68"/>
      <c r="G64" s="68"/>
      <c r="H64" s="68"/>
      <c r="I64" s="68"/>
      <c r="J64" s="7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8"/>
      <c r="AB64" s="68"/>
      <c r="AC64" s="68"/>
      <c r="AD64" s="68"/>
      <c r="AE64" s="68"/>
    </row>
    <row r="65" ht="26.25" customHeight="1">
      <c r="A65" s="68"/>
      <c r="B65" s="68"/>
      <c r="C65" s="61" t="s">
        <v>129</v>
      </c>
      <c r="D65" s="61" t="s">
        <v>130</v>
      </c>
      <c r="E65" s="68"/>
      <c r="F65" s="68"/>
      <c r="G65" s="68"/>
      <c r="H65" s="68"/>
      <c r="I65" s="68"/>
      <c r="J65" s="7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</row>
    <row r="66" ht="26.25" customHeight="1">
      <c r="A66" s="68"/>
      <c r="B66" s="68"/>
      <c r="C66" s="61" t="s">
        <v>129</v>
      </c>
      <c r="D66" s="61" t="s">
        <v>130</v>
      </c>
      <c r="E66" s="68"/>
      <c r="F66" s="68"/>
      <c r="G66" s="68"/>
      <c r="H66" s="68"/>
      <c r="I66" s="68"/>
      <c r="J66" s="7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</row>
    <row r="67" ht="26.25" customHeight="1">
      <c r="A67" s="68"/>
      <c r="B67" s="68"/>
      <c r="C67" s="61" t="s">
        <v>129</v>
      </c>
      <c r="D67" s="61" t="s">
        <v>130</v>
      </c>
      <c r="E67" s="68"/>
      <c r="F67" s="68"/>
      <c r="G67" s="68"/>
      <c r="H67" s="68"/>
      <c r="I67" s="68"/>
      <c r="J67" s="7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  <c r="AA67" s="68"/>
      <c r="AB67" s="68"/>
      <c r="AC67" s="68"/>
      <c r="AD67" s="68"/>
      <c r="AE67" s="68"/>
    </row>
    <row r="68" ht="26.25" customHeight="1">
      <c r="A68" s="68"/>
      <c r="B68" s="68"/>
      <c r="C68" s="61" t="s">
        <v>129</v>
      </c>
      <c r="D68" s="61" t="s">
        <v>130</v>
      </c>
      <c r="E68" s="68"/>
      <c r="F68" s="68"/>
      <c r="G68" s="68"/>
      <c r="H68" s="68"/>
      <c r="I68" s="68"/>
      <c r="J68" s="7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</row>
    <row r="69" ht="26.25" customHeight="1">
      <c r="A69" s="68"/>
      <c r="B69" s="68"/>
      <c r="C69" s="61" t="s">
        <v>129</v>
      </c>
      <c r="D69" s="61" t="s">
        <v>130</v>
      </c>
      <c r="E69" s="68"/>
      <c r="F69" s="68"/>
      <c r="G69" s="68"/>
      <c r="H69" s="68"/>
      <c r="I69" s="68"/>
      <c r="J69" s="7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</row>
    <row r="70" ht="26.25" customHeight="1">
      <c r="A70" s="68"/>
      <c r="B70" s="68"/>
      <c r="C70" s="61" t="s">
        <v>129</v>
      </c>
      <c r="D70" s="61" t="s">
        <v>130</v>
      </c>
      <c r="E70" s="68"/>
      <c r="F70" s="68"/>
      <c r="G70" s="68"/>
      <c r="H70" s="68"/>
      <c r="I70" s="68"/>
      <c r="J70" s="7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8"/>
      <c r="AB70" s="68"/>
      <c r="AC70" s="68"/>
      <c r="AD70" s="68"/>
      <c r="AE70" s="68"/>
    </row>
    <row r="71" ht="26.25" customHeight="1">
      <c r="A71" s="68"/>
      <c r="B71" s="68"/>
      <c r="C71" s="61" t="s">
        <v>129</v>
      </c>
      <c r="D71" s="61" t="s">
        <v>130</v>
      </c>
      <c r="E71" s="68"/>
      <c r="F71" s="68"/>
      <c r="G71" s="68"/>
      <c r="H71" s="68"/>
      <c r="I71" s="68"/>
      <c r="J71" s="7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8"/>
      <c r="AB71" s="68"/>
      <c r="AC71" s="68"/>
      <c r="AD71" s="68"/>
      <c r="AE71" s="68"/>
    </row>
    <row r="72" ht="26.25" customHeight="1">
      <c r="A72" s="68"/>
      <c r="B72" s="68"/>
      <c r="C72" s="61" t="s">
        <v>129</v>
      </c>
      <c r="D72" s="61" t="s">
        <v>130</v>
      </c>
      <c r="E72" s="68"/>
      <c r="F72" s="68"/>
      <c r="G72" s="68"/>
      <c r="H72" s="68"/>
      <c r="I72" s="68"/>
      <c r="J72" s="7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  <c r="AA72" s="68"/>
      <c r="AB72" s="68"/>
      <c r="AC72" s="68"/>
      <c r="AD72" s="68"/>
      <c r="AE72" s="68"/>
    </row>
    <row r="73" ht="26.25" customHeight="1">
      <c r="A73" s="68"/>
      <c r="B73" s="68"/>
      <c r="C73" s="61" t="s">
        <v>129</v>
      </c>
      <c r="D73" s="61" t="s">
        <v>130</v>
      </c>
      <c r="E73" s="68"/>
      <c r="F73" s="68"/>
      <c r="G73" s="68"/>
      <c r="H73" s="68"/>
      <c r="I73" s="68"/>
      <c r="J73" s="7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  <c r="AB73" s="68"/>
      <c r="AC73" s="68"/>
      <c r="AD73" s="68"/>
      <c r="AE73" s="68"/>
    </row>
    <row r="74" ht="26.25" customHeight="1">
      <c r="A74" s="68"/>
      <c r="B74" s="68"/>
      <c r="C74" s="61" t="s">
        <v>129</v>
      </c>
      <c r="D74" s="61" t="s">
        <v>130</v>
      </c>
      <c r="E74" s="68"/>
      <c r="F74" s="68"/>
      <c r="G74" s="68"/>
      <c r="H74" s="68"/>
      <c r="I74" s="68"/>
      <c r="J74" s="7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  <c r="AA74" s="68"/>
      <c r="AB74" s="68"/>
      <c r="AC74" s="68"/>
      <c r="AD74" s="68"/>
      <c r="AE74" s="68"/>
    </row>
    <row r="75" ht="26.25" customHeight="1">
      <c r="A75" s="68"/>
      <c r="B75" s="68"/>
      <c r="C75" s="61" t="s">
        <v>129</v>
      </c>
      <c r="D75" s="61" t="s">
        <v>130</v>
      </c>
      <c r="E75" s="68"/>
      <c r="F75" s="68"/>
      <c r="G75" s="68"/>
      <c r="H75" s="68"/>
      <c r="I75" s="68"/>
      <c r="J75" s="7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68"/>
      <c r="AB75" s="68"/>
      <c r="AC75" s="68"/>
      <c r="AD75" s="68"/>
      <c r="AE75" s="68"/>
    </row>
    <row r="76" ht="26.25" customHeight="1">
      <c r="A76" s="68"/>
      <c r="B76" s="68"/>
      <c r="C76" s="61" t="s">
        <v>129</v>
      </c>
      <c r="D76" s="61" t="s">
        <v>130</v>
      </c>
      <c r="E76" s="68"/>
      <c r="F76" s="68"/>
      <c r="G76" s="68"/>
      <c r="H76" s="68"/>
      <c r="I76" s="68"/>
      <c r="J76" s="7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</row>
    <row r="77" ht="26.25" customHeight="1">
      <c r="A77" s="68"/>
      <c r="B77" s="68"/>
      <c r="C77" s="61" t="s">
        <v>129</v>
      </c>
      <c r="D77" s="61" t="s">
        <v>130</v>
      </c>
      <c r="E77" s="68"/>
      <c r="F77" s="68"/>
      <c r="G77" s="68"/>
      <c r="H77" s="68"/>
      <c r="I77" s="68"/>
      <c r="J77" s="7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8"/>
      <c r="AC77" s="68"/>
      <c r="AD77" s="68"/>
      <c r="AE77" s="68"/>
    </row>
    <row r="78" ht="26.25" customHeight="1">
      <c r="A78" s="68"/>
      <c r="B78" s="68"/>
      <c r="C78" s="61" t="s">
        <v>129</v>
      </c>
      <c r="D78" s="61" t="s">
        <v>130</v>
      </c>
      <c r="E78" s="68"/>
      <c r="F78" s="68"/>
      <c r="G78" s="68"/>
      <c r="H78" s="68"/>
      <c r="I78" s="68"/>
      <c r="J78" s="7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  <c r="AB78" s="68"/>
      <c r="AC78" s="68"/>
      <c r="AD78" s="68"/>
      <c r="AE78" s="68"/>
    </row>
    <row r="79" ht="26.25" customHeight="1">
      <c r="A79" s="68"/>
      <c r="B79" s="68"/>
      <c r="C79" s="61" t="s">
        <v>129</v>
      </c>
      <c r="D79" s="61" t="s">
        <v>130</v>
      </c>
      <c r="E79" s="68"/>
      <c r="F79" s="68"/>
      <c r="G79" s="68"/>
      <c r="H79" s="68"/>
      <c r="I79" s="68"/>
      <c r="J79" s="7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8"/>
      <c r="AE79" s="68"/>
    </row>
    <row r="80" ht="26.25" customHeight="1">
      <c r="A80" s="68"/>
      <c r="B80" s="68"/>
      <c r="C80" s="61" t="s">
        <v>129</v>
      </c>
      <c r="D80" s="61" t="s">
        <v>130</v>
      </c>
      <c r="E80" s="68"/>
      <c r="F80" s="68"/>
      <c r="G80" s="68"/>
      <c r="H80" s="68"/>
      <c r="I80" s="68"/>
      <c r="J80" s="7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</row>
    <row r="81" ht="26.25" customHeight="1">
      <c r="A81" s="68"/>
      <c r="B81" s="68"/>
      <c r="C81" s="61" t="s">
        <v>129</v>
      </c>
      <c r="D81" s="61" t="s">
        <v>130</v>
      </c>
      <c r="E81" s="68"/>
      <c r="F81" s="68"/>
      <c r="G81" s="68"/>
      <c r="H81" s="68"/>
      <c r="I81" s="68"/>
      <c r="J81" s="7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  <c r="AA81" s="68"/>
      <c r="AB81" s="68"/>
      <c r="AC81" s="68"/>
      <c r="AD81" s="68"/>
      <c r="AE81" s="68"/>
    </row>
    <row r="82" ht="26.25" customHeight="1">
      <c r="A82" s="68"/>
      <c r="B82" s="68"/>
      <c r="C82" s="61" t="s">
        <v>129</v>
      </c>
      <c r="D82" s="61" t="s">
        <v>130</v>
      </c>
      <c r="E82" s="68"/>
      <c r="F82" s="68"/>
      <c r="G82" s="68"/>
      <c r="H82" s="68"/>
      <c r="I82" s="68"/>
      <c r="J82" s="7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</row>
    <row r="83" ht="26.25" customHeight="1">
      <c r="A83" s="68"/>
      <c r="B83" s="68"/>
      <c r="C83" s="61" t="s">
        <v>129</v>
      </c>
      <c r="D83" s="61" t="s">
        <v>130</v>
      </c>
      <c r="E83" s="68"/>
      <c r="F83" s="68"/>
      <c r="G83" s="68"/>
      <c r="H83" s="68"/>
      <c r="I83" s="68"/>
      <c r="J83" s="7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</row>
    <row r="84" ht="26.25" customHeight="1">
      <c r="A84" s="68"/>
      <c r="B84" s="68"/>
      <c r="C84" s="61" t="s">
        <v>129</v>
      </c>
      <c r="D84" s="61" t="s">
        <v>130</v>
      </c>
      <c r="E84" s="68"/>
      <c r="F84" s="68"/>
      <c r="G84" s="68"/>
      <c r="H84" s="68"/>
      <c r="I84" s="68"/>
      <c r="J84" s="7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</row>
    <row r="85" ht="26.25" customHeight="1">
      <c r="A85" s="68"/>
      <c r="B85" s="68"/>
      <c r="C85" s="61" t="s">
        <v>129</v>
      </c>
      <c r="D85" s="61" t="s">
        <v>130</v>
      </c>
      <c r="E85" s="68"/>
      <c r="F85" s="68"/>
      <c r="G85" s="68"/>
      <c r="H85" s="68"/>
      <c r="I85" s="68"/>
      <c r="J85" s="7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</row>
    <row r="86" ht="26.25" customHeight="1">
      <c r="A86" s="68"/>
      <c r="B86" s="68"/>
      <c r="C86" s="61" t="s">
        <v>129</v>
      </c>
      <c r="D86" s="61" t="s">
        <v>130</v>
      </c>
      <c r="E86" s="68"/>
      <c r="F86" s="68"/>
      <c r="G86" s="68"/>
      <c r="H86" s="68"/>
      <c r="I86" s="68"/>
      <c r="J86" s="7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</row>
    <row r="87" ht="26.25" customHeight="1">
      <c r="A87" s="68"/>
      <c r="B87" s="68"/>
      <c r="C87" s="61" t="s">
        <v>129</v>
      </c>
      <c r="D87" s="61" t="s">
        <v>130</v>
      </c>
      <c r="E87" s="68"/>
      <c r="F87" s="68"/>
      <c r="G87" s="68"/>
      <c r="H87" s="68"/>
      <c r="I87" s="68"/>
      <c r="J87" s="7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</row>
    <row r="88" ht="26.25" customHeight="1">
      <c r="A88" s="68"/>
      <c r="B88" s="68"/>
      <c r="C88" s="61" t="s">
        <v>129</v>
      </c>
      <c r="D88" s="61" t="s">
        <v>130</v>
      </c>
      <c r="E88" s="68"/>
      <c r="F88" s="68"/>
      <c r="G88" s="68"/>
      <c r="H88" s="68"/>
      <c r="I88" s="68"/>
      <c r="J88" s="7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</row>
    <row r="89" ht="26.25" customHeight="1">
      <c r="A89" s="68"/>
      <c r="B89" s="68"/>
      <c r="C89" s="61" t="s">
        <v>129</v>
      </c>
      <c r="D89" s="61" t="s">
        <v>130</v>
      </c>
      <c r="E89" s="68"/>
      <c r="F89" s="68"/>
      <c r="G89" s="68"/>
      <c r="H89" s="68"/>
      <c r="I89" s="68"/>
      <c r="J89" s="7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</row>
    <row r="90" ht="26.25" customHeight="1">
      <c r="A90" s="68"/>
      <c r="B90" s="68"/>
      <c r="C90" s="61" t="s">
        <v>129</v>
      </c>
      <c r="D90" s="61" t="s">
        <v>130</v>
      </c>
      <c r="E90" s="68"/>
      <c r="F90" s="68"/>
      <c r="G90" s="68"/>
      <c r="H90" s="68"/>
      <c r="I90" s="68"/>
      <c r="J90" s="7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</row>
    <row r="91" ht="26.25" customHeight="1">
      <c r="A91" s="68"/>
      <c r="B91" s="68"/>
      <c r="C91" s="61" t="s">
        <v>129</v>
      </c>
      <c r="D91" s="61" t="s">
        <v>130</v>
      </c>
      <c r="E91" s="68"/>
      <c r="F91" s="68"/>
      <c r="G91" s="68"/>
      <c r="H91" s="68"/>
      <c r="I91" s="68"/>
      <c r="J91" s="7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</row>
    <row r="92" ht="26.25" customHeight="1">
      <c r="A92" s="68"/>
      <c r="B92" s="68"/>
      <c r="C92" s="61" t="s">
        <v>129</v>
      </c>
      <c r="D92" s="61" t="s">
        <v>130</v>
      </c>
      <c r="E92" s="68"/>
      <c r="F92" s="68"/>
      <c r="G92" s="68"/>
      <c r="H92" s="68"/>
      <c r="I92" s="68"/>
      <c r="J92" s="7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</row>
    <row r="93" ht="26.25" customHeight="1">
      <c r="A93" s="68"/>
      <c r="B93" s="68"/>
      <c r="C93" s="61" t="s">
        <v>129</v>
      </c>
      <c r="D93" s="61" t="s">
        <v>130</v>
      </c>
      <c r="E93" s="68"/>
      <c r="F93" s="68"/>
      <c r="G93" s="68"/>
      <c r="H93" s="68"/>
      <c r="I93" s="68"/>
      <c r="J93" s="7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</row>
    <row r="94" ht="26.25" customHeight="1">
      <c r="A94" s="68"/>
      <c r="B94" s="68"/>
      <c r="C94" s="61" t="s">
        <v>129</v>
      </c>
      <c r="D94" s="61" t="s">
        <v>130</v>
      </c>
      <c r="E94" s="68"/>
      <c r="F94" s="68"/>
      <c r="G94" s="68"/>
      <c r="H94" s="68"/>
      <c r="I94" s="68"/>
      <c r="J94" s="7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</row>
    <row r="95" ht="26.25" customHeight="1">
      <c r="A95" s="68"/>
      <c r="B95" s="68"/>
      <c r="C95" s="61" t="s">
        <v>129</v>
      </c>
      <c r="D95" s="61" t="s">
        <v>130</v>
      </c>
      <c r="E95" s="68"/>
      <c r="F95" s="68"/>
      <c r="G95" s="68"/>
      <c r="H95" s="68"/>
      <c r="I95" s="68"/>
      <c r="J95" s="7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</row>
    <row r="96" ht="26.25" customHeight="1">
      <c r="A96" s="68"/>
      <c r="B96" s="68"/>
      <c r="C96" s="61" t="s">
        <v>129</v>
      </c>
      <c r="D96" s="61" t="s">
        <v>130</v>
      </c>
      <c r="E96" s="68"/>
      <c r="F96" s="68"/>
      <c r="G96" s="68"/>
      <c r="H96" s="68"/>
      <c r="I96" s="68"/>
      <c r="J96" s="7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</row>
    <row r="97" ht="26.25" customHeight="1">
      <c r="A97" s="68"/>
      <c r="B97" s="68"/>
      <c r="C97" s="61" t="s">
        <v>129</v>
      </c>
      <c r="D97" s="61" t="s">
        <v>130</v>
      </c>
      <c r="E97" s="68"/>
      <c r="F97" s="68"/>
      <c r="G97" s="68"/>
      <c r="H97" s="68"/>
      <c r="I97" s="68"/>
      <c r="J97" s="7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</row>
    <row r="98" ht="26.25" customHeight="1">
      <c r="A98" s="68"/>
      <c r="B98" s="68"/>
      <c r="C98" s="61" t="s">
        <v>129</v>
      </c>
      <c r="D98" s="61" t="s">
        <v>130</v>
      </c>
      <c r="E98" s="68"/>
      <c r="F98" s="68"/>
      <c r="G98" s="68"/>
      <c r="H98" s="68"/>
      <c r="I98" s="68"/>
      <c r="J98" s="7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</row>
    <row r="99" ht="26.25" customHeight="1">
      <c r="A99" s="68"/>
      <c r="B99" s="68"/>
      <c r="C99" s="61" t="s">
        <v>129</v>
      </c>
      <c r="D99" s="61" t="s">
        <v>130</v>
      </c>
      <c r="E99" s="68"/>
      <c r="F99" s="68"/>
      <c r="G99" s="68"/>
      <c r="H99" s="68"/>
      <c r="I99" s="68"/>
      <c r="J99" s="7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</row>
    <row r="100" ht="26.25" customHeight="1">
      <c r="A100" s="68"/>
      <c r="B100" s="68"/>
      <c r="C100" s="61" t="s">
        <v>129</v>
      </c>
      <c r="D100" s="61" t="s">
        <v>130</v>
      </c>
      <c r="E100" s="68"/>
      <c r="F100" s="68"/>
      <c r="G100" s="68"/>
      <c r="H100" s="68"/>
      <c r="I100" s="68"/>
      <c r="J100" s="7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</row>
    <row r="101" ht="26.25" customHeight="1">
      <c r="A101" s="68"/>
      <c r="B101" s="68"/>
      <c r="C101" s="61" t="s">
        <v>129</v>
      </c>
      <c r="D101" s="61" t="s">
        <v>130</v>
      </c>
      <c r="E101" s="68"/>
      <c r="F101" s="68"/>
      <c r="G101" s="68"/>
      <c r="H101" s="68"/>
      <c r="I101" s="68"/>
      <c r="J101" s="7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</row>
    <row r="102" ht="26.25" customHeight="1">
      <c r="A102" s="68"/>
      <c r="B102" s="68"/>
      <c r="C102" s="61" t="s">
        <v>129</v>
      </c>
      <c r="D102" s="61" t="s">
        <v>130</v>
      </c>
      <c r="E102" s="68"/>
      <c r="F102" s="68"/>
      <c r="G102" s="68"/>
      <c r="H102" s="68"/>
      <c r="I102" s="68"/>
      <c r="J102" s="7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</row>
    <row r="103" ht="26.25" customHeight="1">
      <c r="A103" s="68"/>
      <c r="B103" s="68"/>
      <c r="C103" s="61" t="s">
        <v>129</v>
      </c>
      <c r="D103" s="61" t="s">
        <v>130</v>
      </c>
      <c r="E103" s="68"/>
      <c r="F103" s="68"/>
      <c r="G103" s="68"/>
      <c r="H103" s="68"/>
      <c r="I103" s="68"/>
      <c r="J103" s="7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</row>
    <row r="104" ht="26.25" customHeight="1">
      <c r="A104" s="68"/>
      <c r="B104" s="68"/>
      <c r="C104" s="61" t="s">
        <v>129</v>
      </c>
      <c r="D104" s="61" t="s">
        <v>130</v>
      </c>
      <c r="E104" s="68"/>
      <c r="F104" s="68"/>
      <c r="G104" s="68"/>
      <c r="H104" s="68"/>
      <c r="I104" s="68"/>
      <c r="J104" s="7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</row>
    <row r="105" ht="26.25" customHeight="1">
      <c r="A105" s="68"/>
      <c r="B105" s="68"/>
      <c r="C105" s="61" t="s">
        <v>129</v>
      </c>
      <c r="D105" s="61" t="s">
        <v>130</v>
      </c>
      <c r="E105" s="68"/>
      <c r="F105" s="68"/>
      <c r="G105" s="68"/>
      <c r="H105" s="68"/>
      <c r="I105" s="68"/>
      <c r="J105" s="7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</row>
    <row r="106" ht="26.25" customHeight="1">
      <c r="A106" s="68"/>
      <c r="B106" s="68"/>
      <c r="C106" s="61" t="s">
        <v>129</v>
      </c>
      <c r="D106" s="61" t="s">
        <v>130</v>
      </c>
      <c r="E106" s="68"/>
      <c r="F106" s="68"/>
      <c r="G106" s="68"/>
      <c r="H106" s="68"/>
      <c r="I106" s="68"/>
      <c r="J106" s="7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</row>
    <row r="107" ht="26.25" customHeight="1">
      <c r="A107" s="68"/>
      <c r="B107" s="68"/>
      <c r="C107" s="61" t="s">
        <v>129</v>
      </c>
      <c r="D107" s="61" t="s">
        <v>130</v>
      </c>
      <c r="E107" s="68"/>
      <c r="F107" s="68"/>
      <c r="G107" s="68"/>
      <c r="H107" s="68"/>
      <c r="I107" s="68"/>
      <c r="J107" s="7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</row>
    <row r="108" ht="26.25" customHeight="1">
      <c r="A108" s="68"/>
      <c r="B108" s="68"/>
      <c r="C108" s="61" t="s">
        <v>129</v>
      </c>
      <c r="D108" s="61" t="s">
        <v>130</v>
      </c>
      <c r="E108" s="68"/>
      <c r="F108" s="68"/>
      <c r="G108" s="68"/>
      <c r="H108" s="68"/>
      <c r="I108" s="68"/>
      <c r="J108" s="7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</row>
    <row r="109" ht="26.25" customHeight="1">
      <c r="A109" s="68"/>
      <c r="B109" s="68"/>
      <c r="C109" s="61" t="s">
        <v>129</v>
      </c>
      <c r="D109" s="61" t="s">
        <v>130</v>
      </c>
      <c r="E109" s="68"/>
      <c r="F109" s="68"/>
      <c r="G109" s="68"/>
      <c r="H109" s="68"/>
      <c r="I109" s="68"/>
      <c r="J109" s="7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</row>
    <row r="110" ht="26.25" customHeight="1">
      <c r="A110" s="68"/>
      <c r="B110" s="68"/>
      <c r="C110" s="61" t="s">
        <v>129</v>
      </c>
      <c r="D110" s="61" t="s">
        <v>130</v>
      </c>
      <c r="E110" s="68"/>
      <c r="F110" s="68"/>
      <c r="G110" s="68"/>
      <c r="H110" s="68"/>
      <c r="I110" s="68"/>
      <c r="J110" s="7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  <c r="AA110" s="68"/>
      <c r="AB110" s="68"/>
      <c r="AC110" s="68"/>
      <c r="AD110" s="68"/>
      <c r="AE110" s="68"/>
    </row>
    <row r="111" ht="26.25" customHeight="1">
      <c r="A111" s="68"/>
      <c r="B111" s="68"/>
      <c r="C111" s="61" t="s">
        <v>129</v>
      </c>
      <c r="D111" s="61" t="s">
        <v>130</v>
      </c>
      <c r="E111" s="68"/>
      <c r="F111" s="68"/>
      <c r="G111" s="68"/>
      <c r="H111" s="68"/>
      <c r="I111" s="68"/>
      <c r="J111" s="7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</row>
    <row r="112" ht="26.25" customHeight="1">
      <c r="A112" s="68"/>
      <c r="B112" s="68"/>
      <c r="C112" s="61" t="s">
        <v>129</v>
      </c>
      <c r="D112" s="61" t="s">
        <v>130</v>
      </c>
      <c r="E112" s="68"/>
      <c r="F112" s="68"/>
      <c r="G112" s="68"/>
      <c r="H112" s="68"/>
      <c r="I112" s="68"/>
      <c r="J112" s="7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  <c r="AA112" s="68"/>
      <c r="AB112" s="68"/>
      <c r="AC112" s="68"/>
      <c r="AD112" s="68"/>
      <c r="AE112" s="68"/>
    </row>
    <row r="113" ht="26.25" customHeight="1">
      <c r="A113" s="68"/>
      <c r="B113" s="68"/>
      <c r="C113" s="61" t="s">
        <v>129</v>
      </c>
      <c r="D113" s="61" t="s">
        <v>130</v>
      </c>
      <c r="E113" s="68"/>
      <c r="F113" s="68"/>
      <c r="G113" s="68"/>
      <c r="H113" s="68"/>
      <c r="I113" s="68"/>
      <c r="J113" s="7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  <c r="AA113" s="68"/>
      <c r="AB113" s="68"/>
      <c r="AC113" s="68"/>
      <c r="AD113" s="68"/>
      <c r="AE113" s="68"/>
    </row>
    <row r="114" ht="26.25" customHeight="1">
      <c r="A114" s="68"/>
      <c r="B114" s="68"/>
      <c r="C114" s="61" t="s">
        <v>129</v>
      </c>
      <c r="D114" s="61" t="s">
        <v>130</v>
      </c>
      <c r="E114" s="68"/>
      <c r="F114" s="68"/>
      <c r="G114" s="68"/>
      <c r="H114" s="68"/>
      <c r="I114" s="68"/>
      <c r="J114" s="7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  <c r="AA114" s="68"/>
      <c r="AB114" s="68"/>
      <c r="AC114" s="68"/>
      <c r="AD114" s="68"/>
      <c r="AE114" s="68"/>
    </row>
    <row r="115" ht="26.25" customHeight="1">
      <c r="A115" s="68"/>
      <c r="B115" s="68"/>
      <c r="C115" s="61" t="s">
        <v>129</v>
      </c>
      <c r="D115" s="61" t="s">
        <v>130</v>
      </c>
      <c r="E115" s="68"/>
      <c r="F115" s="68"/>
      <c r="G115" s="68"/>
      <c r="H115" s="68"/>
      <c r="I115" s="68"/>
      <c r="J115" s="7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  <c r="AA115" s="68"/>
      <c r="AB115" s="68"/>
      <c r="AC115" s="68"/>
      <c r="AD115" s="68"/>
      <c r="AE115" s="68"/>
    </row>
    <row r="116" ht="26.25" customHeight="1">
      <c r="A116" s="68"/>
      <c r="B116" s="68"/>
      <c r="C116" s="61" t="s">
        <v>129</v>
      </c>
      <c r="D116" s="61" t="s">
        <v>130</v>
      </c>
      <c r="E116" s="68"/>
      <c r="F116" s="68"/>
      <c r="G116" s="68"/>
      <c r="H116" s="68"/>
      <c r="I116" s="68"/>
      <c r="J116" s="7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  <c r="AA116" s="68"/>
      <c r="AB116" s="68"/>
      <c r="AC116" s="68"/>
      <c r="AD116" s="68"/>
      <c r="AE116" s="68"/>
    </row>
    <row r="117" ht="26.25" customHeight="1">
      <c r="A117" s="68"/>
      <c r="B117" s="68"/>
      <c r="C117" s="61" t="s">
        <v>129</v>
      </c>
      <c r="D117" s="61" t="s">
        <v>130</v>
      </c>
      <c r="E117" s="68"/>
      <c r="F117" s="68"/>
      <c r="G117" s="68"/>
      <c r="H117" s="68"/>
      <c r="I117" s="68"/>
      <c r="J117" s="7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  <c r="AB117" s="68"/>
      <c r="AC117" s="68"/>
      <c r="AD117" s="68"/>
      <c r="AE117" s="68"/>
    </row>
    <row r="118" ht="26.25" customHeight="1">
      <c r="A118" s="68"/>
      <c r="B118" s="68"/>
      <c r="C118" s="61" t="s">
        <v>129</v>
      </c>
      <c r="D118" s="61" t="s">
        <v>130</v>
      </c>
      <c r="E118" s="68"/>
      <c r="F118" s="68"/>
      <c r="G118" s="68"/>
      <c r="H118" s="68"/>
      <c r="I118" s="68"/>
      <c r="J118" s="7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  <c r="AA118" s="68"/>
      <c r="AB118" s="68"/>
      <c r="AC118" s="68"/>
      <c r="AD118" s="68"/>
      <c r="AE118" s="68"/>
    </row>
    <row r="119" ht="26.25" customHeight="1">
      <c r="A119" s="68"/>
      <c r="B119" s="68"/>
      <c r="C119" s="61" t="s">
        <v>129</v>
      </c>
      <c r="D119" s="61" t="s">
        <v>130</v>
      </c>
      <c r="E119" s="68"/>
      <c r="F119" s="68"/>
      <c r="G119" s="68"/>
      <c r="H119" s="68"/>
      <c r="I119" s="68"/>
      <c r="J119" s="7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  <c r="AA119" s="68"/>
      <c r="AB119" s="68"/>
      <c r="AC119" s="68"/>
      <c r="AD119" s="68"/>
      <c r="AE119" s="68"/>
    </row>
    <row r="120" ht="26.25" customHeight="1">
      <c r="A120" s="68"/>
      <c r="B120" s="68"/>
      <c r="C120" s="61" t="s">
        <v>129</v>
      </c>
      <c r="D120" s="61" t="s">
        <v>130</v>
      </c>
      <c r="E120" s="68"/>
      <c r="F120" s="68"/>
      <c r="G120" s="68"/>
      <c r="H120" s="68"/>
      <c r="I120" s="68"/>
      <c r="J120" s="7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  <c r="AA120" s="68"/>
      <c r="AB120" s="68"/>
      <c r="AC120" s="68"/>
      <c r="AD120" s="68"/>
      <c r="AE120" s="68"/>
    </row>
    <row r="121" ht="26.25" customHeight="1">
      <c r="A121" s="68"/>
      <c r="B121" s="68"/>
      <c r="C121" s="61" t="s">
        <v>129</v>
      </c>
      <c r="D121" s="61" t="s">
        <v>130</v>
      </c>
      <c r="E121" s="68"/>
      <c r="F121" s="68"/>
      <c r="G121" s="68"/>
      <c r="H121" s="68"/>
      <c r="I121" s="68"/>
      <c r="J121" s="7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  <c r="AA121" s="68"/>
      <c r="AB121" s="68"/>
      <c r="AC121" s="68"/>
      <c r="AD121" s="68"/>
      <c r="AE121" s="68"/>
    </row>
    <row r="122" ht="26.25" customHeight="1">
      <c r="A122" s="68"/>
      <c r="B122" s="68"/>
      <c r="C122" s="61" t="s">
        <v>129</v>
      </c>
      <c r="D122" s="61" t="s">
        <v>130</v>
      </c>
      <c r="E122" s="68"/>
      <c r="F122" s="68"/>
      <c r="G122" s="68"/>
      <c r="H122" s="68"/>
      <c r="I122" s="68"/>
      <c r="J122" s="7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</row>
    <row r="123" ht="26.25" customHeight="1">
      <c r="A123" s="68"/>
      <c r="B123" s="68"/>
      <c r="C123" s="61" t="s">
        <v>129</v>
      </c>
      <c r="D123" s="61" t="s">
        <v>130</v>
      </c>
      <c r="E123" s="68"/>
      <c r="F123" s="68"/>
      <c r="G123" s="68"/>
      <c r="H123" s="68"/>
      <c r="I123" s="68"/>
      <c r="J123" s="7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  <c r="AA123" s="68"/>
      <c r="AB123" s="68"/>
      <c r="AC123" s="68"/>
      <c r="AD123" s="68"/>
      <c r="AE123" s="68"/>
    </row>
    <row r="124" ht="26.25" customHeight="1">
      <c r="A124" s="68"/>
      <c r="B124" s="68"/>
      <c r="C124" s="61" t="s">
        <v>129</v>
      </c>
      <c r="D124" s="61" t="s">
        <v>130</v>
      </c>
      <c r="E124" s="68"/>
      <c r="F124" s="68"/>
      <c r="G124" s="68"/>
      <c r="H124" s="68"/>
      <c r="I124" s="68"/>
      <c r="J124" s="7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  <c r="AA124" s="68"/>
      <c r="AB124" s="68"/>
      <c r="AC124" s="68"/>
      <c r="AD124" s="68"/>
      <c r="AE124" s="68"/>
    </row>
    <row r="125" ht="26.25" customHeight="1">
      <c r="A125" s="68"/>
      <c r="B125" s="68"/>
      <c r="C125" s="61" t="s">
        <v>129</v>
      </c>
      <c r="D125" s="61" t="s">
        <v>130</v>
      </c>
      <c r="E125" s="68"/>
      <c r="F125" s="68"/>
      <c r="G125" s="68"/>
      <c r="H125" s="68"/>
      <c r="I125" s="68"/>
      <c r="J125" s="7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  <c r="AA125" s="68"/>
      <c r="AB125" s="68"/>
      <c r="AC125" s="68"/>
      <c r="AD125" s="68"/>
      <c r="AE125" s="68"/>
    </row>
    <row r="126" ht="26.25" customHeight="1">
      <c r="A126" s="68"/>
      <c r="B126" s="68"/>
      <c r="C126" s="61" t="s">
        <v>129</v>
      </c>
      <c r="D126" s="61" t="s">
        <v>130</v>
      </c>
      <c r="E126" s="68"/>
      <c r="F126" s="68"/>
      <c r="G126" s="68"/>
      <c r="H126" s="68"/>
      <c r="I126" s="68"/>
      <c r="J126" s="7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  <c r="AA126" s="68"/>
      <c r="AB126" s="68"/>
      <c r="AC126" s="68"/>
      <c r="AD126" s="68"/>
      <c r="AE126" s="68"/>
    </row>
    <row r="127" ht="26.25" customHeight="1">
      <c r="A127" s="68"/>
      <c r="B127" s="68"/>
      <c r="C127" s="61" t="s">
        <v>129</v>
      </c>
      <c r="D127" s="61" t="s">
        <v>130</v>
      </c>
      <c r="E127" s="68"/>
      <c r="F127" s="68"/>
      <c r="G127" s="68"/>
      <c r="H127" s="68"/>
      <c r="I127" s="68"/>
      <c r="J127" s="7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  <c r="AA127" s="68"/>
      <c r="AB127" s="68"/>
      <c r="AC127" s="68"/>
      <c r="AD127" s="68"/>
      <c r="AE127" s="68"/>
    </row>
    <row r="128" ht="26.25" customHeight="1">
      <c r="A128" s="68"/>
      <c r="B128" s="68"/>
      <c r="C128" s="61" t="s">
        <v>129</v>
      </c>
      <c r="D128" s="61" t="s">
        <v>130</v>
      </c>
      <c r="E128" s="68"/>
      <c r="F128" s="68"/>
      <c r="G128" s="68"/>
      <c r="H128" s="68"/>
      <c r="I128" s="68"/>
      <c r="J128" s="7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  <c r="AA128" s="68"/>
      <c r="AB128" s="68"/>
      <c r="AC128" s="68"/>
      <c r="AD128" s="68"/>
      <c r="AE128" s="68"/>
    </row>
    <row r="129" ht="26.25" customHeight="1">
      <c r="A129" s="68"/>
      <c r="B129" s="68"/>
      <c r="C129" s="61" t="s">
        <v>129</v>
      </c>
      <c r="D129" s="61" t="s">
        <v>130</v>
      </c>
      <c r="E129" s="68"/>
      <c r="F129" s="68"/>
      <c r="G129" s="68"/>
      <c r="H129" s="68"/>
      <c r="I129" s="68"/>
      <c r="J129" s="7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  <c r="AA129" s="68"/>
      <c r="AB129" s="68"/>
      <c r="AC129" s="68"/>
      <c r="AD129" s="68"/>
      <c r="AE129" s="68"/>
    </row>
    <row r="130" ht="26.25" customHeight="1">
      <c r="A130" s="68"/>
      <c r="B130" s="68"/>
      <c r="C130" s="61" t="s">
        <v>129</v>
      </c>
      <c r="D130" s="61" t="s">
        <v>130</v>
      </c>
      <c r="E130" s="68"/>
      <c r="F130" s="68"/>
      <c r="G130" s="68"/>
      <c r="H130" s="68"/>
      <c r="I130" s="68"/>
      <c r="J130" s="7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  <c r="AA130" s="68"/>
      <c r="AB130" s="68"/>
      <c r="AC130" s="68"/>
      <c r="AD130" s="68"/>
      <c r="AE130" s="68"/>
    </row>
    <row r="131" ht="26.25" customHeight="1">
      <c r="A131" s="68"/>
      <c r="B131" s="68"/>
      <c r="C131" s="61" t="s">
        <v>129</v>
      </c>
      <c r="D131" s="61" t="s">
        <v>130</v>
      </c>
      <c r="E131" s="68"/>
      <c r="F131" s="68"/>
      <c r="G131" s="68"/>
      <c r="H131" s="68"/>
      <c r="I131" s="68"/>
      <c r="J131" s="7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  <c r="AA131" s="68"/>
      <c r="AB131" s="68"/>
      <c r="AC131" s="68"/>
      <c r="AD131" s="68"/>
      <c r="AE131" s="68"/>
    </row>
    <row r="132" ht="26.25" customHeight="1">
      <c r="A132" s="68"/>
      <c r="B132" s="68"/>
      <c r="C132" s="61" t="s">
        <v>129</v>
      </c>
      <c r="D132" s="61" t="s">
        <v>130</v>
      </c>
      <c r="E132" s="68"/>
      <c r="F132" s="68"/>
      <c r="G132" s="68"/>
      <c r="H132" s="68"/>
      <c r="I132" s="68"/>
      <c r="J132" s="7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  <c r="AA132" s="68"/>
      <c r="AB132" s="68"/>
      <c r="AC132" s="68"/>
      <c r="AD132" s="68"/>
      <c r="AE132" s="68"/>
    </row>
    <row r="133" ht="26.25" customHeight="1">
      <c r="A133" s="68"/>
      <c r="B133" s="68"/>
      <c r="C133" s="61" t="s">
        <v>129</v>
      </c>
      <c r="D133" s="61" t="s">
        <v>130</v>
      </c>
      <c r="E133" s="68"/>
      <c r="F133" s="68"/>
      <c r="G133" s="68"/>
      <c r="H133" s="68"/>
      <c r="I133" s="68"/>
      <c r="J133" s="7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  <c r="AA133" s="68"/>
      <c r="AB133" s="68"/>
      <c r="AC133" s="68"/>
      <c r="AD133" s="68"/>
      <c r="AE133" s="68"/>
    </row>
    <row r="134" ht="26.25" customHeight="1">
      <c r="A134" s="68"/>
      <c r="B134" s="68"/>
      <c r="C134" s="61" t="s">
        <v>129</v>
      </c>
      <c r="D134" s="61" t="s">
        <v>130</v>
      </c>
      <c r="E134" s="68"/>
      <c r="F134" s="68"/>
      <c r="G134" s="68"/>
      <c r="H134" s="68"/>
      <c r="I134" s="68"/>
      <c r="J134" s="7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</row>
    <row r="135" ht="26.25" customHeight="1">
      <c r="A135" s="68"/>
      <c r="B135" s="68"/>
      <c r="C135" s="61" t="s">
        <v>129</v>
      </c>
      <c r="D135" s="61" t="s">
        <v>130</v>
      </c>
      <c r="E135" s="68"/>
      <c r="F135" s="68"/>
      <c r="G135" s="68"/>
      <c r="H135" s="68"/>
      <c r="I135" s="68"/>
      <c r="J135" s="7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</row>
    <row r="136" ht="26.25" customHeight="1">
      <c r="A136" s="68"/>
      <c r="B136" s="68"/>
      <c r="C136" s="61" t="s">
        <v>129</v>
      </c>
      <c r="D136" s="61" t="s">
        <v>130</v>
      </c>
      <c r="E136" s="68"/>
      <c r="F136" s="68"/>
      <c r="G136" s="68"/>
      <c r="H136" s="68"/>
      <c r="I136" s="68"/>
      <c r="J136" s="7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</row>
    <row r="137" ht="26.25" customHeight="1">
      <c r="A137" s="68"/>
      <c r="B137" s="68"/>
      <c r="C137" s="61" t="s">
        <v>129</v>
      </c>
      <c r="D137" s="61" t="s">
        <v>130</v>
      </c>
      <c r="E137" s="68"/>
      <c r="F137" s="68"/>
      <c r="G137" s="68"/>
      <c r="H137" s="68"/>
      <c r="I137" s="68"/>
      <c r="J137" s="7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  <c r="AA137" s="68"/>
      <c r="AB137" s="68"/>
      <c r="AC137" s="68"/>
      <c r="AD137" s="68"/>
      <c r="AE137" s="68"/>
    </row>
    <row r="138" ht="26.25" customHeight="1">
      <c r="A138" s="68"/>
      <c r="B138" s="68"/>
      <c r="C138" s="61" t="s">
        <v>129</v>
      </c>
      <c r="D138" s="61" t="s">
        <v>130</v>
      </c>
      <c r="E138" s="68"/>
      <c r="F138" s="68"/>
      <c r="G138" s="68"/>
      <c r="H138" s="68"/>
      <c r="I138" s="68"/>
      <c r="J138" s="7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  <c r="AA138" s="68"/>
      <c r="AB138" s="68"/>
      <c r="AC138" s="68"/>
      <c r="AD138" s="68"/>
      <c r="AE138" s="68"/>
    </row>
    <row r="139" ht="26.25" customHeight="1">
      <c r="A139" s="68"/>
      <c r="B139" s="68"/>
      <c r="C139" s="61" t="s">
        <v>129</v>
      </c>
      <c r="D139" s="61" t="s">
        <v>130</v>
      </c>
      <c r="E139" s="68"/>
      <c r="F139" s="68"/>
      <c r="G139" s="68"/>
      <c r="H139" s="68"/>
      <c r="I139" s="68"/>
      <c r="J139" s="7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  <c r="AA139" s="68"/>
      <c r="AB139" s="68"/>
      <c r="AC139" s="68"/>
      <c r="AD139" s="68"/>
      <c r="AE139" s="68"/>
    </row>
    <row r="140" ht="26.25" customHeight="1">
      <c r="A140" s="68"/>
      <c r="B140" s="68"/>
      <c r="C140" s="61" t="s">
        <v>129</v>
      </c>
      <c r="D140" s="61" t="s">
        <v>130</v>
      </c>
      <c r="E140" s="68"/>
      <c r="F140" s="68"/>
      <c r="G140" s="68"/>
      <c r="H140" s="68"/>
      <c r="I140" s="68"/>
      <c r="J140" s="7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  <c r="AA140" s="68"/>
      <c r="AB140" s="68"/>
      <c r="AC140" s="68"/>
      <c r="AD140" s="68"/>
      <c r="AE140" s="68"/>
    </row>
    <row r="141" ht="26.25" customHeight="1">
      <c r="A141" s="68"/>
      <c r="B141" s="68"/>
      <c r="C141" s="61" t="s">
        <v>129</v>
      </c>
      <c r="D141" s="61" t="s">
        <v>130</v>
      </c>
      <c r="E141" s="68"/>
      <c r="F141" s="68"/>
      <c r="G141" s="68"/>
      <c r="H141" s="68"/>
      <c r="I141" s="68"/>
      <c r="J141" s="7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  <c r="AA141" s="68"/>
      <c r="AB141" s="68"/>
      <c r="AC141" s="68"/>
      <c r="AD141" s="68"/>
      <c r="AE141" s="68"/>
    </row>
    <row r="142" ht="26.25" customHeight="1">
      <c r="A142" s="68"/>
      <c r="B142" s="68"/>
      <c r="C142" s="61" t="s">
        <v>129</v>
      </c>
      <c r="D142" s="61" t="s">
        <v>130</v>
      </c>
      <c r="E142" s="68"/>
      <c r="F142" s="68"/>
      <c r="G142" s="68"/>
      <c r="H142" s="68"/>
      <c r="I142" s="68"/>
      <c r="J142" s="7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  <c r="AA142" s="68"/>
      <c r="AB142" s="68"/>
      <c r="AC142" s="68"/>
      <c r="AD142" s="68"/>
      <c r="AE142" s="68"/>
    </row>
    <row r="143" ht="26.25" customHeight="1">
      <c r="A143" s="68"/>
      <c r="B143" s="68"/>
      <c r="C143" s="61" t="s">
        <v>129</v>
      </c>
      <c r="D143" s="61" t="s">
        <v>130</v>
      </c>
      <c r="E143" s="68"/>
      <c r="F143" s="68"/>
      <c r="G143" s="68"/>
      <c r="H143" s="68"/>
      <c r="I143" s="68"/>
      <c r="J143" s="7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  <c r="AA143" s="68"/>
      <c r="AB143" s="68"/>
      <c r="AC143" s="68"/>
      <c r="AD143" s="68"/>
      <c r="AE143" s="68"/>
    </row>
    <row r="144" ht="26.25" customHeight="1">
      <c r="A144" s="68"/>
      <c r="B144" s="68"/>
      <c r="C144" s="61" t="s">
        <v>129</v>
      </c>
      <c r="D144" s="61" t="s">
        <v>130</v>
      </c>
      <c r="E144" s="68"/>
      <c r="F144" s="68"/>
      <c r="G144" s="68"/>
      <c r="H144" s="68"/>
      <c r="I144" s="68"/>
      <c r="J144" s="7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  <c r="AA144" s="68"/>
      <c r="AB144" s="68"/>
      <c r="AC144" s="68"/>
      <c r="AD144" s="68"/>
      <c r="AE144" s="68"/>
    </row>
    <row r="145" ht="26.25" customHeight="1">
      <c r="A145" s="68"/>
      <c r="B145" s="68"/>
      <c r="C145" s="61" t="s">
        <v>129</v>
      </c>
      <c r="D145" s="61" t="s">
        <v>130</v>
      </c>
      <c r="E145" s="68"/>
      <c r="F145" s="68"/>
      <c r="G145" s="68"/>
      <c r="H145" s="68"/>
      <c r="I145" s="68"/>
      <c r="J145" s="7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  <c r="AA145" s="68"/>
      <c r="AB145" s="68"/>
      <c r="AC145" s="68"/>
      <c r="AD145" s="68"/>
      <c r="AE145" s="68"/>
    </row>
    <row r="146" ht="26.25" customHeight="1">
      <c r="A146" s="68"/>
      <c r="B146" s="68"/>
      <c r="C146" s="61" t="s">
        <v>129</v>
      </c>
      <c r="D146" s="61" t="s">
        <v>130</v>
      </c>
      <c r="E146" s="68"/>
      <c r="F146" s="68"/>
      <c r="G146" s="68"/>
      <c r="H146" s="68"/>
      <c r="I146" s="68"/>
      <c r="J146" s="7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  <c r="AA146" s="68"/>
      <c r="AB146" s="68"/>
      <c r="AC146" s="68"/>
      <c r="AD146" s="68"/>
      <c r="AE146" s="68"/>
    </row>
    <row r="147" ht="26.25" customHeight="1">
      <c r="A147" s="68"/>
      <c r="B147" s="68"/>
      <c r="C147" s="61" t="s">
        <v>129</v>
      </c>
      <c r="D147" s="61" t="s">
        <v>130</v>
      </c>
      <c r="E147" s="68"/>
      <c r="F147" s="68"/>
      <c r="G147" s="68"/>
      <c r="H147" s="68"/>
      <c r="I147" s="68"/>
      <c r="J147" s="7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</row>
    <row r="148" ht="26.25" customHeight="1">
      <c r="A148" s="68"/>
      <c r="B148" s="68"/>
      <c r="C148" s="61" t="s">
        <v>129</v>
      </c>
      <c r="D148" s="61" t="s">
        <v>130</v>
      </c>
      <c r="E148" s="68"/>
      <c r="F148" s="68"/>
      <c r="G148" s="68"/>
      <c r="H148" s="68"/>
      <c r="I148" s="68"/>
      <c r="J148" s="7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  <c r="AA148" s="68"/>
      <c r="AB148" s="68"/>
      <c r="AC148" s="68"/>
      <c r="AD148" s="68"/>
      <c r="AE148" s="68"/>
    </row>
    <row r="149" ht="26.25" customHeight="1">
      <c r="A149" s="68"/>
      <c r="B149" s="68"/>
      <c r="C149" s="61" t="s">
        <v>129</v>
      </c>
      <c r="D149" s="61" t="s">
        <v>130</v>
      </c>
      <c r="E149" s="68"/>
      <c r="F149" s="68"/>
      <c r="G149" s="68"/>
      <c r="H149" s="68"/>
      <c r="I149" s="68"/>
      <c r="J149" s="7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  <c r="AA149" s="68"/>
      <c r="AB149" s="68"/>
      <c r="AC149" s="68"/>
      <c r="AD149" s="68"/>
      <c r="AE149" s="68"/>
    </row>
    <row r="150" ht="26.25" customHeight="1">
      <c r="A150" s="68"/>
      <c r="B150" s="68"/>
      <c r="C150" s="61" t="s">
        <v>129</v>
      </c>
      <c r="D150" s="61" t="s">
        <v>130</v>
      </c>
      <c r="E150" s="68"/>
      <c r="F150" s="68"/>
      <c r="G150" s="68"/>
      <c r="H150" s="68"/>
      <c r="I150" s="68"/>
      <c r="J150" s="7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  <c r="AA150" s="68"/>
      <c r="AB150" s="68"/>
      <c r="AC150" s="68"/>
      <c r="AD150" s="68"/>
      <c r="AE150" s="68"/>
    </row>
    <row r="151" ht="26.25" customHeight="1">
      <c r="A151" s="68"/>
      <c r="B151" s="68"/>
      <c r="C151" s="61" t="s">
        <v>129</v>
      </c>
      <c r="D151" s="61" t="s">
        <v>130</v>
      </c>
      <c r="E151" s="68"/>
      <c r="F151" s="68"/>
      <c r="G151" s="68"/>
      <c r="H151" s="68"/>
      <c r="I151" s="68"/>
      <c r="J151" s="7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  <c r="AA151" s="68"/>
      <c r="AB151" s="68"/>
      <c r="AC151" s="68"/>
      <c r="AD151" s="68"/>
      <c r="AE151" s="68"/>
    </row>
    <row r="152" ht="26.25" customHeight="1">
      <c r="A152" s="68"/>
      <c r="B152" s="68"/>
      <c r="C152" s="61" t="s">
        <v>129</v>
      </c>
      <c r="D152" s="61" t="s">
        <v>130</v>
      </c>
      <c r="E152" s="68"/>
      <c r="F152" s="68"/>
      <c r="G152" s="68"/>
      <c r="H152" s="68"/>
      <c r="I152" s="68"/>
      <c r="J152" s="7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  <c r="AA152" s="68"/>
      <c r="AB152" s="68"/>
      <c r="AC152" s="68"/>
      <c r="AD152" s="68"/>
      <c r="AE152" s="68"/>
    </row>
    <row r="153" ht="26.25" customHeight="1">
      <c r="A153" s="68"/>
      <c r="B153" s="68"/>
      <c r="C153" s="61" t="s">
        <v>129</v>
      </c>
      <c r="D153" s="61" t="s">
        <v>130</v>
      </c>
      <c r="E153" s="68"/>
      <c r="F153" s="68"/>
      <c r="G153" s="68"/>
      <c r="H153" s="68"/>
      <c r="I153" s="68"/>
      <c r="J153" s="7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  <c r="AA153" s="68"/>
      <c r="AB153" s="68"/>
      <c r="AC153" s="68"/>
      <c r="AD153" s="68"/>
      <c r="AE153" s="68"/>
    </row>
    <row r="154" ht="26.25" customHeight="1">
      <c r="A154" s="68"/>
      <c r="B154" s="68"/>
      <c r="C154" s="61" t="s">
        <v>129</v>
      </c>
      <c r="D154" s="61" t="s">
        <v>130</v>
      </c>
      <c r="E154" s="68"/>
      <c r="F154" s="68"/>
      <c r="G154" s="68"/>
      <c r="H154" s="68"/>
      <c r="I154" s="68"/>
      <c r="J154" s="7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  <c r="AA154" s="68"/>
      <c r="AB154" s="68"/>
      <c r="AC154" s="68"/>
      <c r="AD154" s="68"/>
      <c r="AE154" s="68"/>
    </row>
    <row r="155" ht="26.25" customHeight="1">
      <c r="A155" s="68"/>
      <c r="B155" s="68"/>
      <c r="C155" s="61" t="s">
        <v>129</v>
      </c>
      <c r="D155" s="61" t="s">
        <v>130</v>
      </c>
      <c r="E155" s="68"/>
      <c r="F155" s="68"/>
      <c r="G155" s="68"/>
      <c r="H155" s="68"/>
      <c r="I155" s="68"/>
      <c r="J155" s="7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8"/>
      <c r="AB155" s="68"/>
      <c r="AC155" s="68"/>
      <c r="AD155" s="68"/>
      <c r="AE155" s="68"/>
    </row>
    <row r="156" ht="26.25" customHeight="1">
      <c r="A156" s="68"/>
      <c r="B156" s="68"/>
      <c r="C156" s="61" t="s">
        <v>129</v>
      </c>
      <c r="D156" s="61" t="s">
        <v>130</v>
      </c>
      <c r="E156" s="68"/>
      <c r="F156" s="68"/>
      <c r="G156" s="68"/>
      <c r="H156" s="68"/>
      <c r="I156" s="68"/>
      <c r="J156" s="7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  <c r="AA156" s="68"/>
      <c r="AB156" s="68"/>
      <c r="AC156" s="68"/>
      <c r="AD156" s="68"/>
      <c r="AE156" s="68"/>
    </row>
    <row r="157" ht="26.25" customHeight="1">
      <c r="A157" s="68"/>
      <c r="B157" s="68"/>
      <c r="C157" s="61" t="s">
        <v>129</v>
      </c>
      <c r="D157" s="61" t="s">
        <v>130</v>
      </c>
      <c r="E157" s="68"/>
      <c r="F157" s="68"/>
      <c r="G157" s="68"/>
      <c r="H157" s="68"/>
      <c r="I157" s="68"/>
      <c r="J157" s="7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  <c r="AA157" s="68"/>
      <c r="AB157" s="68"/>
      <c r="AC157" s="68"/>
      <c r="AD157" s="68"/>
      <c r="AE157" s="68"/>
    </row>
    <row r="158" ht="26.25" customHeight="1">
      <c r="A158" s="68"/>
      <c r="B158" s="68"/>
      <c r="C158" s="61" t="s">
        <v>129</v>
      </c>
      <c r="D158" s="61" t="s">
        <v>130</v>
      </c>
      <c r="E158" s="68"/>
      <c r="F158" s="68"/>
      <c r="G158" s="68"/>
      <c r="H158" s="68"/>
      <c r="I158" s="68"/>
      <c r="J158" s="7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</row>
    <row r="159" ht="26.25" customHeight="1">
      <c r="A159" s="68"/>
      <c r="B159" s="68"/>
      <c r="C159" s="61" t="s">
        <v>129</v>
      </c>
      <c r="D159" s="61" t="s">
        <v>130</v>
      </c>
      <c r="E159" s="68"/>
      <c r="F159" s="68"/>
      <c r="G159" s="68"/>
      <c r="H159" s="68"/>
      <c r="I159" s="68"/>
      <c r="J159" s="7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  <c r="AA159" s="68"/>
      <c r="AB159" s="68"/>
      <c r="AC159" s="68"/>
      <c r="AD159" s="68"/>
      <c r="AE159" s="68"/>
    </row>
    <row r="160" ht="26.25" customHeight="1">
      <c r="A160" s="68"/>
      <c r="B160" s="68"/>
      <c r="C160" s="61" t="s">
        <v>129</v>
      </c>
      <c r="D160" s="61" t="s">
        <v>130</v>
      </c>
      <c r="E160" s="68"/>
      <c r="F160" s="68"/>
      <c r="G160" s="68"/>
      <c r="H160" s="68"/>
      <c r="I160" s="68"/>
      <c r="J160" s="7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  <c r="AA160" s="68"/>
      <c r="AB160" s="68"/>
      <c r="AC160" s="68"/>
      <c r="AD160" s="68"/>
      <c r="AE160" s="68"/>
    </row>
    <row r="161" ht="26.25" customHeight="1">
      <c r="A161" s="68"/>
      <c r="B161" s="68"/>
      <c r="C161" s="61" t="s">
        <v>129</v>
      </c>
      <c r="D161" s="61" t="s">
        <v>130</v>
      </c>
      <c r="E161" s="68"/>
      <c r="F161" s="68"/>
      <c r="G161" s="68"/>
      <c r="H161" s="68"/>
      <c r="I161" s="68"/>
      <c r="J161" s="7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  <c r="AA161" s="68"/>
      <c r="AB161" s="68"/>
      <c r="AC161" s="68"/>
      <c r="AD161" s="68"/>
      <c r="AE161" s="68"/>
    </row>
    <row r="162" ht="26.25" customHeight="1">
      <c r="A162" s="68"/>
      <c r="B162" s="68"/>
      <c r="C162" s="61" t="s">
        <v>129</v>
      </c>
      <c r="D162" s="61" t="s">
        <v>130</v>
      </c>
      <c r="E162" s="68"/>
      <c r="F162" s="68"/>
      <c r="G162" s="68"/>
      <c r="H162" s="68"/>
      <c r="I162" s="68"/>
      <c r="J162" s="7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  <c r="AA162" s="68"/>
      <c r="AB162" s="68"/>
      <c r="AC162" s="68"/>
      <c r="AD162" s="68"/>
      <c r="AE162" s="68"/>
    </row>
    <row r="163" ht="26.25" customHeight="1">
      <c r="A163" s="68"/>
      <c r="B163" s="68"/>
      <c r="C163" s="61" t="s">
        <v>129</v>
      </c>
      <c r="D163" s="61" t="s">
        <v>130</v>
      </c>
      <c r="E163" s="68"/>
      <c r="F163" s="68"/>
      <c r="G163" s="68"/>
      <c r="H163" s="68"/>
      <c r="I163" s="68"/>
      <c r="J163" s="7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  <c r="AA163" s="68"/>
      <c r="AB163" s="68"/>
      <c r="AC163" s="68"/>
      <c r="AD163" s="68"/>
      <c r="AE163" s="68"/>
    </row>
    <row r="164" ht="26.25" customHeight="1">
      <c r="A164" s="68"/>
      <c r="B164" s="68"/>
      <c r="C164" s="61" t="s">
        <v>129</v>
      </c>
      <c r="D164" s="61" t="s">
        <v>130</v>
      </c>
      <c r="E164" s="68"/>
      <c r="F164" s="68"/>
      <c r="G164" s="68"/>
      <c r="H164" s="68"/>
      <c r="I164" s="68"/>
      <c r="J164" s="7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  <c r="AA164" s="68"/>
      <c r="AB164" s="68"/>
      <c r="AC164" s="68"/>
      <c r="AD164" s="68"/>
      <c r="AE164" s="68"/>
    </row>
    <row r="165" ht="26.25" customHeight="1">
      <c r="A165" s="68"/>
      <c r="B165" s="68"/>
      <c r="C165" s="61" t="s">
        <v>129</v>
      </c>
      <c r="D165" s="61" t="s">
        <v>130</v>
      </c>
      <c r="E165" s="68"/>
      <c r="F165" s="68"/>
      <c r="G165" s="68"/>
      <c r="H165" s="68"/>
      <c r="I165" s="68"/>
      <c r="J165" s="7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  <c r="AA165" s="68"/>
      <c r="AB165" s="68"/>
      <c r="AC165" s="68"/>
      <c r="AD165" s="68"/>
      <c r="AE165" s="68"/>
    </row>
    <row r="166" ht="26.25" customHeight="1">
      <c r="A166" s="68"/>
      <c r="B166" s="68"/>
      <c r="C166" s="61" t="s">
        <v>129</v>
      </c>
      <c r="D166" s="61" t="s">
        <v>130</v>
      </c>
      <c r="E166" s="68"/>
      <c r="F166" s="68"/>
      <c r="G166" s="68"/>
      <c r="H166" s="68"/>
      <c r="I166" s="68"/>
      <c r="J166" s="7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  <c r="AA166" s="68"/>
      <c r="AB166" s="68"/>
      <c r="AC166" s="68"/>
      <c r="AD166" s="68"/>
      <c r="AE166" s="68"/>
    </row>
    <row r="167" ht="26.25" customHeight="1">
      <c r="A167" s="68"/>
      <c r="B167" s="68"/>
      <c r="C167" s="61" t="s">
        <v>129</v>
      </c>
      <c r="D167" s="61" t="s">
        <v>130</v>
      </c>
      <c r="E167" s="68"/>
      <c r="F167" s="68"/>
      <c r="G167" s="68"/>
      <c r="H167" s="68"/>
      <c r="I167" s="68"/>
      <c r="J167" s="7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  <c r="AA167" s="68"/>
      <c r="AB167" s="68"/>
      <c r="AC167" s="68"/>
      <c r="AD167" s="68"/>
      <c r="AE167" s="68"/>
    </row>
    <row r="168" ht="26.25" customHeight="1">
      <c r="A168" s="68"/>
      <c r="B168" s="68"/>
      <c r="C168" s="61" t="s">
        <v>129</v>
      </c>
      <c r="D168" s="61" t="s">
        <v>130</v>
      </c>
      <c r="E168" s="68"/>
      <c r="F168" s="68"/>
      <c r="G168" s="68"/>
      <c r="H168" s="68"/>
      <c r="I168" s="68"/>
      <c r="J168" s="7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  <c r="AA168" s="68"/>
      <c r="AB168" s="68"/>
      <c r="AC168" s="68"/>
      <c r="AD168" s="68"/>
      <c r="AE168" s="68"/>
    </row>
    <row r="169" ht="26.25" customHeight="1">
      <c r="A169" s="68"/>
      <c r="B169" s="68"/>
      <c r="C169" s="61" t="s">
        <v>129</v>
      </c>
      <c r="D169" s="61" t="s">
        <v>130</v>
      </c>
      <c r="E169" s="68"/>
      <c r="F169" s="68"/>
      <c r="G169" s="68"/>
      <c r="H169" s="68"/>
      <c r="I169" s="68"/>
      <c r="J169" s="7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  <c r="AA169" s="68"/>
      <c r="AB169" s="68"/>
      <c r="AC169" s="68"/>
      <c r="AD169" s="68"/>
      <c r="AE169" s="68"/>
    </row>
    <row r="170" ht="26.25" customHeight="1">
      <c r="A170" s="68"/>
      <c r="B170" s="68"/>
      <c r="C170" s="61" t="s">
        <v>129</v>
      </c>
      <c r="D170" s="61" t="s">
        <v>130</v>
      </c>
      <c r="E170" s="68"/>
      <c r="F170" s="68"/>
      <c r="G170" s="68"/>
      <c r="H170" s="68"/>
      <c r="I170" s="68"/>
      <c r="J170" s="7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  <c r="AD170" s="68"/>
      <c r="AE170" s="68"/>
    </row>
    <row r="171" ht="26.25" customHeight="1">
      <c r="A171" s="68"/>
      <c r="B171" s="68"/>
      <c r="C171" s="61" t="s">
        <v>129</v>
      </c>
      <c r="D171" s="61" t="s">
        <v>130</v>
      </c>
      <c r="E171" s="68"/>
      <c r="F171" s="68"/>
      <c r="G171" s="68"/>
      <c r="H171" s="68"/>
      <c r="I171" s="68"/>
      <c r="J171" s="7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</row>
    <row r="172" ht="26.25" customHeight="1">
      <c r="A172" s="68"/>
      <c r="B172" s="68"/>
      <c r="C172" s="61" t="s">
        <v>129</v>
      </c>
      <c r="D172" s="61" t="s">
        <v>130</v>
      </c>
      <c r="E172" s="68"/>
      <c r="F172" s="68"/>
      <c r="G172" s="68"/>
      <c r="H172" s="68"/>
      <c r="I172" s="68"/>
      <c r="J172" s="7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  <c r="AE172" s="68"/>
    </row>
    <row r="173" ht="26.25" customHeight="1">
      <c r="A173" s="68"/>
      <c r="B173" s="68"/>
      <c r="C173" s="61" t="s">
        <v>129</v>
      </c>
      <c r="D173" s="61" t="s">
        <v>130</v>
      </c>
      <c r="E173" s="68"/>
      <c r="F173" s="68"/>
      <c r="G173" s="68"/>
      <c r="H173" s="68"/>
      <c r="I173" s="68"/>
      <c r="J173" s="7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</row>
    <row r="174" ht="26.25" customHeight="1">
      <c r="A174" s="68"/>
      <c r="B174" s="68"/>
      <c r="C174" s="61" t="s">
        <v>129</v>
      </c>
      <c r="D174" s="61" t="s">
        <v>130</v>
      </c>
      <c r="E174" s="68"/>
      <c r="F174" s="68"/>
      <c r="G174" s="68"/>
      <c r="H174" s="68"/>
      <c r="I174" s="68"/>
      <c r="J174" s="7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</row>
    <row r="175" ht="26.25" customHeight="1">
      <c r="A175" s="68"/>
      <c r="B175" s="68"/>
      <c r="C175" s="61" t="s">
        <v>129</v>
      </c>
      <c r="D175" s="61" t="s">
        <v>130</v>
      </c>
      <c r="E175" s="68"/>
      <c r="F175" s="68"/>
      <c r="G175" s="68"/>
      <c r="H175" s="68"/>
      <c r="I175" s="68"/>
      <c r="J175" s="7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  <c r="AA175" s="68"/>
      <c r="AB175" s="68"/>
      <c r="AC175" s="68"/>
      <c r="AD175" s="68"/>
      <c r="AE175" s="68"/>
    </row>
    <row r="176" ht="26.25" customHeight="1">
      <c r="A176" s="68"/>
      <c r="B176" s="68"/>
      <c r="C176" s="61" t="s">
        <v>129</v>
      </c>
      <c r="D176" s="61" t="s">
        <v>130</v>
      </c>
      <c r="E176" s="68"/>
      <c r="F176" s="68"/>
      <c r="G176" s="68"/>
      <c r="H176" s="68"/>
      <c r="I176" s="68"/>
      <c r="J176" s="7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  <c r="AA176" s="68"/>
      <c r="AB176" s="68"/>
      <c r="AC176" s="68"/>
      <c r="AD176" s="68"/>
      <c r="AE176" s="68"/>
    </row>
    <row r="177" ht="26.25" customHeight="1">
      <c r="A177" s="68"/>
      <c r="B177" s="68"/>
      <c r="C177" s="61" t="s">
        <v>129</v>
      </c>
      <c r="D177" s="61" t="s">
        <v>130</v>
      </c>
      <c r="E177" s="68"/>
      <c r="F177" s="68"/>
      <c r="G177" s="68"/>
      <c r="H177" s="68"/>
      <c r="I177" s="68"/>
      <c r="J177" s="7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  <c r="AA177" s="68"/>
      <c r="AB177" s="68"/>
      <c r="AC177" s="68"/>
      <c r="AD177" s="68"/>
      <c r="AE177" s="68"/>
    </row>
    <row r="178" ht="26.25" customHeight="1">
      <c r="A178" s="68"/>
      <c r="B178" s="68"/>
      <c r="C178" s="61" t="s">
        <v>129</v>
      </c>
      <c r="D178" s="61" t="s">
        <v>130</v>
      </c>
      <c r="E178" s="68"/>
      <c r="F178" s="68"/>
      <c r="G178" s="68"/>
      <c r="H178" s="68"/>
      <c r="I178" s="68"/>
      <c r="J178" s="7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  <c r="AA178" s="68"/>
      <c r="AB178" s="68"/>
      <c r="AC178" s="68"/>
      <c r="AD178" s="68"/>
      <c r="AE178" s="68"/>
    </row>
    <row r="179" ht="26.25" customHeight="1">
      <c r="A179" s="68"/>
      <c r="B179" s="68"/>
      <c r="C179" s="61" t="s">
        <v>129</v>
      </c>
      <c r="D179" s="61" t="s">
        <v>130</v>
      </c>
      <c r="E179" s="68"/>
      <c r="F179" s="68"/>
      <c r="G179" s="68"/>
      <c r="H179" s="68"/>
      <c r="I179" s="68"/>
      <c r="J179" s="7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  <c r="AA179" s="68"/>
      <c r="AB179" s="68"/>
      <c r="AC179" s="68"/>
      <c r="AD179" s="68"/>
      <c r="AE179" s="68"/>
    </row>
    <row r="180" ht="26.25" customHeight="1">
      <c r="A180" s="68"/>
      <c r="B180" s="68"/>
      <c r="C180" s="61" t="s">
        <v>129</v>
      </c>
      <c r="D180" s="61" t="s">
        <v>130</v>
      </c>
      <c r="E180" s="68"/>
      <c r="F180" s="68"/>
      <c r="G180" s="68"/>
      <c r="H180" s="68"/>
      <c r="I180" s="68"/>
      <c r="J180" s="7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  <c r="AA180" s="68"/>
      <c r="AB180" s="68"/>
      <c r="AC180" s="68"/>
      <c r="AD180" s="68"/>
      <c r="AE180" s="68"/>
    </row>
    <row r="181" ht="26.25" customHeight="1">
      <c r="A181" s="68"/>
      <c r="B181" s="68"/>
      <c r="C181" s="61" t="s">
        <v>129</v>
      </c>
      <c r="D181" s="61" t="s">
        <v>130</v>
      </c>
      <c r="E181" s="68"/>
      <c r="F181" s="68"/>
      <c r="G181" s="68"/>
      <c r="H181" s="68"/>
      <c r="I181" s="68"/>
      <c r="J181" s="7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  <c r="AA181" s="68"/>
      <c r="AB181" s="68"/>
      <c r="AC181" s="68"/>
      <c r="AD181" s="68"/>
      <c r="AE181" s="68"/>
    </row>
    <row r="182" ht="26.25" customHeight="1">
      <c r="A182" s="68"/>
      <c r="B182" s="68"/>
      <c r="C182" s="61" t="s">
        <v>129</v>
      </c>
      <c r="D182" s="61" t="s">
        <v>130</v>
      </c>
      <c r="E182" s="68"/>
      <c r="F182" s="68"/>
      <c r="G182" s="68"/>
      <c r="H182" s="68"/>
      <c r="I182" s="68"/>
      <c r="J182" s="7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  <c r="AA182" s="68"/>
      <c r="AB182" s="68"/>
      <c r="AC182" s="68"/>
      <c r="AD182" s="68"/>
      <c r="AE182" s="68"/>
    </row>
    <row r="183" ht="26.25" customHeight="1">
      <c r="A183" s="68"/>
      <c r="B183" s="68"/>
      <c r="C183" s="61" t="s">
        <v>129</v>
      </c>
      <c r="D183" s="61" t="s">
        <v>130</v>
      </c>
      <c r="E183" s="68"/>
      <c r="F183" s="68"/>
      <c r="G183" s="68"/>
      <c r="H183" s="68"/>
      <c r="I183" s="68"/>
      <c r="J183" s="7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  <c r="AA183" s="68"/>
      <c r="AB183" s="68"/>
      <c r="AC183" s="68"/>
      <c r="AD183" s="68"/>
      <c r="AE183" s="68"/>
    </row>
    <row r="184" ht="26.25" customHeight="1">
      <c r="A184" s="68"/>
      <c r="B184" s="68"/>
      <c r="C184" s="61" t="s">
        <v>129</v>
      </c>
      <c r="D184" s="61" t="s">
        <v>130</v>
      </c>
      <c r="E184" s="68"/>
      <c r="F184" s="68"/>
      <c r="G184" s="68"/>
      <c r="H184" s="68"/>
      <c r="I184" s="68"/>
      <c r="J184" s="7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  <c r="AA184" s="68"/>
      <c r="AB184" s="68"/>
      <c r="AC184" s="68"/>
      <c r="AD184" s="68"/>
      <c r="AE184" s="68"/>
    </row>
    <row r="185" ht="26.25" customHeight="1">
      <c r="A185" s="68"/>
      <c r="B185" s="68"/>
      <c r="C185" s="61" t="s">
        <v>129</v>
      </c>
      <c r="D185" s="61" t="s">
        <v>130</v>
      </c>
      <c r="E185" s="68"/>
      <c r="F185" s="68"/>
      <c r="G185" s="68"/>
      <c r="H185" s="68"/>
      <c r="I185" s="68"/>
      <c r="J185" s="7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</row>
    <row r="186" ht="26.25" customHeight="1">
      <c r="A186" s="68"/>
      <c r="B186" s="68"/>
      <c r="C186" s="61" t="s">
        <v>129</v>
      </c>
      <c r="D186" s="61" t="s">
        <v>130</v>
      </c>
      <c r="E186" s="68"/>
      <c r="F186" s="68"/>
      <c r="G186" s="68"/>
      <c r="H186" s="68"/>
      <c r="I186" s="68"/>
      <c r="J186" s="7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  <c r="AA186" s="68"/>
      <c r="AB186" s="68"/>
      <c r="AC186" s="68"/>
      <c r="AD186" s="68"/>
      <c r="AE186" s="68"/>
    </row>
    <row r="187" ht="26.25" customHeight="1">
      <c r="A187" s="68"/>
      <c r="B187" s="68"/>
      <c r="C187" s="61" t="s">
        <v>129</v>
      </c>
      <c r="D187" s="61" t="s">
        <v>130</v>
      </c>
      <c r="E187" s="68"/>
      <c r="F187" s="68"/>
      <c r="G187" s="68"/>
      <c r="H187" s="68"/>
      <c r="I187" s="68"/>
      <c r="J187" s="7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  <c r="AA187" s="68"/>
      <c r="AB187" s="68"/>
      <c r="AC187" s="68"/>
      <c r="AD187" s="68"/>
      <c r="AE187" s="68"/>
    </row>
    <row r="188" ht="26.25" customHeight="1">
      <c r="A188" s="68"/>
      <c r="B188" s="68"/>
      <c r="C188" s="61" t="s">
        <v>129</v>
      </c>
      <c r="D188" s="61" t="s">
        <v>130</v>
      </c>
      <c r="E188" s="68"/>
      <c r="F188" s="68"/>
      <c r="G188" s="68"/>
      <c r="H188" s="68"/>
      <c r="I188" s="68"/>
      <c r="J188" s="7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  <c r="AA188" s="68"/>
      <c r="AB188" s="68"/>
      <c r="AC188" s="68"/>
      <c r="AD188" s="68"/>
      <c r="AE188" s="68"/>
    </row>
    <row r="189" ht="26.25" customHeight="1">
      <c r="A189" s="68"/>
      <c r="B189" s="68"/>
      <c r="C189" s="61" t="s">
        <v>129</v>
      </c>
      <c r="D189" s="61" t="s">
        <v>130</v>
      </c>
      <c r="E189" s="68"/>
      <c r="F189" s="68"/>
      <c r="G189" s="68"/>
      <c r="H189" s="68"/>
      <c r="I189" s="68"/>
      <c r="J189" s="7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  <c r="AA189" s="68"/>
      <c r="AB189" s="68"/>
      <c r="AC189" s="68"/>
      <c r="AD189" s="68"/>
      <c r="AE189" s="68"/>
    </row>
    <row r="190" ht="26.25" customHeight="1">
      <c r="A190" s="68"/>
      <c r="B190" s="68"/>
      <c r="C190" s="61" t="s">
        <v>129</v>
      </c>
      <c r="D190" s="61" t="s">
        <v>130</v>
      </c>
      <c r="E190" s="68"/>
      <c r="F190" s="68"/>
      <c r="G190" s="68"/>
      <c r="H190" s="68"/>
      <c r="I190" s="68"/>
      <c r="J190" s="7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  <c r="AA190" s="68"/>
      <c r="AB190" s="68"/>
      <c r="AC190" s="68"/>
      <c r="AD190" s="68"/>
      <c r="AE190" s="68"/>
    </row>
    <row r="191" ht="26.25" customHeight="1">
      <c r="A191" s="68"/>
      <c r="B191" s="68"/>
      <c r="C191" s="61" t="s">
        <v>129</v>
      </c>
      <c r="D191" s="61" t="s">
        <v>130</v>
      </c>
      <c r="E191" s="68"/>
      <c r="F191" s="68"/>
      <c r="G191" s="68"/>
      <c r="H191" s="68"/>
      <c r="I191" s="68"/>
      <c r="J191" s="7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  <c r="AA191" s="68"/>
      <c r="AB191" s="68"/>
      <c r="AC191" s="68"/>
      <c r="AD191" s="68"/>
      <c r="AE191" s="68"/>
    </row>
    <row r="192" ht="26.25" customHeight="1">
      <c r="A192" s="68"/>
      <c r="B192" s="68"/>
      <c r="C192" s="61" t="s">
        <v>129</v>
      </c>
      <c r="D192" s="61" t="s">
        <v>130</v>
      </c>
      <c r="E192" s="68"/>
      <c r="F192" s="68"/>
      <c r="G192" s="68"/>
      <c r="H192" s="68"/>
      <c r="I192" s="68"/>
      <c r="J192" s="7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  <c r="AA192" s="68"/>
      <c r="AB192" s="68"/>
      <c r="AC192" s="68"/>
      <c r="AD192" s="68"/>
      <c r="AE192" s="68"/>
    </row>
    <row r="193" ht="26.25" customHeight="1">
      <c r="A193" s="68"/>
      <c r="B193" s="68"/>
      <c r="C193" s="61" t="s">
        <v>129</v>
      </c>
      <c r="D193" s="61" t="s">
        <v>130</v>
      </c>
      <c r="E193" s="68"/>
      <c r="F193" s="68"/>
      <c r="G193" s="68"/>
      <c r="H193" s="68"/>
      <c r="I193" s="68"/>
      <c r="J193" s="7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8"/>
      <c r="AB193" s="68"/>
      <c r="AC193" s="68"/>
      <c r="AD193" s="68"/>
      <c r="AE193" s="68"/>
    </row>
    <row r="194" ht="26.25" customHeight="1">
      <c r="A194" s="68"/>
      <c r="B194" s="68"/>
      <c r="C194" s="61" t="s">
        <v>129</v>
      </c>
      <c r="D194" s="61" t="s">
        <v>130</v>
      </c>
      <c r="E194" s="68"/>
      <c r="F194" s="68"/>
      <c r="G194" s="68"/>
      <c r="H194" s="68"/>
      <c r="I194" s="68"/>
      <c r="J194" s="7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  <c r="AA194" s="68"/>
      <c r="AB194" s="68"/>
      <c r="AC194" s="68"/>
      <c r="AD194" s="68"/>
      <c r="AE194" s="68"/>
    </row>
    <row r="195" ht="26.25" customHeight="1">
      <c r="A195" s="68"/>
      <c r="B195" s="68"/>
      <c r="C195" s="61" t="s">
        <v>129</v>
      </c>
      <c r="D195" s="61" t="s">
        <v>130</v>
      </c>
      <c r="E195" s="68"/>
      <c r="F195" s="68"/>
      <c r="G195" s="68"/>
      <c r="H195" s="68"/>
      <c r="I195" s="68"/>
      <c r="J195" s="7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  <c r="AA195" s="68"/>
      <c r="AB195" s="68"/>
      <c r="AC195" s="68"/>
      <c r="AD195" s="68"/>
      <c r="AE195" s="68"/>
    </row>
    <row r="196" ht="26.25" customHeight="1">
      <c r="A196" s="68"/>
      <c r="B196" s="68"/>
      <c r="C196" s="61" t="s">
        <v>129</v>
      </c>
      <c r="D196" s="61" t="s">
        <v>130</v>
      </c>
      <c r="E196" s="68"/>
      <c r="F196" s="68"/>
      <c r="G196" s="68"/>
      <c r="H196" s="68"/>
      <c r="I196" s="68"/>
      <c r="J196" s="7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</row>
    <row r="197" ht="26.25" customHeight="1">
      <c r="A197" s="68"/>
      <c r="B197" s="68"/>
      <c r="C197" s="61" t="s">
        <v>129</v>
      </c>
      <c r="D197" s="61" t="s">
        <v>130</v>
      </c>
      <c r="E197" s="68"/>
      <c r="F197" s="68"/>
      <c r="G197" s="68"/>
      <c r="H197" s="68"/>
      <c r="I197" s="68"/>
      <c r="J197" s="7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  <c r="AA197" s="68"/>
      <c r="AB197" s="68"/>
      <c r="AC197" s="68"/>
      <c r="AD197" s="68"/>
      <c r="AE197" s="68"/>
    </row>
    <row r="198" ht="26.25" customHeight="1">
      <c r="A198" s="68"/>
      <c r="B198" s="68"/>
      <c r="C198" s="61" t="s">
        <v>129</v>
      </c>
      <c r="D198" s="61" t="s">
        <v>130</v>
      </c>
      <c r="E198" s="68"/>
      <c r="F198" s="68"/>
      <c r="G198" s="68"/>
      <c r="H198" s="68"/>
      <c r="I198" s="68"/>
      <c r="J198" s="7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  <c r="AA198" s="68"/>
      <c r="AB198" s="68"/>
      <c r="AC198" s="68"/>
      <c r="AD198" s="68"/>
      <c r="AE198" s="68"/>
    </row>
    <row r="199" ht="26.25" customHeight="1">
      <c r="A199" s="68"/>
      <c r="B199" s="68"/>
      <c r="C199" s="61" t="s">
        <v>129</v>
      </c>
      <c r="D199" s="61" t="s">
        <v>130</v>
      </c>
      <c r="E199" s="68"/>
      <c r="F199" s="68"/>
      <c r="G199" s="68"/>
      <c r="H199" s="68"/>
      <c r="I199" s="68"/>
      <c r="J199" s="7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  <c r="AA199" s="68"/>
      <c r="AB199" s="68"/>
      <c r="AC199" s="68"/>
      <c r="AD199" s="68"/>
      <c r="AE199" s="68"/>
    </row>
    <row r="200" ht="26.25" customHeight="1">
      <c r="A200" s="68"/>
      <c r="B200" s="68"/>
      <c r="C200" s="61" t="s">
        <v>129</v>
      </c>
      <c r="D200" s="61" t="s">
        <v>130</v>
      </c>
      <c r="E200" s="68"/>
      <c r="F200" s="68"/>
      <c r="G200" s="68"/>
      <c r="H200" s="68"/>
      <c r="I200" s="68"/>
      <c r="J200" s="7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  <c r="AA200" s="68"/>
      <c r="AB200" s="68"/>
      <c r="AC200" s="68"/>
      <c r="AD200" s="68"/>
      <c r="AE200" s="68"/>
    </row>
    <row r="201" ht="26.25" customHeight="1">
      <c r="A201" s="68"/>
      <c r="B201" s="68"/>
      <c r="C201" s="61" t="s">
        <v>129</v>
      </c>
      <c r="D201" s="61" t="s">
        <v>130</v>
      </c>
      <c r="E201" s="68"/>
      <c r="F201" s="68"/>
      <c r="G201" s="68"/>
      <c r="H201" s="68"/>
      <c r="I201" s="68"/>
      <c r="J201" s="7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  <c r="AA201" s="68"/>
      <c r="AB201" s="68"/>
      <c r="AC201" s="68"/>
      <c r="AD201" s="68"/>
      <c r="AE201" s="68"/>
    </row>
    <row r="202" ht="26.25" customHeight="1">
      <c r="A202" s="68"/>
      <c r="B202" s="68"/>
      <c r="C202" s="61" t="s">
        <v>129</v>
      </c>
      <c r="D202" s="61" t="s">
        <v>130</v>
      </c>
      <c r="E202" s="68"/>
      <c r="F202" s="68"/>
      <c r="G202" s="68"/>
      <c r="H202" s="68"/>
      <c r="I202" s="68"/>
      <c r="J202" s="7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  <c r="AA202" s="68"/>
      <c r="AB202" s="68"/>
      <c r="AC202" s="68"/>
      <c r="AD202" s="68"/>
      <c r="AE202" s="68"/>
    </row>
    <row r="203" ht="26.25" customHeight="1">
      <c r="A203" s="68"/>
      <c r="B203" s="68"/>
      <c r="C203" s="61" t="s">
        <v>129</v>
      </c>
      <c r="D203" s="61" t="s">
        <v>130</v>
      </c>
      <c r="E203" s="68"/>
      <c r="F203" s="68"/>
      <c r="G203" s="68"/>
      <c r="H203" s="68"/>
      <c r="I203" s="68"/>
      <c r="J203" s="7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  <c r="AA203" s="68"/>
      <c r="AB203" s="68"/>
      <c r="AC203" s="68"/>
      <c r="AD203" s="68"/>
      <c r="AE203" s="68"/>
    </row>
    <row r="204" ht="26.25" customHeight="1">
      <c r="A204" s="68"/>
      <c r="B204" s="68"/>
      <c r="C204" s="61" t="s">
        <v>129</v>
      </c>
      <c r="D204" s="61" t="s">
        <v>130</v>
      </c>
      <c r="E204" s="68"/>
      <c r="F204" s="68"/>
      <c r="G204" s="68"/>
      <c r="H204" s="68"/>
      <c r="I204" s="68"/>
      <c r="J204" s="7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  <c r="AA204" s="68"/>
      <c r="AB204" s="68"/>
      <c r="AC204" s="68"/>
      <c r="AD204" s="68"/>
      <c r="AE204" s="68"/>
    </row>
    <row r="205" ht="26.25" customHeight="1">
      <c r="A205" s="68"/>
      <c r="B205" s="68"/>
      <c r="C205" s="61" t="s">
        <v>129</v>
      </c>
      <c r="D205" s="61" t="s">
        <v>130</v>
      </c>
      <c r="E205" s="68"/>
      <c r="F205" s="68"/>
      <c r="G205" s="68"/>
      <c r="H205" s="68"/>
      <c r="I205" s="68"/>
      <c r="J205" s="7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  <c r="AA205" s="68"/>
      <c r="AB205" s="68"/>
      <c r="AC205" s="68"/>
      <c r="AD205" s="68"/>
      <c r="AE205" s="68"/>
    </row>
    <row r="206" ht="26.25" customHeight="1">
      <c r="A206" s="68"/>
      <c r="B206" s="68"/>
      <c r="C206" s="61" t="s">
        <v>129</v>
      </c>
      <c r="D206" s="61" t="s">
        <v>130</v>
      </c>
      <c r="E206" s="68"/>
      <c r="F206" s="68"/>
      <c r="G206" s="68"/>
      <c r="H206" s="68"/>
      <c r="I206" s="68"/>
      <c r="J206" s="7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  <c r="AA206" s="68"/>
      <c r="AB206" s="68"/>
      <c r="AC206" s="68"/>
      <c r="AD206" s="68"/>
      <c r="AE206" s="68"/>
    </row>
    <row r="207" ht="26.25" customHeight="1">
      <c r="A207" s="68"/>
      <c r="B207" s="68"/>
      <c r="C207" s="61" t="s">
        <v>129</v>
      </c>
      <c r="D207" s="61" t="s">
        <v>130</v>
      </c>
      <c r="E207" s="68"/>
      <c r="F207" s="68"/>
      <c r="G207" s="68"/>
      <c r="H207" s="68"/>
      <c r="I207" s="68"/>
      <c r="J207" s="7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  <c r="AA207" s="68"/>
      <c r="AB207" s="68"/>
      <c r="AC207" s="68"/>
      <c r="AD207" s="68"/>
      <c r="AE207" s="68"/>
    </row>
    <row r="208" ht="26.25" customHeight="1">
      <c r="A208" s="68"/>
      <c r="B208" s="68"/>
      <c r="C208" s="61" t="s">
        <v>129</v>
      </c>
      <c r="D208" s="61" t="s">
        <v>130</v>
      </c>
      <c r="E208" s="68"/>
      <c r="F208" s="68"/>
      <c r="G208" s="68"/>
      <c r="H208" s="68"/>
      <c r="I208" s="68"/>
      <c r="J208" s="7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</row>
    <row r="209" ht="26.25" customHeight="1">
      <c r="A209" s="68"/>
      <c r="B209" s="68"/>
      <c r="C209" s="61" t="s">
        <v>129</v>
      </c>
      <c r="D209" s="61" t="s">
        <v>130</v>
      </c>
      <c r="E209" s="68"/>
      <c r="F209" s="68"/>
      <c r="G209" s="68"/>
      <c r="H209" s="68"/>
      <c r="I209" s="68"/>
      <c r="J209" s="7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</row>
    <row r="210" ht="26.25" customHeight="1">
      <c r="A210" s="68"/>
      <c r="B210" s="68"/>
      <c r="C210" s="61" t="s">
        <v>129</v>
      </c>
      <c r="D210" s="61" t="s">
        <v>130</v>
      </c>
      <c r="E210" s="68"/>
      <c r="F210" s="68"/>
      <c r="G210" s="68"/>
      <c r="H210" s="68"/>
      <c r="I210" s="68"/>
      <c r="J210" s="7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</row>
    <row r="211" ht="26.25" customHeight="1">
      <c r="A211" s="68"/>
      <c r="B211" s="68"/>
      <c r="C211" s="61" t="s">
        <v>129</v>
      </c>
      <c r="D211" s="61" t="s">
        <v>130</v>
      </c>
      <c r="E211" s="68"/>
      <c r="F211" s="68"/>
      <c r="G211" s="68"/>
      <c r="H211" s="68"/>
      <c r="I211" s="68"/>
      <c r="J211" s="7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  <c r="AA211" s="68"/>
      <c r="AB211" s="68"/>
      <c r="AC211" s="68"/>
      <c r="AD211" s="68"/>
      <c r="AE211" s="68"/>
    </row>
    <row r="212" ht="26.25" customHeight="1">
      <c r="A212" s="68"/>
      <c r="B212" s="68"/>
      <c r="C212" s="61" t="s">
        <v>129</v>
      </c>
      <c r="D212" s="61" t="s">
        <v>130</v>
      </c>
      <c r="E212" s="68"/>
      <c r="F212" s="68"/>
      <c r="G212" s="68"/>
      <c r="H212" s="68"/>
      <c r="I212" s="68"/>
      <c r="J212" s="7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  <c r="AA212" s="68"/>
      <c r="AB212" s="68"/>
      <c r="AC212" s="68"/>
      <c r="AD212" s="68"/>
      <c r="AE212" s="68"/>
    </row>
    <row r="213" ht="26.25" customHeight="1">
      <c r="A213" s="68"/>
      <c r="B213" s="68"/>
      <c r="C213" s="61" t="s">
        <v>129</v>
      </c>
      <c r="D213" s="61" t="s">
        <v>130</v>
      </c>
      <c r="E213" s="68"/>
      <c r="F213" s="68"/>
      <c r="G213" s="68"/>
      <c r="H213" s="68"/>
      <c r="I213" s="68"/>
      <c r="J213" s="7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  <c r="AA213" s="68"/>
      <c r="AB213" s="68"/>
      <c r="AC213" s="68"/>
      <c r="AD213" s="68"/>
      <c r="AE213" s="68"/>
    </row>
    <row r="214" ht="26.25" customHeight="1">
      <c r="A214" s="68"/>
      <c r="B214" s="68"/>
      <c r="C214" s="61" t="s">
        <v>129</v>
      </c>
      <c r="D214" s="61" t="s">
        <v>130</v>
      </c>
      <c r="E214" s="68"/>
      <c r="F214" s="68"/>
      <c r="G214" s="68"/>
      <c r="H214" s="68"/>
      <c r="I214" s="68"/>
      <c r="J214" s="7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  <c r="AA214" s="68"/>
      <c r="AB214" s="68"/>
      <c r="AC214" s="68"/>
      <c r="AD214" s="68"/>
      <c r="AE214" s="68"/>
    </row>
    <row r="215" ht="26.25" customHeight="1">
      <c r="A215" s="68"/>
      <c r="B215" s="68"/>
      <c r="C215" s="61" t="s">
        <v>129</v>
      </c>
      <c r="D215" s="61" t="s">
        <v>130</v>
      </c>
      <c r="E215" s="68"/>
      <c r="F215" s="68"/>
      <c r="G215" s="68"/>
      <c r="H215" s="68"/>
      <c r="I215" s="68"/>
      <c r="J215" s="7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  <c r="AA215" s="68"/>
      <c r="AB215" s="68"/>
      <c r="AC215" s="68"/>
      <c r="AD215" s="68"/>
      <c r="AE215" s="68"/>
    </row>
    <row r="216" ht="26.25" customHeight="1">
      <c r="A216" s="68"/>
      <c r="B216" s="68"/>
      <c r="C216" s="61" t="s">
        <v>129</v>
      </c>
      <c r="D216" s="61" t="s">
        <v>130</v>
      </c>
      <c r="E216" s="68"/>
      <c r="F216" s="68"/>
      <c r="G216" s="68"/>
      <c r="H216" s="68"/>
      <c r="I216" s="68"/>
      <c r="J216" s="7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  <c r="AA216" s="68"/>
      <c r="AB216" s="68"/>
      <c r="AC216" s="68"/>
      <c r="AD216" s="68"/>
      <c r="AE216" s="68"/>
    </row>
    <row r="217" ht="26.25" customHeight="1">
      <c r="A217" s="68"/>
      <c r="B217" s="68"/>
      <c r="C217" s="61" t="s">
        <v>129</v>
      </c>
      <c r="D217" s="61" t="s">
        <v>130</v>
      </c>
      <c r="E217" s="68"/>
      <c r="F217" s="68"/>
      <c r="G217" s="68"/>
      <c r="H217" s="68"/>
      <c r="I217" s="68"/>
      <c r="J217" s="7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  <c r="AA217" s="68"/>
      <c r="AB217" s="68"/>
      <c r="AC217" s="68"/>
      <c r="AD217" s="68"/>
      <c r="AE217" s="68"/>
    </row>
    <row r="218" ht="26.25" customHeight="1">
      <c r="A218" s="68"/>
      <c r="B218" s="68"/>
      <c r="C218" s="61" t="s">
        <v>129</v>
      </c>
      <c r="D218" s="61" t="s">
        <v>130</v>
      </c>
      <c r="E218" s="68"/>
      <c r="F218" s="68"/>
      <c r="G218" s="68"/>
      <c r="H218" s="68"/>
      <c r="I218" s="68"/>
      <c r="J218" s="7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  <c r="AA218" s="68"/>
      <c r="AB218" s="68"/>
      <c r="AC218" s="68"/>
      <c r="AD218" s="68"/>
      <c r="AE218" s="68"/>
    </row>
    <row r="219" ht="26.25" customHeight="1">
      <c r="A219" s="68"/>
      <c r="B219" s="68"/>
      <c r="C219" s="61" t="s">
        <v>129</v>
      </c>
      <c r="D219" s="61" t="s">
        <v>130</v>
      </c>
      <c r="E219" s="68"/>
      <c r="F219" s="68"/>
      <c r="G219" s="68"/>
      <c r="H219" s="68"/>
      <c r="I219" s="68"/>
      <c r="J219" s="7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  <c r="AA219" s="68"/>
      <c r="AB219" s="68"/>
      <c r="AC219" s="68"/>
      <c r="AD219" s="68"/>
      <c r="AE219" s="68"/>
    </row>
    <row r="220" ht="26.25" customHeight="1">
      <c r="A220" s="68"/>
      <c r="B220" s="68"/>
      <c r="C220" s="61" t="s">
        <v>129</v>
      </c>
      <c r="D220" s="61" t="s">
        <v>130</v>
      </c>
      <c r="E220" s="68"/>
      <c r="F220" s="68"/>
      <c r="G220" s="68"/>
      <c r="H220" s="68"/>
      <c r="I220" s="68"/>
      <c r="J220" s="7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  <c r="AA220" s="68"/>
      <c r="AB220" s="68"/>
      <c r="AC220" s="68"/>
      <c r="AD220" s="68"/>
      <c r="AE220" s="68"/>
    </row>
    <row r="221" ht="26.25" customHeight="1">
      <c r="A221" s="68"/>
      <c r="B221" s="68"/>
      <c r="C221" s="61" t="s">
        <v>129</v>
      </c>
      <c r="D221" s="61" t="s">
        <v>130</v>
      </c>
      <c r="E221" s="68"/>
      <c r="F221" s="68"/>
      <c r="G221" s="68"/>
      <c r="H221" s="68"/>
      <c r="I221" s="68"/>
      <c r="J221" s="7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  <c r="AE221" s="68"/>
    </row>
    <row r="222" ht="26.25" customHeight="1">
      <c r="A222" s="68"/>
      <c r="B222" s="68"/>
      <c r="C222" s="61" t="s">
        <v>129</v>
      </c>
      <c r="D222" s="61" t="s">
        <v>130</v>
      </c>
      <c r="E222" s="68"/>
      <c r="F222" s="68"/>
      <c r="G222" s="68"/>
      <c r="H222" s="68"/>
      <c r="I222" s="68"/>
      <c r="J222" s="7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  <c r="AA222" s="68"/>
      <c r="AB222" s="68"/>
      <c r="AC222" s="68"/>
      <c r="AD222" s="68"/>
      <c r="AE222" s="68"/>
    </row>
    <row r="223" ht="26.25" customHeight="1">
      <c r="A223" s="68"/>
      <c r="B223" s="68"/>
      <c r="C223" s="61" t="s">
        <v>129</v>
      </c>
      <c r="D223" s="61" t="s">
        <v>130</v>
      </c>
      <c r="E223" s="68"/>
      <c r="F223" s="68"/>
      <c r="G223" s="68"/>
      <c r="H223" s="68"/>
      <c r="I223" s="68"/>
      <c r="J223" s="7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  <c r="AA223" s="68"/>
      <c r="AB223" s="68"/>
      <c r="AC223" s="68"/>
      <c r="AD223" s="68"/>
      <c r="AE223" s="68"/>
    </row>
    <row r="224" ht="26.25" customHeight="1">
      <c r="A224" s="68"/>
      <c r="B224" s="68"/>
      <c r="C224" s="61" t="s">
        <v>129</v>
      </c>
      <c r="D224" s="61" t="s">
        <v>130</v>
      </c>
      <c r="E224" s="68"/>
      <c r="F224" s="68"/>
      <c r="G224" s="68"/>
      <c r="H224" s="68"/>
      <c r="I224" s="68"/>
      <c r="J224" s="7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  <c r="AA224" s="68"/>
      <c r="AB224" s="68"/>
      <c r="AC224" s="68"/>
      <c r="AD224" s="68"/>
      <c r="AE224" s="68"/>
    </row>
    <row r="225" ht="26.25" customHeight="1">
      <c r="A225" s="68"/>
      <c r="B225" s="68"/>
      <c r="C225" s="61" t="s">
        <v>129</v>
      </c>
      <c r="D225" s="61" t="s">
        <v>130</v>
      </c>
      <c r="E225" s="68"/>
      <c r="F225" s="68"/>
      <c r="G225" s="68"/>
      <c r="H225" s="68"/>
      <c r="I225" s="68"/>
      <c r="J225" s="7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  <c r="AA225" s="68"/>
      <c r="AB225" s="68"/>
      <c r="AC225" s="68"/>
      <c r="AD225" s="68"/>
      <c r="AE225" s="68"/>
    </row>
    <row r="226" ht="26.25" customHeight="1">
      <c r="A226" s="68"/>
      <c r="B226" s="68"/>
      <c r="C226" s="61" t="s">
        <v>129</v>
      </c>
      <c r="D226" s="61" t="s">
        <v>130</v>
      </c>
      <c r="E226" s="68"/>
      <c r="F226" s="68"/>
      <c r="G226" s="68"/>
      <c r="H226" s="68"/>
      <c r="I226" s="68"/>
      <c r="J226" s="7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  <c r="AA226" s="68"/>
      <c r="AB226" s="68"/>
      <c r="AC226" s="68"/>
      <c r="AD226" s="68"/>
      <c r="AE226" s="68"/>
    </row>
    <row r="227" ht="26.25" customHeight="1">
      <c r="A227" s="68"/>
      <c r="B227" s="68"/>
      <c r="C227" s="61" t="s">
        <v>129</v>
      </c>
      <c r="D227" s="61" t="s">
        <v>130</v>
      </c>
      <c r="E227" s="68"/>
      <c r="F227" s="68"/>
      <c r="G227" s="68"/>
      <c r="H227" s="68"/>
      <c r="I227" s="68"/>
      <c r="J227" s="7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  <c r="AA227" s="68"/>
      <c r="AB227" s="68"/>
      <c r="AC227" s="68"/>
      <c r="AD227" s="68"/>
      <c r="AE227" s="68"/>
    </row>
    <row r="228" ht="26.25" customHeight="1">
      <c r="A228" s="68"/>
      <c r="B228" s="68"/>
      <c r="C228" s="61" t="s">
        <v>129</v>
      </c>
      <c r="D228" s="61" t="s">
        <v>130</v>
      </c>
      <c r="E228" s="68"/>
      <c r="F228" s="68"/>
      <c r="G228" s="68"/>
      <c r="H228" s="68"/>
      <c r="I228" s="68"/>
      <c r="J228" s="7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  <c r="AA228" s="68"/>
      <c r="AB228" s="68"/>
      <c r="AC228" s="68"/>
      <c r="AD228" s="68"/>
      <c r="AE228" s="68"/>
    </row>
    <row r="229" ht="26.25" customHeight="1">
      <c r="A229" s="68"/>
      <c r="B229" s="68"/>
      <c r="C229" s="61" t="s">
        <v>129</v>
      </c>
      <c r="D229" s="61" t="s">
        <v>130</v>
      </c>
      <c r="E229" s="68"/>
      <c r="F229" s="68"/>
      <c r="G229" s="68"/>
      <c r="H229" s="68"/>
      <c r="I229" s="68"/>
      <c r="J229" s="7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  <c r="AA229" s="68"/>
      <c r="AB229" s="68"/>
      <c r="AC229" s="68"/>
      <c r="AD229" s="68"/>
      <c r="AE229" s="68"/>
    </row>
    <row r="230" ht="26.25" customHeight="1">
      <c r="A230" s="68"/>
      <c r="B230" s="68"/>
      <c r="C230" s="61" t="s">
        <v>129</v>
      </c>
      <c r="D230" s="61" t="s">
        <v>130</v>
      </c>
      <c r="E230" s="68"/>
      <c r="F230" s="68"/>
      <c r="G230" s="68"/>
      <c r="H230" s="68"/>
      <c r="I230" s="68"/>
      <c r="J230" s="7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  <c r="AA230" s="68"/>
      <c r="AB230" s="68"/>
      <c r="AC230" s="68"/>
      <c r="AD230" s="68"/>
      <c r="AE230" s="68"/>
    </row>
    <row r="231" ht="26.25" customHeight="1">
      <c r="A231" s="68"/>
      <c r="B231" s="68"/>
      <c r="C231" s="61" t="s">
        <v>129</v>
      </c>
      <c r="D231" s="61" t="s">
        <v>130</v>
      </c>
      <c r="E231" s="68"/>
      <c r="F231" s="68"/>
      <c r="G231" s="68"/>
      <c r="H231" s="68"/>
      <c r="I231" s="68"/>
      <c r="J231" s="7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  <c r="AA231" s="68"/>
      <c r="AB231" s="68"/>
      <c r="AC231" s="68"/>
      <c r="AD231" s="68"/>
      <c r="AE231" s="68"/>
    </row>
    <row r="232" ht="26.25" customHeight="1">
      <c r="A232" s="68"/>
      <c r="B232" s="68"/>
      <c r="C232" s="61" t="s">
        <v>129</v>
      </c>
      <c r="D232" s="61" t="s">
        <v>130</v>
      </c>
      <c r="E232" s="68"/>
      <c r="F232" s="68"/>
      <c r="G232" s="68"/>
      <c r="H232" s="68"/>
      <c r="I232" s="68"/>
      <c r="J232" s="7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</row>
    <row r="233" ht="26.25" customHeight="1">
      <c r="A233" s="68"/>
      <c r="B233" s="68"/>
      <c r="C233" s="61" t="s">
        <v>129</v>
      </c>
      <c r="D233" s="61" t="s">
        <v>130</v>
      </c>
      <c r="E233" s="68"/>
      <c r="F233" s="68"/>
      <c r="G233" s="68"/>
      <c r="H233" s="68"/>
      <c r="I233" s="68"/>
      <c r="J233" s="7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  <c r="AA233" s="68"/>
      <c r="AB233" s="68"/>
      <c r="AC233" s="68"/>
      <c r="AD233" s="68"/>
      <c r="AE233" s="68"/>
    </row>
    <row r="234" ht="26.25" customHeight="1">
      <c r="A234" s="68"/>
      <c r="B234" s="68"/>
      <c r="C234" s="61" t="s">
        <v>129</v>
      </c>
      <c r="D234" s="61" t="s">
        <v>130</v>
      </c>
      <c r="E234" s="68"/>
      <c r="F234" s="68"/>
      <c r="G234" s="68"/>
      <c r="H234" s="68"/>
      <c r="I234" s="68"/>
      <c r="J234" s="7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  <c r="AA234" s="68"/>
      <c r="AB234" s="68"/>
      <c r="AC234" s="68"/>
      <c r="AD234" s="68"/>
      <c r="AE234" s="68"/>
    </row>
    <row r="235" ht="26.25" customHeight="1">
      <c r="A235" s="68"/>
      <c r="B235" s="68"/>
      <c r="C235" s="61" t="s">
        <v>129</v>
      </c>
      <c r="D235" s="61" t="s">
        <v>130</v>
      </c>
      <c r="E235" s="68"/>
      <c r="F235" s="68"/>
      <c r="G235" s="68"/>
      <c r="H235" s="68"/>
      <c r="I235" s="68"/>
      <c r="J235" s="7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  <c r="AA235" s="68"/>
      <c r="AB235" s="68"/>
      <c r="AC235" s="68"/>
      <c r="AD235" s="68"/>
      <c r="AE235" s="68"/>
    </row>
    <row r="236" ht="26.25" customHeight="1">
      <c r="A236" s="68"/>
      <c r="B236" s="68"/>
      <c r="C236" s="61" t="s">
        <v>129</v>
      </c>
      <c r="D236" s="61" t="s">
        <v>130</v>
      </c>
      <c r="E236" s="68"/>
      <c r="F236" s="68"/>
      <c r="G236" s="68"/>
      <c r="H236" s="68"/>
      <c r="I236" s="68"/>
      <c r="J236" s="7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  <c r="AA236" s="68"/>
      <c r="AB236" s="68"/>
      <c r="AC236" s="68"/>
      <c r="AD236" s="68"/>
      <c r="AE236" s="68"/>
    </row>
    <row r="237" ht="26.25" customHeight="1">
      <c r="A237" s="68"/>
      <c r="B237" s="68"/>
      <c r="C237" s="61" t="s">
        <v>129</v>
      </c>
      <c r="D237" s="61" t="s">
        <v>130</v>
      </c>
      <c r="E237" s="68"/>
      <c r="F237" s="68"/>
      <c r="G237" s="68"/>
      <c r="H237" s="68"/>
      <c r="I237" s="68"/>
      <c r="J237" s="7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  <c r="AA237" s="68"/>
      <c r="AB237" s="68"/>
      <c r="AC237" s="68"/>
      <c r="AD237" s="68"/>
      <c r="AE237" s="68"/>
    </row>
    <row r="238" ht="26.25" customHeight="1">
      <c r="A238" s="68"/>
      <c r="B238" s="68"/>
      <c r="C238" s="61" t="s">
        <v>129</v>
      </c>
      <c r="D238" s="61" t="s">
        <v>130</v>
      </c>
      <c r="E238" s="68"/>
      <c r="F238" s="68"/>
      <c r="G238" s="68"/>
      <c r="H238" s="68"/>
      <c r="I238" s="68"/>
      <c r="J238" s="7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  <c r="AA238" s="68"/>
      <c r="AB238" s="68"/>
      <c r="AC238" s="68"/>
      <c r="AD238" s="68"/>
      <c r="AE238" s="68"/>
    </row>
    <row r="239" ht="26.25" customHeight="1">
      <c r="A239" s="68"/>
      <c r="B239" s="68"/>
      <c r="C239" s="61" t="s">
        <v>129</v>
      </c>
      <c r="D239" s="61" t="s">
        <v>130</v>
      </c>
      <c r="E239" s="68"/>
      <c r="F239" s="68"/>
      <c r="G239" s="68"/>
      <c r="H239" s="68"/>
      <c r="I239" s="68"/>
      <c r="J239" s="7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  <c r="AA239" s="68"/>
      <c r="AB239" s="68"/>
      <c r="AC239" s="68"/>
      <c r="AD239" s="68"/>
      <c r="AE239" s="68"/>
    </row>
    <row r="240" ht="26.25" customHeight="1">
      <c r="A240" s="68"/>
      <c r="B240" s="68"/>
      <c r="C240" s="61" t="s">
        <v>129</v>
      </c>
      <c r="D240" s="61" t="s">
        <v>130</v>
      </c>
      <c r="E240" s="68"/>
      <c r="F240" s="68"/>
      <c r="G240" s="68"/>
      <c r="H240" s="68"/>
      <c r="I240" s="68"/>
      <c r="J240" s="7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  <c r="AA240" s="68"/>
      <c r="AB240" s="68"/>
      <c r="AC240" s="68"/>
      <c r="AD240" s="68"/>
      <c r="AE240" s="68"/>
    </row>
    <row r="241" ht="26.25" customHeight="1">
      <c r="A241" s="68"/>
      <c r="B241" s="68"/>
      <c r="C241" s="61" t="s">
        <v>129</v>
      </c>
      <c r="D241" s="61" t="s">
        <v>130</v>
      </c>
      <c r="E241" s="68"/>
      <c r="F241" s="68"/>
      <c r="G241" s="68"/>
      <c r="H241" s="68"/>
      <c r="I241" s="68"/>
      <c r="J241" s="7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  <c r="AA241" s="68"/>
      <c r="AB241" s="68"/>
      <c r="AC241" s="68"/>
      <c r="AD241" s="68"/>
      <c r="AE241" s="68"/>
    </row>
    <row r="242" ht="26.25" customHeight="1">
      <c r="A242" s="68"/>
      <c r="B242" s="68"/>
      <c r="C242" s="61" t="s">
        <v>129</v>
      </c>
      <c r="D242" s="61" t="s">
        <v>130</v>
      </c>
      <c r="E242" s="68"/>
      <c r="F242" s="68"/>
      <c r="G242" s="68"/>
      <c r="H242" s="68"/>
      <c r="I242" s="68"/>
      <c r="J242" s="7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  <c r="AA242" s="68"/>
      <c r="AB242" s="68"/>
      <c r="AC242" s="68"/>
      <c r="AD242" s="68"/>
      <c r="AE242" s="68"/>
    </row>
    <row r="243" ht="26.25" customHeight="1">
      <c r="A243" s="68"/>
      <c r="B243" s="68"/>
      <c r="C243" s="61" t="s">
        <v>129</v>
      </c>
      <c r="D243" s="61" t="s">
        <v>130</v>
      </c>
      <c r="E243" s="68"/>
      <c r="F243" s="68"/>
      <c r="G243" s="68"/>
      <c r="H243" s="68"/>
      <c r="I243" s="68"/>
      <c r="J243" s="7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  <c r="AA243" s="68"/>
      <c r="AB243" s="68"/>
      <c r="AC243" s="68"/>
      <c r="AD243" s="68"/>
      <c r="AE243" s="68"/>
    </row>
    <row r="244" ht="26.25" customHeight="1">
      <c r="A244" s="68"/>
      <c r="B244" s="68"/>
      <c r="C244" s="61" t="s">
        <v>129</v>
      </c>
      <c r="D244" s="61" t="s">
        <v>130</v>
      </c>
      <c r="E244" s="68"/>
      <c r="F244" s="68"/>
      <c r="G244" s="68"/>
      <c r="H244" s="68"/>
      <c r="I244" s="68"/>
      <c r="J244" s="7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  <c r="AE244" s="68"/>
    </row>
    <row r="245" ht="26.25" customHeight="1">
      <c r="A245" s="68"/>
      <c r="B245" s="68"/>
      <c r="C245" s="61" t="s">
        <v>129</v>
      </c>
      <c r="D245" s="61" t="s">
        <v>130</v>
      </c>
      <c r="E245" s="68"/>
      <c r="F245" s="68"/>
      <c r="G245" s="68"/>
      <c r="H245" s="68"/>
      <c r="I245" s="68"/>
      <c r="J245" s="7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  <c r="AE245" s="68"/>
    </row>
    <row r="246" ht="26.25" customHeight="1">
      <c r="A246" s="68"/>
      <c r="B246" s="68"/>
      <c r="C246" s="61" t="s">
        <v>129</v>
      </c>
      <c r="D246" s="61" t="s">
        <v>130</v>
      </c>
      <c r="E246" s="68"/>
      <c r="F246" s="68"/>
      <c r="G246" s="68"/>
      <c r="H246" s="68"/>
      <c r="I246" s="68"/>
      <c r="J246" s="7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</row>
    <row r="247" ht="26.25" customHeight="1">
      <c r="A247" s="68"/>
      <c r="B247" s="68"/>
      <c r="C247" s="61" t="s">
        <v>129</v>
      </c>
      <c r="D247" s="61" t="s">
        <v>130</v>
      </c>
      <c r="E247" s="68"/>
      <c r="F247" s="68"/>
      <c r="G247" s="68"/>
      <c r="H247" s="68"/>
      <c r="I247" s="68"/>
      <c r="J247" s="7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</row>
    <row r="248" ht="26.25" customHeight="1">
      <c r="A248" s="68"/>
      <c r="B248" s="68"/>
      <c r="C248" s="61" t="s">
        <v>129</v>
      </c>
      <c r="D248" s="61" t="s">
        <v>130</v>
      </c>
      <c r="E248" s="68"/>
      <c r="F248" s="68"/>
      <c r="G248" s="68"/>
      <c r="H248" s="68"/>
      <c r="I248" s="68"/>
      <c r="J248" s="7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  <c r="AA248" s="68"/>
      <c r="AB248" s="68"/>
      <c r="AC248" s="68"/>
      <c r="AD248" s="68"/>
      <c r="AE248" s="68"/>
    </row>
    <row r="249" ht="26.25" customHeight="1">
      <c r="A249" s="68"/>
      <c r="B249" s="68"/>
      <c r="C249" s="61" t="s">
        <v>129</v>
      </c>
      <c r="D249" s="61" t="s">
        <v>130</v>
      </c>
      <c r="E249" s="68"/>
      <c r="F249" s="68"/>
      <c r="G249" s="68"/>
      <c r="H249" s="68"/>
      <c r="I249" s="68"/>
      <c r="J249" s="7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  <c r="AA249" s="68"/>
      <c r="AB249" s="68"/>
      <c r="AC249" s="68"/>
      <c r="AD249" s="68"/>
      <c r="AE249" s="68"/>
    </row>
    <row r="250" ht="26.25" customHeight="1">
      <c r="A250" s="68"/>
      <c r="B250" s="68"/>
      <c r="C250" s="61" t="s">
        <v>129</v>
      </c>
      <c r="D250" s="61" t="s">
        <v>130</v>
      </c>
      <c r="E250" s="68"/>
      <c r="F250" s="68"/>
      <c r="G250" s="68"/>
      <c r="H250" s="68"/>
      <c r="I250" s="68"/>
      <c r="J250" s="7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  <c r="AD250" s="68"/>
      <c r="AE250" s="68"/>
    </row>
    <row r="251" ht="26.25" customHeight="1">
      <c r="A251" s="68"/>
      <c r="B251" s="68"/>
      <c r="C251" s="61" t="s">
        <v>129</v>
      </c>
      <c r="D251" s="61" t="s">
        <v>130</v>
      </c>
      <c r="E251" s="68"/>
      <c r="F251" s="68"/>
      <c r="G251" s="68"/>
      <c r="H251" s="68"/>
      <c r="I251" s="68"/>
      <c r="J251" s="7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  <c r="AA251" s="68"/>
      <c r="AB251" s="68"/>
      <c r="AC251" s="68"/>
      <c r="AD251" s="68"/>
      <c r="AE251" s="68"/>
    </row>
    <row r="252" ht="26.25" customHeight="1">
      <c r="A252" s="68"/>
      <c r="B252" s="68"/>
      <c r="C252" s="61" t="s">
        <v>129</v>
      </c>
      <c r="D252" s="61" t="s">
        <v>130</v>
      </c>
      <c r="E252" s="68"/>
      <c r="F252" s="68"/>
      <c r="G252" s="68"/>
      <c r="H252" s="68"/>
      <c r="I252" s="68"/>
      <c r="J252" s="7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  <c r="AA252" s="68"/>
      <c r="AB252" s="68"/>
      <c r="AC252" s="68"/>
      <c r="AD252" s="68"/>
      <c r="AE252" s="68"/>
    </row>
    <row r="253" ht="26.25" customHeight="1">
      <c r="A253" s="68"/>
      <c r="B253" s="68"/>
      <c r="C253" s="61" t="s">
        <v>129</v>
      </c>
      <c r="D253" s="61" t="s">
        <v>130</v>
      </c>
      <c r="E253" s="68"/>
      <c r="F253" s="68"/>
      <c r="G253" s="68"/>
      <c r="H253" s="68"/>
      <c r="I253" s="68"/>
      <c r="J253" s="7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  <c r="AA253" s="68"/>
      <c r="AB253" s="68"/>
      <c r="AC253" s="68"/>
      <c r="AD253" s="68"/>
      <c r="AE253" s="68"/>
    </row>
    <row r="254" ht="26.25" customHeight="1">
      <c r="A254" s="68"/>
      <c r="B254" s="68"/>
      <c r="C254" s="61" t="s">
        <v>129</v>
      </c>
      <c r="D254" s="61" t="s">
        <v>130</v>
      </c>
      <c r="E254" s="68"/>
      <c r="F254" s="68"/>
      <c r="G254" s="68"/>
      <c r="H254" s="68"/>
      <c r="I254" s="68"/>
      <c r="J254" s="7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  <c r="AA254" s="68"/>
      <c r="AB254" s="68"/>
      <c r="AC254" s="68"/>
      <c r="AD254" s="68"/>
      <c r="AE254" s="68"/>
    </row>
    <row r="255" ht="26.25" customHeight="1">
      <c r="A255" s="68"/>
      <c r="B255" s="68"/>
      <c r="C255" s="61" t="s">
        <v>129</v>
      </c>
      <c r="D255" s="61" t="s">
        <v>130</v>
      </c>
      <c r="E255" s="68"/>
      <c r="F255" s="68"/>
      <c r="G255" s="68"/>
      <c r="H255" s="68"/>
      <c r="I255" s="68"/>
      <c r="J255" s="7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</row>
    <row r="256" ht="26.25" customHeight="1">
      <c r="A256" s="68"/>
      <c r="B256" s="68"/>
      <c r="C256" s="61" t="s">
        <v>129</v>
      </c>
      <c r="D256" s="61" t="s">
        <v>130</v>
      </c>
      <c r="E256" s="68"/>
      <c r="F256" s="68"/>
      <c r="G256" s="68"/>
      <c r="H256" s="68"/>
      <c r="I256" s="68"/>
      <c r="J256" s="7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  <c r="AE256" s="68"/>
    </row>
    <row r="257" ht="26.25" customHeight="1">
      <c r="A257" s="68"/>
      <c r="B257" s="68"/>
      <c r="C257" s="61" t="s">
        <v>129</v>
      </c>
      <c r="D257" s="61" t="s">
        <v>130</v>
      </c>
      <c r="E257" s="68"/>
      <c r="F257" s="68"/>
      <c r="G257" s="68"/>
      <c r="H257" s="68"/>
      <c r="I257" s="68"/>
      <c r="J257" s="7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  <c r="AA257" s="68"/>
      <c r="AB257" s="68"/>
      <c r="AC257" s="68"/>
      <c r="AD257" s="68"/>
      <c r="AE257" s="68"/>
    </row>
    <row r="258" ht="26.25" customHeight="1">
      <c r="A258" s="68"/>
      <c r="B258" s="68"/>
      <c r="C258" s="61" t="s">
        <v>129</v>
      </c>
      <c r="D258" s="61" t="s">
        <v>130</v>
      </c>
      <c r="E258" s="68"/>
      <c r="F258" s="68"/>
      <c r="G258" s="68"/>
      <c r="H258" s="68"/>
      <c r="I258" s="68"/>
      <c r="J258" s="7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  <c r="AA258" s="68"/>
      <c r="AB258" s="68"/>
      <c r="AC258" s="68"/>
      <c r="AD258" s="68"/>
      <c r="AE258" s="68"/>
    </row>
    <row r="259" ht="26.25" customHeight="1">
      <c r="A259" s="68"/>
      <c r="B259" s="68"/>
      <c r="C259" s="61" t="s">
        <v>129</v>
      </c>
      <c r="D259" s="61" t="s">
        <v>130</v>
      </c>
      <c r="E259" s="68"/>
      <c r="F259" s="68"/>
      <c r="G259" s="68"/>
      <c r="H259" s="68"/>
      <c r="I259" s="68"/>
      <c r="J259" s="7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  <c r="AA259" s="68"/>
      <c r="AB259" s="68"/>
      <c r="AC259" s="68"/>
      <c r="AD259" s="68"/>
      <c r="AE259" s="68"/>
    </row>
    <row r="260" ht="26.25" customHeight="1">
      <c r="A260" s="68"/>
      <c r="B260" s="68"/>
      <c r="C260" s="61" t="s">
        <v>129</v>
      </c>
      <c r="D260" s="61" t="s">
        <v>130</v>
      </c>
      <c r="E260" s="68"/>
      <c r="F260" s="68"/>
      <c r="G260" s="68"/>
      <c r="H260" s="68"/>
      <c r="I260" s="68"/>
      <c r="J260" s="7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  <c r="AA260" s="68"/>
      <c r="AB260" s="68"/>
      <c r="AC260" s="68"/>
      <c r="AD260" s="68"/>
      <c r="AE260" s="68"/>
    </row>
    <row r="261" ht="26.25" customHeight="1">
      <c r="A261" s="68"/>
      <c r="B261" s="68"/>
      <c r="C261" s="61" t="s">
        <v>129</v>
      </c>
      <c r="D261" s="61" t="s">
        <v>130</v>
      </c>
      <c r="E261" s="68"/>
      <c r="F261" s="68"/>
      <c r="G261" s="68"/>
      <c r="H261" s="68"/>
      <c r="I261" s="68"/>
      <c r="J261" s="7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  <c r="AA261" s="68"/>
      <c r="AB261" s="68"/>
      <c r="AC261" s="68"/>
      <c r="AD261" s="68"/>
      <c r="AE261" s="68"/>
    </row>
    <row r="262" ht="26.25" customHeight="1">
      <c r="A262" s="68"/>
      <c r="B262" s="68"/>
      <c r="C262" s="61" t="s">
        <v>129</v>
      </c>
      <c r="D262" s="61" t="s">
        <v>130</v>
      </c>
      <c r="E262" s="68"/>
      <c r="F262" s="68"/>
      <c r="G262" s="68"/>
      <c r="H262" s="68"/>
      <c r="I262" s="68"/>
      <c r="J262" s="7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  <c r="AA262" s="68"/>
      <c r="AB262" s="68"/>
      <c r="AC262" s="68"/>
      <c r="AD262" s="68"/>
      <c r="AE262" s="68"/>
    </row>
    <row r="263" ht="26.25" customHeight="1">
      <c r="A263" s="68"/>
      <c r="B263" s="68"/>
      <c r="C263" s="61" t="s">
        <v>129</v>
      </c>
      <c r="D263" s="61" t="s">
        <v>130</v>
      </c>
      <c r="E263" s="68"/>
      <c r="F263" s="68"/>
      <c r="G263" s="68"/>
      <c r="H263" s="68"/>
      <c r="I263" s="68"/>
      <c r="J263" s="7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  <c r="AA263" s="68"/>
      <c r="AB263" s="68"/>
      <c r="AC263" s="68"/>
      <c r="AD263" s="68"/>
      <c r="AE263" s="68"/>
    </row>
    <row r="264" ht="26.25" customHeight="1">
      <c r="A264" s="68"/>
      <c r="B264" s="68"/>
      <c r="C264" s="61" t="s">
        <v>129</v>
      </c>
      <c r="D264" s="61" t="s">
        <v>130</v>
      </c>
      <c r="E264" s="68"/>
      <c r="F264" s="68"/>
      <c r="G264" s="68"/>
      <c r="H264" s="68"/>
      <c r="I264" s="68"/>
      <c r="J264" s="7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  <c r="AE264" s="68"/>
    </row>
    <row r="265" ht="26.25" customHeight="1">
      <c r="A265" s="68"/>
      <c r="B265" s="68"/>
      <c r="C265" s="61" t="s">
        <v>129</v>
      </c>
      <c r="D265" s="61" t="s">
        <v>130</v>
      </c>
      <c r="E265" s="68"/>
      <c r="F265" s="68"/>
      <c r="G265" s="68"/>
      <c r="H265" s="68"/>
      <c r="I265" s="68"/>
      <c r="J265" s="7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  <c r="AE265" s="68"/>
    </row>
    <row r="266" ht="26.25" customHeight="1">
      <c r="A266" s="68"/>
      <c r="B266" s="68"/>
      <c r="C266" s="61" t="s">
        <v>129</v>
      </c>
      <c r="D266" s="61" t="s">
        <v>130</v>
      </c>
      <c r="E266" s="68"/>
      <c r="F266" s="68"/>
      <c r="G266" s="68"/>
      <c r="H266" s="68"/>
      <c r="I266" s="68"/>
      <c r="J266" s="7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  <c r="AA266" s="68"/>
      <c r="AB266" s="68"/>
      <c r="AC266" s="68"/>
      <c r="AD266" s="68"/>
      <c r="AE266" s="68"/>
    </row>
    <row r="267" ht="26.25" customHeight="1">
      <c r="A267" s="68"/>
      <c r="B267" s="68"/>
      <c r="C267" s="61" t="s">
        <v>129</v>
      </c>
      <c r="D267" s="61" t="s">
        <v>130</v>
      </c>
      <c r="E267" s="68"/>
      <c r="F267" s="68"/>
      <c r="G267" s="68"/>
      <c r="H267" s="68"/>
      <c r="I267" s="68"/>
      <c r="J267" s="7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  <c r="AA267" s="68"/>
      <c r="AB267" s="68"/>
      <c r="AC267" s="68"/>
      <c r="AD267" s="68"/>
      <c r="AE267" s="68"/>
    </row>
    <row r="268" ht="26.25" customHeight="1">
      <c r="A268" s="68"/>
      <c r="B268" s="68"/>
      <c r="C268" s="61" t="s">
        <v>129</v>
      </c>
      <c r="D268" s="61" t="s">
        <v>130</v>
      </c>
      <c r="E268" s="68"/>
      <c r="F268" s="68"/>
      <c r="G268" s="68"/>
      <c r="H268" s="68"/>
      <c r="I268" s="68"/>
      <c r="J268" s="7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  <c r="AA268" s="68"/>
      <c r="AB268" s="68"/>
      <c r="AC268" s="68"/>
      <c r="AD268" s="68"/>
      <c r="AE268" s="68"/>
    </row>
    <row r="269" ht="26.25" customHeight="1">
      <c r="A269" s="68"/>
      <c r="B269" s="68"/>
      <c r="C269" s="61" t="s">
        <v>129</v>
      </c>
      <c r="D269" s="61" t="s">
        <v>130</v>
      </c>
      <c r="E269" s="68"/>
      <c r="F269" s="68"/>
      <c r="G269" s="68"/>
      <c r="H269" s="68"/>
      <c r="I269" s="68"/>
      <c r="J269" s="7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</row>
    <row r="270" ht="26.25" customHeight="1">
      <c r="A270" s="68"/>
      <c r="B270" s="68"/>
      <c r="C270" s="61" t="s">
        <v>129</v>
      </c>
      <c r="D270" s="61" t="s">
        <v>130</v>
      </c>
      <c r="E270" s="68"/>
      <c r="F270" s="68"/>
      <c r="G270" s="68"/>
      <c r="H270" s="68"/>
      <c r="I270" s="68"/>
      <c r="J270" s="7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  <c r="AA270" s="68"/>
      <c r="AB270" s="68"/>
      <c r="AC270" s="68"/>
      <c r="AD270" s="68"/>
      <c r="AE270" s="68"/>
    </row>
    <row r="271" ht="26.25" customHeight="1">
      <c r="A271" s="68"/>
      <c r="B271" s="68"/>
      <c r="C271" s="61" t="s">
        <v>129</v>
      </c>
      <c r="D271" s="61" t="s">
        <v>130</v>
      </c>
      <c r="E271" s="68"/>
      <c r="F271" s="68"/>
      <c r="G271" s="68"/>
      <c r="H271" s="68"/>
      <c r="I271" s="68"/>
      <c r="J271" s="7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  <c r="AA271" s="68"/>
      <c r="AB271" s="68"/>
      <c r="AC271" s="68"/>
      <c r="AD271" s="68"/>
      <c r="AE271" s="68"/>
    </row>
    <row r="272" ht="26.25" customHeight="1">
      <c r="A272" s="68"/>
      <c r="B272" s="68"/>
      <c r="C272" s="61" t="s">
        <v>129</v>
      </c>
      <c r="D272" s="61" t="s">
        <v>130</v>
      </c>
      <c r="E272" s="68"/>
      <c r="F272" s="68"/>
      <c r="G272" s="68"/>
      <c r="H272" s="68"/>
      <c r="I272" s="68"/>
      <c r="J272" s="7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  <c r="AA272" s="68"/>
      <c r="AB272" s="68"/>
      <c r="AC272" s="68"/>
      <c r="AD272" s="68"/>
      <c r="AE272" s="68"/>
    </row>
    <row r="273" ht="26.25" customHeight="1">
      <c r="A273" s="68"/>
      <c r="B273" s="68"/>
      <c r="C273" s="61" t="s">
        <v>129</v>
      </c>
      <c r="D273" s="61" t="s">
        <v>130</v>
      </c>
      <c r="E273" s="68"/>
      <c r="F273" s="68"/>
      <c r="G273" s="68"/>
      <c r="H273" s="68"/>
      <c r="I273" s="68"/>
      <c r="J273" s="7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  <c r="AA273" s="68"/>
      <c r="AB273" s="68"/>
      <c r="AC273" s="68"/>
      <c r="AD273" s="68"/>
      <c r="AE273" s="68"/>
    </row>
    <row r="274" ht="26.25" customHeight="1">
      <c r="A274" s="68"/>
      <c r="B274" s="68"/>
      <c r="C274" s="61" t="s">
        <v>129</v>
      </c>
      <c r="D274" s="61" t="s">
        <v>130</v>
      </c>
      <c r="E274" s="68"/>
      <c r="F274" s="68"/>
      <c r="G274" s="68"/>
      <c r="H274" s="68"/>
      <c r="I274" s="68"/>
      <c r="J274" s="7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  <c r="AD274" s="68"/>
      <c r="AE274" s="68"/>
    </row>
    <row r="275" ht="26.25" customHeight="1">
      <c r="A275" s="68"/>
      <c r="B275" s="68"/>
      <c r="C275" s="61" t="s">
        <v>129</v>
      </c>
      <c r="D275" s="61" t="s">
        <v>130</v>
      </c>
      <c r="E275" s="68"/>
      <c r="F275" s="68"/>
      <c r="G275" s="68"/>
      <c r="H275" s="68"/>
      <c r="I275" s="68"/>
      <c r="J275" s="7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  <c r="AA275" s="68"/>
      <c r="AB275" s="68"/>
      <c r="AC275" s="68"/>
      <c r="AD275" s="68"/>
      <c r="AE275" s="68"/>
    </row>
    <row r="276" ht="26.25" customHeight="1">
      <c r="A276" s="68"/>
      <c r="B276" s="68"/>
      <c r="C276" s="61" t="s">
        <v>129</v>
      </c>
      <c r="D276" s="61" t="s">
        <v>130</v>
      </c>
      <c r="E276" s="68"/>
      <c r="F276" s="68"/>
      <c r="G276" s="68"/>
      <c r="H276" s="68"/>
      <c r="I276" s="68"/>
      <c r="J276" s="7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</row>
    <row r="277" ht="26.25" customHeight="1">
      <c r="A277" s="68"/>
      <c r="B277" s="68"/>
      <c r="C277" s="61" t="s">
        <v>129</v>
      </c>
      <c r="D277" s="61" t="s">
        <v>130</v>
      </c>
      <c r="E277" s="68"/>
      <c r="F277" s="68"/>
      <c r="G277" s="68"/>
      <c r="H277" s="68"/>
      <c r="I277" s="68"/>
      <c r="J277" s="7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  <c r="AE277" s="68"/>
    </row>
    <row r="278" ht="26.25" customHeight="1">
      <c r="A278" s="68"/>
      <c r="B278" s="68"/>
      <c r="C278" s="61" t="s">
        <v>129</v>
      </c>
      <c r="D278" s="61" t="s">
        <v>130</v>
      </c>
      <c r="E278" s="68"/>
      <c r="F278" s="68"/>
      <c r="G278" s="68"/>
      <c r="H278" s="68"/>
      <c r="I278" s="68"/>
      <c r="J278" s="7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  <c r="AD278" s="68"/>
      <c r="AE278" s="68"/>
    </row>
    <row r="279" ht="26.25" customHeight="1">
      <c r="A279" s="68"/>
      <c r="B279" s="68"/>
      <c r="C279" s="61" t="s">
        <v>129</v>
      </c>
      <c r="D279" s="61" t="s">
        <v>130</v>
      </c>
      <c r="E279" s="68"/>
      <c r="F279" s="68"/>
      <c r="G279" s="68"/>
      <c r="H279" s="68"/>
      <c r="I279" s="68"/>
      <c r="J279" s="7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  <c r="AD279" s="68"/>
      <c r="AE279" s="68"/>
    </row>
    <row r="280" ht="26.25" customHeight="1">
      <c r="A280" s="68"/>
      <c r="B280" s="68"/>
      <c r="C280" s="61" t="s">
        <v>129</v>
      </c>
      <c r="D280" s="61" t="s">
        <v>130</v>
      </c>
      <c r="E280" s="68"/>
      <c r="F280" s="68"/>
      <c r="G280" s="68"/>
      <c r="H280" s="68"/>
      <c r="I280" s="68"/>
      <c r="J280" s="7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  <c r="AE280" s="68"/>
    </row>
    <row r="281" ht="26.25" customHeight="1">
      <c r="A281" s="68"/>
      <c r="B281" s="68"/>
      <c r="C281" s="61" t="s">
        <v>129</v>
      </c>
      <c r="D281" s="61" t="s">
        <v>130</v>
      </c>
      <c r="E281" s="68"/>
      <c r="F281" s="68"/>
      <c r="G281" s="68"/>
      <c r="H281" s="68"/>
      <c r="I281" s="68"/>
      <c r="J281" s="7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  <c r="AD281" s="68"/>
      <c r="AE281" s="68"/>
    </row>
    <row r="282" ht="26.25" customHeight="1">
      <c r="A282" s="68"/>
      <c r="B282" s="68"/>
      <c r="C282" s="61" t="s">
        <v>129</v>
      </c>
      <c r="D282" s="61" t="s">
        <v>130</v>
      </c>
      <c r="E282" s="68"/>
      <c r="F282" s="68"/>
      <c r="G282" s="68"/>
      <c r="H282" s="68"/>
      <c r="I282" s="68"/>
      <c r="J282" s="7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</row>
    <row r="283" ht="26.25" customHeight="1">
      <c r="A283" s="68"/>
      <c r="B283" s="68"/>
      <c r="C283" s="61" t="s">
        <v>129</v>
      </c>
      <c r="D283" s="61" t="s">
        <v>130</v>
      </c>
      <c r="E283" s="68"/>
      <c r="F283" s="68"/>
      <c r="G283" s="68"/>
      <c r="H283" s="68"/>
      <c r="I283" s="68"/>
      <c r="J283" s="7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</row>
    <row r="284" ht="26.25" customHeight="1">
      <c r="A284" s="68"/>
      <c r="B284" s="68"/>
      <c r="C284" s="61" t="s">
        <v>129</v>
      </c>
      <c r="D284" s="61" t="s">
        <v>130</v>
      </c>
      <c r="E284" s="68"/>
      <c r="F284" s="68"/>
      <c r="G284" s="68"/>
      <c r="H284" s="68"/>
      <c r="I284" s="68"/>
      <c r="J284" s="7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  <c r="AD284" s="68"/>
      <c r="AE284" s="68"/>
    </row>
    <row r="285" ht="26.25" customHeight="1">
      <c r="A285" s="68"/>
      <c r="B285" s="68"/>
      <c r="C285" s="61" t="s">
        <v>129</v>
      </c>
      <c r="D285" s="61" t="s">
        <v>130</v>
      </c>
      <c r="E285" s="68"/>
      <c r="F285" s="68"/>
      <c r="G285" s="68"/>
      <c r="H285" s="68"/>
      <c r="I285" s="68"/>
      <c r="J285" s="7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  <c r="AD285" s="68"/>
      <c r="AE285" s="68"/>
    </row>
    <row r="286" ht="26.25" customHeight="1">
      <c r="A286" s="68"/>
      <c r="B286" s="68"/>
      <c r="C286" s="61" t="s">
        <v>129</v>
      </c>
      <c r="D286" s="61" t="s">
        <v>130</v>
      </c>
      <c r="E286" s="68"/>
      <c r="F286" s="68"/>
      <c r="G286" s="68"/>
      <c r="H286" s="68"/>
      <c r="I286" s="68"/>
      <c r="J286" s="7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  <c r="AC286" s="68"/>
      <c r="AD286" s="68"/>
      <c r="AE286" s="68"/>
    </row>
    <row r="287" ht="26.25" customHeight="1">
      <c r="A287" s="68"/>
      <c r="B287" s="68"/>
      <c r="C287" s="61" t="s">
        <v>129</v>
      </c>
      <c r="D287" s="61" t="s">
        <v>130</v>
      </c>
      <c r="E287" s="68"/>
      <c r="F287" s="68"/>
      <c r="G287" s="68"/>
      <c r="H287" s="68"/>
      <c r="I287" s="68"/>
      <c r="J287" s="7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  <c r="AD287" s="68"/>
      <c r="AE287" s="68"/>
    </row>
    <row r="288" ht="26.25" customHeight="1">
      <c r="A288" s="68"/>
      <c r="B288" s="68"/>
      <c r="C288" s="61" t="s">
        <v>129</v>
      </c>
      <c r="D288" s="61" t="s">
        <v>130</v>
      </c>
      <c r="E288" s="68"/>
      <c r="F288" s="68"/>
      <c r="G288" s="68"/>
      <c r="H288" s="68"/>
      <c r="I288" s="68"/>
      <c r="J288" s="7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  <c r="AD288" s="68"/>
      <c r="AE288" s="68"/>
    </row>
    <row r="289" ht="26.25" customHeight="1">
      <c r="A289" s="68"/>
      <c r="B289" s="68"/>
      <c r="C289" s="61" t="s">
        <v>129</v>
      </c>
      <c r="D289" s="61" t="s">
        <v>130</v>
      </c>
      <c r="E289" s="68"/>
      <c r="F289" s="68"/>
      <c r="G289" s="68"/>
      <c r="H289" s="68"/>
      <c r="I289" s="68"/>
      <c r="J289" s="7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  <c r="AB289" s="68"/>
      <c r="AC289" s="68"/>
      <c r="AD289" s="68"/>
      <c r="AE289" s="68"/>
    </row>
    <row r="290" ht="26.25" customHeight="1">
      <c r="A290" s="68"/>
      <c r="B290" s="68"/>
      <c r="C290" s="61" t="s">
        <v>129</v>
      </c>
      <c r="D290" s="61" t="s">
        <v>130</v>
      </c>
      <c r="E290" s="68"/>
      <c r="F290" s="68"/>
      <c r="G290" s="68"/>
      <c r="H290" s="68"/>
      <c r="I290" s="68"/>
      <c r="J290" s="7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  <c r="AC290" s="68"/>
      <c r="AD290" s="68"/>
      <c r="AE290" s="68"/>
    </row>
    <row r="291" ht="26.25" customHeight="1">
      <c r="A291" s="68"/>
      <c r="B291" s="68"/>
      <c r="C291" s="61" t="s">
        <v>129</v>
      </c>
      <c r="D291" s="61" t="s">
        <v>130</v>
      </c>
      <c r="E291" s="68"/>
      <c r="F291" s="68"/>
      <c r="G291" s="68"/>
      <c r="H291" s="68"/>
      <c r="I291" s="68"/>
      <c r="J291" s="7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  <c r="AD291" s="68"/>
      <c r="AE291" s="68"/>
    </row>
    <row r="292" ht="26.25" customHeight="1">
      <c r="A292" s="68"/>
      <c r="B292" s="68"/>
      <c r="C292" s="61" t="s">
        <v>129</v>
      </c>
      <c r="D292" s="61" t="s">
        <v>130</v>
      </c>
      <c r="E292" s="68"/>
      <c r="F292" s="68"/>
      <c r="G292" s="68"/>
      <c r="H292" s="68"/>
      <c r="I292" s="68"/>
      <c r="J292" s="7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  <c r="AD292" s="68"/>
      <c r="AE292" s="68"/>
    </row>
    <row r="293" ht="26.25" customHeight="1">
      <c r="A293" s="68"/>
      <c r="B293" s="68"/>
      <c r="C293" s="61" t="s">
        <v>129</v>
      </c>
      <c r="D293" s="61" t="s">
        <v>130</v>
      </c>
      <c r="E293" s="68"/>
      <c r="F293" s="68"/>
      <c r="G293" s="68"/>
      <c r="H293" s="68"/>
      <c r="I293" s="68"/>
      <c r="J293" s="7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  <c r="AC293" s="68"/>
      <c r="AD293" s="68"/>
      <c r="AE293" s="68"/>
    </row>
    <row r="294" ht="26.25" customHeight="1">
      <c r="A294" s="68"/>
      <c r="B294" s="68"/>
      <c r="C294" s="61" t="s">
        <v>129</v>
      </c>
      <c r="D294" s="61" t="s">
        <v>130</v>
      </c>
      <c r="E294" s="68"/>
      <c r="F294" s="68"/>
      <c r="G294" s="68"/>
      <c r="H294" s="68"/>
      <c r="I294" s="68"/>
      <c r="J294" s="7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  <c r="AD294" s="68"/>
      <c r="AE294" s="68"/>
    </row>
    <row r="295" ht="26.25" customHeight="1">
      <c r="A295" s="68"/>
      <c r="B295" s="68"/>
      <c r="C295" s="61" t="s">
        <v>129</v>
      </c>
      <c r="D295" s="61" t="s">
        <v>130</v>
      </c>
      <c r="E295" s="68"/>
      <c r="F295" s="68"/>
      <c r="G295" s="68"/>
      <c r="H295" s="68"/>
      <c r="I295" s="68"/>
      <c r="J295" s="7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  <c r="AD295" s="68"/>
      <c r="AE295" s="68"/>
    </row>
    <row r="296" ht="26.25" customHeight="1">
      <c r="A296" s="68"/>
      <c r="B296" s="68"/>
      <c r="C296" s="61" t="s">
        <v>129</v>
      </c>
      <c r="D296" s="61" t="s">
        <v>130</v>
      </c>
      <c r="E296" s="68"/>
      <c r="F296" s="68"/>
      <c r="G296" s="68"/>
      <c r="H296" s="68"/>
      <c r="I296" s="68"/>
      <c r="J296" s="7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  <c r="AE296" s="68"/>
    </row>
    <row r="297" ht="26.25" customHeight="1">
      <c r="A297" s="68"/>
      <c r="B297" s="68"/>
      <c r="C297" s="61" t="s">
        <v>129</v>
      </c>
      <c r="D297" s="61" t="s">
        <v>130</v>
      </c>
      <c r="E297" s="68"/>
      <c r="F297" s="68"/>
      <c r="G297" s="68"/>
      <c r="H297" s="68"/>
      <c r="I297" s="68"/>
      <c r="J297" s="7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  <c r="AD297" s="68"/>
      <c r="AE297" s="68"/>
    </row>
    <row r="298" ht="26.25" customHeight="1">
      <c r="A298" s="68"/>
      <c r="B298" s="68"/>
      <c r="C298" s="61" t="s">
        <v>129</v>
      </c>
      <c r="D298" s="61" t="s">
        <v>130</v>
      </c>
      <c r="E298" s="68"/>
      <c r="F298" s="68"/>
      <c r="G298" s="68"/>
      <c r="H298" s="68"/>
      <c r="I298" s="68"/>
      <c r="J298" s="7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  <c r="AE298" s="68"/>
    </row>
    <row r="299" ht="26.25" customHeight="1">
      <c r="A299" s="68"/>
      <c r="B299" s="68"/>
      <c r="C299" s="61" t="s">
        <v>129</v>
      </c>
      <c r="D299" s="61" t="s">
        <v>130</v>
      </c>
      <c r="E299" s="68"/>
      <c r="F299" s="68"/>
      <c r="G299" s="68"/>
      <c r="H299" s="68"/>
      <c r="I299" s="68"/>
      <c r="J299" s="7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</row>
    <row r="300" ht="26.25" customHeight="1">
      <c r="A300" s="68"/>
      <c r="B300" s="68"/>
      <c r="C300" s="61" t="s">
        <v>129</v>
      </c>
      <c r="D300" s="61" t="s">
        <v>130</v>
      </c>
      <c r="E300" s="68"/>
      <c r="F300" s="68"/>
      <c r="G300" s="68"/>
      <c r="H300" s="68"/>
      <c r="I300" s="68"/>
      <c r="J300" s="7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  <c r="AD300" s="68"/>
      <c r="AE300" s="68"/>
    </row>
    <row r="301" ht="26.25" customHeight="1">
      <c r="A301" s="68"/>
      <c r="B301" s="68"/>
      <c r="C301" s="61" t="s">
        <v>129</v>
      </c>
      <c r="D301" s="61" t="s">
        <v>130</v>
      </c>
      <c r="E301" s="68"/>
      <c r="F301" s="68"/>
      <c r="G301" s="68"/>
      <c r="H301" s="68"/>
      <c r="I301" s="68"/>
      <c r="J301" s="7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  <c r="AD301" s="68"/>
      <c r="AE301" s="68"/>
    </row>
    <row r="302" ht="26.25" customHeight="1">
      <c r="A302" s="68"/>
      <c r="B302" s="68"/>
      <c r="C302" s="61" t="s">
        <v>129</v>
      </c>
      <c r="D302" s="61" t="s">
        <v>130</v>
      </c>
      <c r="E302" s="68"/>
      <c r="F302" s="68"/>
      <c r="G302" s="68"/>
      <c r="H302" s="68"/>
      <c r="I302" s="68"/>
      <c r="J302" s="7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  <c r="AD302" s="68"/>
      <c r="AE302" s="68"/>
    </row>
    <row r="303" ht="26.25" customHeight="1">
      <c r="A303" s="68"/>
      <c r="B303" s="68"/>
      <c r="C303" s="61" t="s">
        <v>129</v>
      </c>
      <c r="D303" s="61" t="s">
        <v>130</v>
      </c>
      <c r="E303" s="68"/>
      <c r="F303" s="68"/>
      <c r="G303" s="68"/>
      <c r="H303" s="68"/>
      <c r="I303" s="68"/>
      <c r="J303" s="7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68"/>
    </row>
    <row r="304" ht="26.25" customHeight="1">
      <c r="A304" s="68"/>
      <c r="B304" s="68"/>
      <c r="C304" s="61" t="s">
        <v>129</v>
      </c>
      <c r="D304" s="61" t="s">
        <v>130</v>
      </c>
      <c r="E304" s="68"/>
      <c r="F304" s="68"/>
      <c r="G304" s="68"/>
      <c r="H304" s="68"/>
      <c r="I304" s="68"/>
      <c r="J304" s="7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  <c r="AD304" s="68"/>
      <c r="AE304" s="68"/>
    </row>
    <row r="305" ht="26.25" customHeight="1">
      <c r="A305" s="68"/>
      <c r="B305" s="68"/>
      <c r="C305" s="61" t="s">
        <v>129</v>
      </c>
      <c r="D305" s="61" t="s">
        <v>130</v>
      </c>
      <c r="E305" s="68"/>
      <c r="F305" s="68"/>
      <c r="G305" s="68"/>
      <c r="H305" s="68"/>
      <c r="I305" s="68"/>
      <c r="J305" s="7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  <c r="AE305" s="68"/>
    </row>
    <row r="306" ht="26.25" customHeight="1">
      <c r="A306" s="68"/>
      <c r="B306" s="68"/>
      <c r="C306" s="61" t="s">
        <v>129</v>
      </c>
      <c r="D306" s="61" t="s">
        <v>130</v>
      </c>
      <c r="E306" s="68"/>
      <c r="F306" s="68"/>
      <c r="G306" s="68"/>
      <c r="H306" s="68"/>
      <c r="I306" s="68"/>
      <c r="J306" s="7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  <c r="AD306" s="68"/>
      <c r="AE306" s="68"/>
    </row>
    <row r="307" ht="26.25" customHeight="1">
      <c r="A307" s="68"/>
      <c r="B307" s="68"/>
      <c r="C307" s="61" t="s">
        <v>129</v>
      </c>
      <c r="D307" s="61" t="s">
        <v>130</v>
      </c>
      <c r="E307" s="68"/>
      <c r="F307" s="68"/>
      <c r="G307" s="68"/>
      <c r="H307" s="68"/>
      <c r="I307" s="68"/>
      <c r="J307" s="7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</row>
    <row r="308" ht="26.25" customHeight="1">
      <c r="A308" s="68"/>
      <c r="B308" s="68"/>
      <c r="C308" s="61" t="s">
        <v>129</v>
      </c>
      <c r="D308" s="61" t="s">
        <v>130</v>
      </c>
      <c r="E308" s="68"/>
      <c r="F308" s="68"/>
      <c r="G308" s="68"/>
      <c r="H308" s="68"/>
      <c r="I308" s="68"/>
      <c r="J308" s="7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  <c r="AE308" s="68"/>
    </row>
    <row r="309" ht="26.25" customHeight="1">
      <c r="A309" s="68"/>
      <c r="B309" s="68"/>
      <c r="C309" s="61" t="s">
        <v>129</v>
      </c>
      <c r="D309" s="61" t="s">
        <v>130</v>
      </c>
      <c r="E309" s="68"/>
      <c r="F309" s="68"/>
      <c r="G309" s="68"/>
      <c r="H309" s="68"/>
      <c r="I309" s="68"/>
      <c r="J309" s="7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  <c r="AB309" s="68"/>
      <c r="AC309" s="68"/>
      <c r="AD309" s="68"/>
      <c r="AE309" s="68"/>
    </row>
    <row r="310" ht="26.25" customHeight="1">
      <c r="A310" s="68"/>
      <c r="B310" s="68"/>
      <c r="C310" s="61" t="s">
        <v>129</v>
      </c>
      <c r="D310" s="61" t="s">
        <v>130</v>
      </c>
      <c r="E310" s="68"/>
      <c r="F310" s="68"/>
      <c r="G310" s="68"/>
      <c r="H310" s="68"/>
      <c r="I310" s="68"/>
      <c r="J310" s="7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  <c r="AD310" s="68"/>
      <c r="AE310" s="68"/>
    </row>
    <row r="311" ht="26.25" customHeight="1">
      <c r="A311" s="68"/>
      <c r="B311" s="68"/>
      <c r="C311" s="61" t="s">
        <v>129</v>
      </c>
      <c r="D311" s="61" t="s">
        <v>130</v>
      </c>
      <c r="E311" s="68"/>
      <c r="F311" s="68"/>
      <c r="G311" s="68"/>
      <c r="H311" s="68"/>
      <c r="I311" s="68"/>
      <c r="J311" s="7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  <c r="AD311" s="68"/>
      <c r="AE311" s="68"/>
    </row>
    <row r="312" ht="26.25" customHeight="1">
      <c r="A312" s="68"/>
      <c r="B312" s="68"/>
      <c r="C312" s="61" t="s">
        <v>129</v>
      </c>
      <c r="D312" s="61" t="s">
        <v>130</v>
      </c>
      <c r="E312" s="68"/>
      <c r="F312" s="68"/>
      <c r="G312" s="68"/>
      <c r="H312" s="68"/>
      <c r="I312" s="68"/>
      <c r="J312" s="7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  <c r="AD312" s="68"/>
      <c r="AE312" s="68"/>
    </row>
    <row r="313" ht="26.25" customHeight="1">
      <c r="A313" s="68"/>
      <c r="B313" s="68"/>
      <c r="C313" s="61" t="s">
        <v>129</v>
      </c>
      <c r="D313" s="61" t="s">
        <v>130</v>
      </c>
      <c r="E313" s="68"/>
      <c r="F313" s="68"/>
      <c r="G313" s="68"/>
      <c r="H313" s="68"/>
      <c r="I313" s="68"/>
      <c r="J313" s="7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  <c r="AD313" s="68"/>
      <c r="AE313" s="68"/>
    </row>
    <row r="314" ht="26.25" customHeight="1">
      <c r="A314" s="68"/>
      <c r="B314" s="68"/>
      <c r="C314" s="61" t="s">
        <v>129</v>
      </c>
      <c r="D314" s="61" t="s">
        <v>130</v>
      </c>
      <c r="E314" s="68"/>
      <c r="F314" s="68"/>
      <c r="G314" s="68"/>
      <c r="H314" s="68"/>
      <c r="I314" s="68"/>
      <c r="J314" s="7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  <c r="AD314" s="68"/>
      <c r="AE314" s="68"/>
    </row>
    <row r="315" ht="26.25" customHeight="1">
      <c r="A315" s="68"/>
      <c r="B315" s="68"/>
      <c r="C315" s="61" t="s">
        <v>129</v>
      </c>
      <c r="D315" s="61" t="s">
        <v>130</v>
      </c>
      <c r="E315" s="68"/>
      <c r="F315" s="68"/>
      <c r="G315" s="68"/>
      <c r="H315" s="68"/>
      <c r="I315" s="68"/>
      <c r="J315" s="7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  <c r="AD315" s="68"/>
      <c r="AE315" s="68"/>
    </row>
    <row r="316" ht="26.25" customHeight="1">
      <c r="A316" s="68"/>
      <c r="B316" s="68"/>
      <c r="C316" s="61" t="s">
        <v>129</v>
      </c>
      <c r="D316" s="61" t="s">
        <v>130</v>
      </c>
      <c r="E316" s="68"/>
      <c r="F316" s="68"/>
      <c r="G316" s="68"/>
      <c r="H316" s="68"/>
      <c r="I316" s="68"/>
      <c r="J316" s="7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  <c r="AD316" s="68"/>
      <c r="AE316" s="68"/>
    </row>
    <row r="317" ht="26.25" customHeight="1">
      <c r="A317" s="68"/>
      <c r="B317" s="68"/>
      <c r="C317" s="61" t="s">
        <v>129</v>
      </c>
      <c r="D317" s="61" t="s">
        <v>130</v>
      </c>
      <c r="E317" s="68"/>
      <c r="F317" s="68"/>
      <c r="G317" s="68"/>
      <c r="H317" s="68"/>
      <c r="I317" s="68"/>
      <c r="J317" s="7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  <c r="AD317" s="68"/>
      <c r="AE317" s="68"/>
    </row>
    <row r="318" ht="26.25" customHeight="1">
      <c r="A318" s="68"/>
      <c r="B318" s="68"/>
      <c r="C318" s="61" t="s">
        <v>129</v>
      </c>
      <c r="D318" s="61" t="s">
        <v>130</v>
      </c>
      <c r="E318" s="68"/>
      <c r="F318" s="68"/>
      <c r="G318" s="68"/>
      <c r="H318" s="68"/>
      <c r="I318" s="68"/>
      <c r="J318" s="7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  <c r="AE318" s="68"/>
    </row>
    <row r="319" ht="26.25" customHeight="1">
      <c r="A319" s="68"/>
      <c r="B319" s="68"/>
      <c r="C319" s="61" t="s">
        <v>129</v>
      </c>
      <c r="D319" s="61" t="s">
        <v>130</v>
      </c>
      <c r="E319" s="68"/>
      <c r="F319" s="68"/>
      <c r="G319" s="68"/>
      <c r="H319" s="68"/>
      <c r="I319" s="68"/>
      <c r="J319" s="7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  <c r="AE319" s="68"/>
    </row>
    <row r="320" ht="26.25" customHeight="1">
      <c r="A320" s="68"/>
      <c r="B320" s="68"/>
      <c r="C320" s="61" t="s">
        <v>129</v>
      </c>
      <c r="D320" s="61" t="s">
        <v>130</v>
      </c>
      <c r="E320" s="68"/>
      <c r="F320" s="68"/>
      <c r="G320" s="68"/>
      <c r="H320" s="68"/>
      <c r="I320" s="68"/>
      <c r="J320" s="7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  <c r="AE320" s="68"/>
    </row>
    <row r="321" ht="26.25" customHeight="1">
      <c r="A321" s="68"/>
      <c r="B321" s="68"/>
      <c r="C321" s="61" t="s">
        <v>129</v>
      </c>
      <c r="D321" s="61" t="s">
        <v>130</v>
      </c>
      <c r="E321" s="68"/>
      <c r="F321" s="68"/>
      <c r="G321" s="68"/>
      <c r="H321" s="68"/>
      <c r="I321" s="68"/>
      <c r="J321" s="7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  <c r="AD321" s="68"/>
      <c r="AE321" s="68"/>
    </row>
    <row r="322" ht="26.25" customHeight="1">
      <c r="A322" s="68"/>
      <c r="B322" s="68"/>
      <c r="C322" s="61" t="s">
        <v>129</v>
      </c>
      <c r="D322" s="61" t="s">
        <v>130</v>
      </c>
      <c r="E322" s="68"/>
      <c r="F322" s="68"/>
      <c r="G322" s="68"/>
      <c r="H322" s="68"/>
      <c r="I322" s="68"/>
      <c r="J322" s="7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  <c r="AD322" s="68"/>
      <c r="AE322" s="68"/>
    </row>
    <row r="323" ht="26.25" customHeight="1">
      <c r="A323" s="68"/>
      <c r="B323" s="68"/>
      <c r="C323" s="61" t="s">
        <v>129</v>
      </c>
      <c r="D323" s="61" t="s">
        <v>130</v>
      </c>
      <c r="E323" s="68"/>
      <c r="F323" s="68"/>
      <c r="G323" s="68"/>
      <c r="H323" s="68"/>
      <c r="I323" s="68"/>
      <c r="J323" s="7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  <c r="AD323" s="68"/>
      <c r="AE323" s="68"/>
    </row>
    <row r="324" ht="26.25" customHeight="1">
      <c r="A324" s="68"/>
      <c r="B324" s="68"/>
      <c r="C324" s="61" t="s">
        <v>129</v>
      </c>
      <c r="D324" s="61" t="s">
        <v>130</v>
      </c>
      <c r="E324" s="68"/>
      <c r="F324" s="68"/>
      <c r="G324" s="68"/>
      <c r="H324" s="68"/>
      <c r="I324" s="68"/>
      <c r="J324" s="7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  <c r="AB324" s="68"/>
      <c r="AC324" s="68"/>
      <c r="AD324" s="68"/>
      <c r="AE324" s="68"/>
    </row>
    <row r="325" ht="26.25" customHeight="1">
      <c r="A325" s="68"/>
      <c r="B325" s="68"/>
      <c r="C325" s="61" t="s">
        <v>129</v>
      </c>
      <c r="D325" s="61" t="s">
        <v>130</v>
      </c>
      <c r="E325" s="68"/>
      <c r="F325" s="68"/>
      <c r="G325" s="68"/>
      <c r="H325" s="68"/>
      <c r="I325" s="68"/>
      <c r="J325" s="7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  <c r="AB325" s="68"/>
      <c r="AC325" s="68"/>
      <c r="AD325" s="68"/>
      <c r="AE325" s="68"/>
    </row>
    <row r="326" ht="26.25" customHeight="1">
      <c r="A326" s="68"/>
      <c r="B326" s="68"/>
      <c r="C326" s="61" t="s">
        <v>129</v>
      </c>
      <c r="D326" s="61" t="s">
        <v>130</v>
      </c>
      <c r="E326" s="68"/>
      <c r="F326" s="68"/>
      <c r="G326" s="68"/>
      <c r="H326" s="68"/>
      <c r="I326" s="68"/>
      <c r="J326" s="7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  <c r="AD326" s="68"/>
      <c r="AE326" s="68"/>
    </row>
    <row r="327" ht="26.25" customHeight="1">
      <c r="A327" s="68"/>
      <c r="B327" s="68"/>
      <c r="C327" s="61" t="s">
        <v>129</v>
      </c>
      <c r="D327" s="61" t="s">
        <v>130</v>
      </c>
      <c r="E327" s="68"/>
      <c r="F327" s="68"/>
      <c r="G327" s="68"/>
      <c r="H327" s="68"/>
      <c r="I327" s="68"/>
      <c r="J327" s="7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  <c r="AB327" s="68"/>
      <c r="AC327" s="68"/>
      <c r="AD327" s="68"/>
      <c r="AE327" s="68"/>
    </row>
    <row r="328" ht="26.25" customHeight="1">
      <c r="A328" s="68"/>
      <c r="B328" s="68"/>
      <c r="C328" s="61" t="s">
        <v>129</v>
      </c>
      <c r="D328" s="61" t="s">
        <v>130</v>
      </c>
      <c r="E328" s="68"/>
      <c r="F328" s="68"/>
      <c r="G328" s="68"/>
      <c r="H328" s="68"/>
      <c r="I328" s="68"/>
      <c r="J328" s="7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  <c r="AD328" s="68"/>
      <c r="AE328" s="68"/>
    </row>
    <row r="329" ht="26.25" customHeight="1">
      <c r="A329" s="68"/>
      <c r="B329" s="68"/>
      <c r="C329" s="61" t="s">
        <v>129</v>
      </c>
      <c r="D329" s="61" t="s">
        <v>130</v>
      </c>
      <c r="E329" s="68"/>
      <c r="F329" s="68"/>
      <c r="G329" s="68"/>
      <c r="H329" s="68"/>
      <c r="I329" s="68"/>
      <c r="J329" s="7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68"/>
      <c r="AC329" s="68"/>
      <c r="AD329" s="68"/>
      <c r="AE329" s="68"/>
    </row>
    <row r="330" ht="26.25" customHeight="1">
      <c r="A330" s="68"/>
      <c r="B330" s="68"/>
      <c r="C330" s="61" t="s">
        <v>129</v>
      </c>
      <c r="D330" s="61" t="s">
        <v>130</v>
      </c>
      <c r="E330" s="68"/>
      <c r="F330" s="68"/>
      <c r="G330" s="68"/>
      <c r="H330" s="68"/>
      <c r="I330" s="68"/>
      <c r="J330" s="7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  <c r="AC330" s="68"/>
      <c r="AD330" s="68"/>
      <c r="AE330" s="68"/>
    </row>
    <row r="331" ht="26.25" customHeight="1">
      <c r="A331" s="68"/>
      <c r="B331" s="68"/>
      <c r="C331" s="61" t="s">
        <v>129</v>
      </c>
      <c r="D331" s="61" t="s">
        <v>130</v>
      </c>
      <c r="E331" s="68"/>
      <c r="F331" s="68"/>
      <c r="G331" s="68"/>
      <c r="H331" s="68"/>
      <c r="I331" s="68"/>
      <c r="J331" s="7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  <c r="AB331" s="68"/>
      <c r="AC331" s="68"/>
      <c r="AD331" s="68"/>
      <c r="AE331" s="68"/>
    </row>
    <row r="332" ht="26.25" customHeight="1">
      <c r="A332" s="68"/>
      <c r="B332" s="68"/>
      <c r="C332" s="61" t="s">
        <v>129</v>
      </c>
      <c r="D332" s="61" t="s">
        <v>130</v>
      </c>
      <c r="E332" s="68"/>
      <c r="F332" s="68"/>
      <c r="G332" s="68"/>
      <c r="H332" s="68"/>
      <c r="I332" s="68"/>
      <c r="J332" s="7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  <c r="AB332" s="68"/>
      <c r="AC332" s="68"/>
      <c r="AD332" s="68"/>
      <c r="AE332" s="68"/>
    </row>
    <row r="333" ht="26.25" customHeight="1">
      <c r="A333" s="68"/>
      <c r="B333" s="68"/>
      <c r="C333" s="61" t="s">
        <v>129</v>
      </c>
      <c r="D333" s="61" t="s">
        <v>130</v>
      </c>
      <c r="E333" s="68"/>
      <c r="F333" s="68"/>
      <c r="G333" s="68"/>
      <c r="H333" s="68"/>
      <c r="I333" s="68"/>
      <c r="J333" s="7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  <c r="AD333" s="68"/>
      <c r="AE333" s="68"/>
    </row>
    <row r="334" ht="26.25" customHeight="1">
      <c r="A334" s="68"/>
      <c r="B334" s="68"/>
      <c r="C334" s="61" t="s">
        <v>129</v>
      </c>
      <c r="D334" s="61" t="s">
        <v>130</v>
      </c>
      <c r="E334" s="68"/>
      <c r="F334" s="68"/>
      <c r="G334" s="68"/>
      <c r="H334" s="68"/>
      <c r="I334" s="68"/>
      <c r="J334" s="7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  <c r="AD334" s="68"/>
      <c r="AE334" s="68"/>
    </row>
    <row r="335" ht="26.25" customHeight="1">
      <c r="A335" s="68"/>
      <c r="B335" s="68"/>
      <c r="C335" s="61" t="s">
        <v>129</v>
      </c>
      <c r="D335" s="61" t="s">
        <v>130</v>
      </c>
      <c r="E335" s="68"/>
      <c r="F335" s="68"/>
      <c r="G335" s="68"/>
      <c r="H335" s="68"/>
      <c r="I335" s="68"/>
      <c r="J335" s="7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  <c r="AA335" s="68"/>
      <c r="AB335" s="68"/>
      <c r="AC335" s="68"/>
      <c r="AD335" s="68"/>
      <c r="AE335" s="68"/>
    </row>
    <row r="336" ht="26.25" customHeight="1">
      <c r="A336" s="68"/>
      <c r="B336" s="68"/>
      <c r="C336" s="61" t="s">
        <v>129</v>
      </c>
      <c r="D336" s="61" t="s">
        <v>130</v>
      </c>
      <c r="E336" s="68"/>
      <c r="F336" s="68"/>
      <c r="G336" s="68"/>
      <c r="H336" s="68"/>
      <c r="I336" s="68"/>
      <c r="J336" s="7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  <c r="AA336" s="68"/>
      <c r="AB336" s="68"/>
      <c r="AC336" s="68"/>
      <c r="AD336" s="68"/>
      <c r="AE336" s="68"/>
    </row>
    <row r="337" ht="26.25" customHeight="1">
      <c r="A337" s="68"/>
      <c r="B337" s="68"/>
      <c r="C337" s="61" t="s">
        <v>129</v>
      </c>
      <c r="D337" s="61" t="s">
        <v>130</v>
      </c>
      <c r="E337" s="68"/>
      <c r="F337" s="68"/>
      <c r="G337" s="68"/>
      <c r="H337" s="68"/>
      <c r="I337" s="68"/>
      <c r="J337" s="7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  <c r="AA337" s="68"/>
      <c r="AB337" s="68"/>
      <c r="AC337" s="68"/>
      <c r="AD337" s="68"/>
      <c r="AE337" s="68"/>
    </row>
    <row r="338" ht="26.25" customHeight="1">
      <c r="A338" s="68"/>
      <c r="B338" s="68"/>
      <c r="C338" s="61" t="s">
        <v>129</v>
      </c>
      <c r="D338" s="61" t="s">
        <v>130</v>
      </c>
      <c r="E338" s="68"/>
      <c r="F338" s="68"/>
      <c r="G338" s="68"/>
      <c r="H338" s="68"/>
      <c r="I338" s="68"/>
      <c r="J338" s="7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  <c r="AA338" s="68"/>
      <c r="AB338" s="68"/>
      <c r="AC338" s="68"/>
      <c r="AD338" s="68"/>
      <c r="AE338" s="68"/>
    </row>
    <row r="339" ht="26.25" customHeight="1">
      <c r="A339" s="68"/>
      <c r="B339" s="68"/>
      <c r="C339" s="61" t="s">
        <v>129</v>
      </c>
      <c r="D339" s="61" t="s">
        <v>130</v>
      </c>
      <c r="E339" s="68"/>
      <c r="F339" s="68"/>
      <c r="G339" s="68"/>
      <c r="H339" s="68"/>
      <c r="I339" s="68"/>
      <c r="J339" s="7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  <c r="AA339" s="68"/>
      <c r="AB339" s="68"/>
      <c r="AC339" s="68"/>
      <c r="AD339" s="68"/>
      <c r="AE339" s="68"/>
    </row>
    <row r="340" ht="26.25" customHeight="1">
      <c r="A340" s="68"/>
      <c r="B340" s="68"/>
      <c r="C340" s="61" t="s">
        <v>129</v>
      </c>
      <c r="D340" s="61" t="s">
        <v>130</v>
      </c>
      <c r="E340" s="68"/>
      <c r="F340" s="68"/>
      <c r="G340" s="68"/>
      <c r="H340" s="68"/>
      <c r="I340" s="68"/>
      <c r="J340" s="7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  <c r="AA340" s="68"/>
      <c r="AB340" s="68"/>
      <c r="AC340" s="68"/>
      <c r="AD340" s="68"/>
      <c r="AE340" s="68"/>
    </row>
    <row r="341" ht="26.25" customHeight="1">
      <c r="A341" s="68"/>
      <c r="B341" s="68"/>
      <c r="C341" s="61" t="s">
        <v>129</v>
      </c>
      <c r="D341" s="61" t="s">
        <v>130</v>
      </c>
      <c r="E341" s="68"/>
      <c r="F341" s="68"/>
      <c r="G341" s="68"/>
      <c r="H341" s="68"/>
      <c r="I341" s="68"/>
      <c r="J341" s="7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  <c r="AA341" s="68"/>
      <c r="AB341" s="68"/>
      <c r="AC341" s="68"/>
      <c r="AD341" s="68"/>
      <c r="AE341" s="68"/>
    </row>
    <row r="342" ht="26.25" customHeight="1">
      <c r="A342" s="68"/>
      <c r="B342" s="68"/>
      <c r="C342" s="61" t="s">
        <v>129</v>
      </c>
      <c r="D342" s="61" t="s">
        <v>130</v>
      </c>
      <c r="E342" s="68"/>
      <c r="F342" s="68"/>
      <c r="G342" s="68"/>
      <c r="H342" s="68"/>
      <c r="I342" s="68"/>
      <c r="J342" s="7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  <c r="AA342" s="68"/>
      <c r="AB342" s="68"/>
      <c r="AC342" s="68"/>
      <c r="AD342" s="68"/>
      <c r="AE342" s="68"/>
    </row>
    <row r="343" ht="26.25" customHeight="1">
      <c r="A343" s="68"/>
      <c r="B343" s="68"/>
      <c r="C343" s="61" t="s">
        <v>129</v>
      </c>
      <c r="D343" s="61" t="s">
        <v>130</v>
      </c>
      <c r="E343" s="68"/>
      <c r="F343" s="68"/>
      <c r="G343" s="68"/>
      <c r="H343" s="68"/>
      <c r="I343" s="68"/>
      <c r="J343" s="7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  <c r="AA343" s="68"/>
      <c r="AB343" s="68"/>
      <c r="AC343" s="68"/>
      <c r="AD343" s="68"/>
      <c r="AE343" s="68"/>
    </row>
    <row r="344" ht="26.25" customHeight="1">
      <c r="A344" s="68"/>
      <c r="B344" s="68"/>
      <c r="C344" s="61" t="s">
        <v>129</v>
      </c>
      <c r="D344" s="61" t="s">
        <v>130</v>
      </c>
      <c r="E344" s="68"/>
      <c r="F344" s="68"/>
      <c r="G344" s="68"/>
      <c r="H344" s="68"/>
      <c r="I344" s="68"/>
      <c r="J344" s="7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  <c r="AA344" s="68"/>
      <c r="AB344" s="68"/>
      <c r="AC344" s="68"/>
      <c r="AD344" s="68"/>
      <c r="AE344" s="68"/>
    </row>
    <row r="345" ht="26.25" customHeight="1">
      <c r="A345" s="68"/>
      <c r="B345" s="68"/>
      <c r="C345" s="61" t="s">
        <v>129</v>
      </c>
      <c r="D345" s="61" t="s">
        <v>130</v>
      </c>
      <c r="E345" s="68"/>
      <c r="F345" s="68"/>
      <c r="G345" s="68"/>
      <c r="H345" s="68"/>
      <c r="I345" s="68"/>
      <c r="J345" s="7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  <c r="AA345" s="68"/>
      <c r="AB345" s="68"/>
      <c r="AC345" s="68"/>
      <c r="AD345" s="68"/>
      <c r="AE345" s="68"/>
    </row>
    <row r="346" ht="26.25" customHeight="1">
      <c r="A346" s="68"/>
      <c r="B346" s="68"/>
      <c r="C346" s="61" t="s">
        <v>129</v>
      </c>
      <c r="D346" s="61" t="s">
        <v>130</v>
      </c>
      <c r="E346" s="68"/>
      <c r="F346" s="68"/>
      <c r="G346" s="68"/>
      <c r="H346" s="68"/>
      <c r="I346" s="68"/>
      <c r="J346" s="7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  <c r="AA346" s="68"/>
      <c r="AB346" s="68"/>
      <c r="AC346" s="68"/>
      <c r="AD346" s="68"/>
      <c r="AE346" s="68"/>
    </row>
    <row r="347" ht="26.25" customHeight="1">
      <c r="A347" s="68"/>
      <c r="B347" s="68"/>
      <c r="C347" s="61" t="s">
        <v>129</v>
      </c>
      <c r="D347" s="61" t="s">
        <v>130</v>
      </c>
      <c r="E347" s="68"/>
      <c r="F347" s="68"/>
      <c r="G347" s="68"/>
      <c r="H347" s="68"/>
      <c r="I347" s="68"/>
      <c r="J347" s="7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  <c r="AA347" s="68"/>
      <c r="AB347" s="68"/>
      <c r="AC347" s="68"/>
      <c r="AD347" s="68"/>
      <c r="AE347" s="68"/>
    </row>
    <row r="348" ht="26.25" customHeight="1">
      <c r="A348" s="68"/>
      <c r="B348" s="68"/>
      <c r="C348" s="61" t="s">
        <v>129</v>
      </c>
      <c r="D348" s="61" t="s">
        <v>130</v>
      </c>
      <c r="E348" s="68"/>
      <c r="F348" s="68"/>
      <c r="G348" s="68"/>
      <c r="H348" s="68"/>
      <c r="I348" s="68"/>
      <c r="J348" s="7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  <c r="AA348" s="68"/>
      <c r="AB348" s="68"/>
      <c r="AC348" s="68"/>
      <c r="AD348" s="68"/>
      <c r="AE348" s="68"/>
    </row>
    <row r="349" ht="26.25" customHeight="1">
      <c r="A349" s="68"/>
      <c r="B349" s="68"/>
      <c r="C349" s="61" t="s">
        <v>129</v>
      </c>
      <c r="D349" s="61" t="s">
        <v>130</v>
      </c>
      <c r="E349" s="68"/>
      <c r="F349" s="68"/>
      <c r="G349" s="68"/>
      <c r="H349" s="68"/>
      <c r="I349" s="68"/>
      <c r="J349" s="7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  <c r="AA349" s="68"/>
      <c r="AB349" s="68"/>
      <c r="AC349" s="68"/>
      <c r="AD349" s="68"/>
      <c r="AE349" s="68"/>
    </row>
    <row r="350" ht="26.25" customHeight="1">
      <c r="A350" s="68"/>
      <c r="B350" s="68"/>
      <c r="C350" s="61" t="s">
        <v>129</v>
      </c>
      <c r="D350" s="61" t="s">
        <v>130</v>
      </c>
      <c r="E350" s="68"/>
      <c r="F350" s="68"/>
      <c r="G350" s="68"/>
      <c r="H350" s="68"/>
      <c r="I350" s="68"/>
      <c r="J350" s="7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  <c r="AA350" s="68"/>
      <c r="AB350" s="68"/>
      <c r="AC350" s="68"/>
      <c r="AD350" s="68"/>
      <c r="AE350" s="68"/>
    </row>
    <row r="351" ht="26.25" customHeight="1">
      <c r="A351" s="68"/>
      <c r="B351" s="68"/>
      <c r="C351" s="61" t="s">
        <v>129</v>
      </c>
      <c r="D351" s="61" t="s">
        <v>130</v>
      </c>
      <c r="E351" s="68"/>
      <c r="F351" s="68"/>
      <c r="G351" s="68"/>
      <c r="H351" s="68"/>
      <c r="I351" s="68"/>
      <c r="J351" s="7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  <c r="AA351" s="68"/>
      <c r="AB351" s="68"/>
      <c r="AC351" s="68"/>
      <c r="AD351" s="68"/>
      <c r="AE351" s="68"/>
    </row>
    <row r="352" ht="26.25" customHeight="1">
      <c r="A352" s="68"/>
      <c r="B352" s="68"/>
      <c r="C352" s="61" t="s">
        <v>129</v>
      </c>
      <c r="D352" s="61" t="s">
        <v>130</v>
      </c>
      <c r="E352" s="68"/>
      <c r="F352" s="68"/>
      <c r="G352" s="68"/>
      <c r="H352" s="68"/>
      <c r="I352" s="68"/>
      <c r="J352" s="7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  <c r="AA352" s="68"/>
      <c r="AB352" s="68"/>
      <c r="AC352" s="68"/>
      <c r="AD352" s="68"/>
      <c r="AE352" s="68"/>
    </row>
    <row r="353" ht="26.25" customHeight="1">
      <c r="A353" s="68"/>
      <c r="B353" s="68"/>
      <c r="C353" s="61" t="s">
        <v>129</v>
      </c>
      <c r="D353" s="61" t="s">
        <v>130</v>
      </c>
      <c r="E353" s="68"/>
      <c r="F353" s="68"/>
      <c r="G353" s="68"/>
      <c r="H353" s="68"/>
      <c r="I353" s="68"/>
      <c r="J353" s="7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  <c r="AA353" s="68"/>
      <c r="AB353" s="68"/>
      <c r="AC353" s="68"/>
      <c r="AD353" s="68"/>
      <c r="AE353" s="68"/>
    </row>
    <row r="354" ht="26.25" customHeight="1">
      <c r="A354" s="68"/>
      <c r="B354" s="68"/>
      <c r="C354" s="61" t="s">
        <v>129</v>
      </c>
      <c r="D354" s="61" t="s">
        <v>130</v>
      </c>
      <c r="E354" s="68"/>
      <c r="F354" s="68"/>
      <c r="G354" s="68"/>
      <c r="H354" s="68"/>
      <c r="I354" s="68"/>
      <c r="J354" s="7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  <c r="AA354" s="68"/>
      <c r="AB354" s="68"/>
      <c r="AC354" s="68"/>
      <c r="AD354" s="68"/>
      <c r="AE354" s="68"/>
    </row>
    <row r="355" ht="26.25" customHeight="1">
      <c r="A355" s="68"/>
      <c r="B355" s="68"/>
      <c r="C355" s="61" t="s">
        <v>129</v>
      </c>
      <c r="D355" s="61" t="s">
        <v>130</v>
      </c>
      <c r="E355" s="68"/>
      <c r="F355" s="68"/>
      <c r="G355" s="68"/>
      <c r="H355" s="68"/>
      <c r="I355" s="68"/>
      <c r="J355" s="7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  <c r="AA355" s="68"/>
      <c r="AB355" s="68"/>
      <c r="AC355" s="68"/>
      <c r="AD355" s="68"/>
      <c r="AE355" s="68"/>
    </row>
    <row r="356" ht="26.25" customHeight="1">
      <c r="A356" s="68"/>
      <c r="B356" s="68"/>
      <c r="C356" s="61" t="s">
        <v>129</v>
      </c>
      <c r="D356" s="61" t="s">
        <v>130</v>
      </c>
      <c r="E356" s="68"/>
      <c r="F356" s="68"/>
      <c r="G356" s="68"/>
      <c r="H356" s="68"/>
      <c r="I356" s="68"/>
      <c r="J356" s="7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  <c r="AA356" s="68"/>
      <c r="AB356" s="68"/>
      <c r="AC356" s="68"/>
      <c r="AD356" s="68"/>
      <c r="AE356" s="68"/>
    </row>
    <row r="357" ht="26.25" customHeight="1">
      <c r="A357" s="68"/>
      <c r="B357" s="68"/>
      <c r="C357" s="61" t="s">
        <v>129</v>
      </c>
      <c r="D357" s="61" t="s">
        <v>130</v>
      </c>
      <c r="E357" s="68"/>
      <c r="F357" s="68"/>
      <c r="G357" s="68"/>
      <c r="H357" s="68"/>
      <c r="I357" s="68"/>
      <c r="J357" s="7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  <c r="AA357" s="68"/>
      <c r="AB357" s="68"/>
      <c r="AC357" s="68"/>
      <c r="AD357" s="68"/>
      <c r="AE357" s="68"/>
    </row>
    <row r="358" ht="26.25" customHeight="1">
      <c r="A358" s="68"/>
      <c r="B358" s="68"/>
      <c r="C358" s="61" t="s">
        <v>129</v>
      </c>
      <c r="D358" s="61" t="s">
        <v>130</v>
      </c>
      <c r="E358" s="68"/>
      <c r="F358" s="68"/>
      <c r="G358" s="68"/>
      <c r="H358" s="68"/>
      <c r="I358" s="68"/>
      <c r="J358" s="7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  <c r="AA358" s="68"/>
      <c r="AB358" s="68"/>
      <c r="AC358" s="68"/>
      <c r="AD358" s="68"/>
      <c r="AE358" s="68"/>
    </row>
    <row r="359" ht="26.25" customHeight="1">
      <c r="A359" s="68"/>
      <c r="B359" s="68"/>
      <c r="C359" s="61" t="s">
        <v>129</v>
      </c>
      <c r="D359" s="61" t="s">
        <v>130</v>
      </c>
      <c r="E359" s="68"/>
      <c r="F359" s="68"/>
      <c r="G359" s="68"/>
      <c r="H359" s="68"/>
      <c r="I359" s="68"/>
      <c r="J359" s="7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  <c r="AA359" s="68"/>
      <c r="AB359" s="68"/>
      <c r="AC359" s="68"/>
      <c r="AD359" s="68"/>
      <c r="AE359" s="68"/>
    </row>
    <row r="360" ht="26.25" customHeight="1">
      <c r="A360" s="68"/>
      <c r="B360" s="68"/>
      <c r="C360" s="61" t="s">
        <v>129</v>
      </c>
      <c r="D360" s="61" t="s">
        <v>130</v>
      </c>
      <c r="E360" s="68"/>
      <c r="F360" s="68"/>
      <c r="G360" s="68"/>
      <c r="H360" s="68"/>
      <c r="I360" s="68"/>
      <c r="J360" s="7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  <c r="AA360" s="68"/>
      <c r="AB360" s="68"/>
      <c r="AC360" s="68"/>
      <c r="AD360" s="68"/>
      <c r="AE360" s="68"/>
    </row>
    <row r="361" ht="26.25" customHeight="1">
      <c r="A361" s="68"/>
      <c r="B361" s="68"/>
      <c r="C361" s="61" t="s">
        <v>129</v>
      </c>
      <c r="D361" s="61" t="s">
        <v>130</v>
      </c>
      <c r="E361" s="68"/>
      <c r="F361" s="68"/>
      <c r="G361" s="68"/>
      <c r="H361" s="68"/>
      <c r="I361" s="68"/>
      <c r="J361" s="7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  <c r="AA361" s="68"/>
      <c r="AB361" s="68"/>
      <c r="AC361" s="68"/>
      <c r="AD361" s="68"/>
      <c r="AE361" s="68"/>
    </row>
    <row r="362" ht="26.25" customHeight="1">
      <c r="A362" s="68"/>
      <c r="B362" s="68"/>
      <c r="C362" s="61" t="s">
        <v>129</v>
      </c>
      <c r="D362" s="61" t="s">
        <v>130</v>
      </c>
      <c r="E362" s="68"/>
      <c r="F362" s="68"/>
      <c r="G362" s="68"/>
      <c r="H362" s="68"/>
      <c r="I362" s="68"/>
      <c r="J362" s="7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  <c r="AA362" s="68"/>
      <c r="AB362" s="68"/>
      <c r="AC362" s="68"/>
      <c r="AD362" s="68"/>
      <c r="AE362" s="68"/>
    </row>
    <row r="363" ht="26.25" customHeight="1">
      <c r="A363" s="68"/>
      <c r="B363" s="68"/>
      <c r="C363" s="61" t="s">
        <v>129</v>
      </c>
      <c r="D363" s="61" t="s">
        <v>130</v>
      </c>
      <c r="E363" s="68"/>
      <c r="F363" s="68"/>
      <c r="G363" s="68"/>
      <c r="H363" s="68"/>
      <c r="I363" s="68"/>
      <c r="J363" s="7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  <c r="AA363" s="68"/>
      <c r="AB363" s="68"/>
      <c r="AC363" s="68"/>
      <c r="AD363" s="68"/>
      <c r="AE363" s="68"/>
    </row>
    <row r="364" ht="26.25" customHeight="1">
      <c r="A364" s="68"/>
      <c r="B364" s="68"/>
      <c r="C364" s="61" t="s">
        <v>129</v>
      </c>
      <c r="D364" s="61" t="s">
        <v>130</v>
      </c>
      <c r="E364" s="68"/>
      <c r="F364" s="68"/>
      <c r="G364" s="68"/>
      <c r="H364" s="68"/>
      <c r="I364" s="68"/>
      <c r="J364" s="7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  <c r="AA364" s="68"/>
      <c r="AB364" s="68"/>
      <c r="AC364" s="68"/>
      <c r="AD364" s="68"/>
      <c r="AE364" s="68"/>
    </row>
    <row r="365" ht="26.25" customHeight="1">
      <c r="A365" s="68"/>
      <c r="B365" s="68"/>
      <c r="C365" s="61" t="s">
        <v>129</v>
      </c>
      <c r="D365" s="61" t="s">
        <v>130</v>
      </c>
      <c r="E365" s="68"/>
      <c r="F365" s="68"/>
      <c r="G365" s="68"/>
      <c r="H365" s="68"/>
      <c r="I365" s="68"/>
      <c r="J365" s="7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  <c r="AA365" s="68"/>
      <c r="AB365" s="68"/>
      <c r="AC365" s="68"/>
      <c r="AD365" s="68"/>
      <c r="AE365" s="68"/>
    </row>
    <row r="366" ht="26.25" customHeight="1">
      <c r="A366" s="68"/>
      <c r="B366" s="68"/>
      <c r="C366" s="61" t="s">
        <v>129</v>
      </c>
      <c r="D366" s="61" t="s">
        <v>130</v>
      </c>
      <c r="E366" s="68"/>
      <c r="F366" s="68"/>
      <c r="G366" s="68"/>
      <c r="H366" s="68"/>
      <c r="I366" s="68"/>
      <c r="J366" s="7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  <c r="AA366" s="68"/>
      <c r="AB366" s="68"/>
      <c r="AC366" s="68"/>
      <c r="AD366" s="68"/>
      <c r="AE366" s="68"/>
    </row>
    <row r="367" ht="26.25" customHeight="1">
      <c r="A367" s="68"/>
      <c r="B367" s="68"/>
      <c r="C367" s="61" t="s">
        <v>129</v>
      </c>
      <c r="D367" s="61" t="s">
        <v>130</v>
      </c>
      <c r="E367" s="68"/>
      <c r="F367" s="68"/>
      <c r="G367" s="68"/>
      <c r="H367" s="68"/>
      <c r="I367" s="68"/>
      <c r="J367" s="7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  <c r="AA367" s="68"/>
      <c r="AB367" s="68"/>
      <c r="AC367" s="68"/>
      <c r="AD367" s="68"/>
      <c r="AE367" s="68"/>
    </row>
    <row r="368" ht="26.25" customHeight="1">
      <c r="A368" s="68"/>
      <c r="B368" s="68"/>
      <c r="C368" s="61" t="s">
        <v>129</v>
      </c>
      <c r="D368" s="61" t="s">
        <v>130</v>
      </c>
      <c r="E368" s="68"/>
      <c r="F368" s="68"/>
      <c r="G368" s="68"/>
      <c r="H368" s="68"/>
      <c r="I368" s="68"/>
      <c r="J368" s="7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  <c r="AA368" s="68"/>
      <c r="AB368" s="68"/>
      <c r="AC368" s="68"/>
      <c r="AD368" s="68"/>
      <c r="AE368" s="68"/>
    </row>
    <row r="369" ht="26.25" customHeight="1">
      <c r="A369" s="68"/>
      <c r="B369" s="68"/>
      <c r="C369" s="61" t="s">
        <v>129</v>
      </c>
      <c r="D369" s="61" t="s">
        <v>130</v>
      </c>
      <c r="E369" s="68"/>
      <c r="F369" s="68"/>
      <c r="G369" s="68"/>
      <c r="H369" s="68"/>
      <c r="I369" s="68"/>
      <c r="J369" s="7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  <c r="AA369" s="68"/>
      <c r="AB369" s="68"/>
      <c r="AC369" s="68"/>
      <c r="AD369" s="68"/>
      <c r="AE369" s="68"/>
    </row>
    <row r="370" ht="26.25" customHeight="1">
      <c r="A370" s="68"/>
      <c r="B370" s="68"/>
      <c r="C370" s="61" t="s">
        <v>129</v>
      </c>
      <c r="D370" s="61" t="s">
        <v>130</v>
      </c>
      <c r="E370" s="68"/>
      <c r="F370" s="68"/>
      <c r="G370" s="68"/>
      <c r="H370" s="68"/>
      <c r="I370" s="68"/>
      <c r="J370" s="7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  <c r="AA370" s="68"/>
      <c r="AB370" s="68"/>
      <c r="AC370" s="68"/>
      <c r="AD370" s="68"/>
      <c r="AE370" s="68"/>
    </row>
    <row r="371" ht="26.25" customHeight="1">
      <c r="A371" s="68"/>
      <c r="B371" s="68"/>
      <c r="C371" s="61" t="s">
        <v>129</v>
      </c>
      <c r="D371" s="61" t="s">
        <v>130</v>
      </c>
      <c r="E371" s="68"/>
      <c r="F371" s="68"/>
      <c r="G371" s="68"/>
      <c r="H371" s="68"/>
      <c r="I371" s="68"/>
      <c r="J371" s="7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  <c r="AA371" s="68"/>
      <c r="AB371" s="68"/>
      <c r="AC371" s="68"/>
      <c r="AD371" s="68"/>
      <c r="AE371" s="68"/>
    </row>
    <row r="372" ht="26.25" customHeight="1">
      <c r="A372" s="68"/>
      <c r="B372" s="68"/>
      <c r="C372" s="61" t="s">
        <v>129</v>
      </c>
      <c r="D372" s="61" t="s">
        <v>130</v>
      </c>
      <c r="E372" s="68"/>
      <c r="F372" s="68"/>
      <c r="G372" s="68"/>
      <c r="H372" s="68"/>
      <c r="I372" s="68"/>
      <c r="J372" s="7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  <c r="AA372" s="68"/>
      <c r="AB372" s="68"/>
      <c r="AC372" s="68"/>
      <c r="AD372" s="68"/>
      <c r="AE372" s="68"/>
    </row>
    <row r="373" ht="26.25" customHeight="1">
      <c r="A373" s="68"/>
      <c r="B373" s="68"/>
      <c r="C373" s="61" t="s">
        <v>129</v>
      </c>
      <c r="D373" s="61" t="s">
        <v>130</v>
      </c>
      <c r="E373" s="68"/>
      <c r="F373" s="68"/>
      <c r="G373" s="68"/>
      <c r="H373" s="68"/>
      <c r="I373" s="68"/>
      <c r="J373" s="7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  <c r="AA373" s="68"/>
      <c r="AB373" s="68"/>
      <c r="AC373" s="68"/>
      <c r="AD373" s="68"/>
      <c r="AE373" s="68"/>
    </row>
    <row r="374" ht="26.25" customHeight="1">
      <c r="A374" s="68"/>
      <c r="B374" s="68"/>
      <c r="C374" s="61" t="s">
        <v>129</v>
      </c>
      <c r="D374" s="61" t="s">
        <v>130</v>
      </c>
      <c r="E374" s="68"/>
      <c r="F374" s="68"/>
      <c r="G374" s="68"/>
      <c r="H374" s="68"/>
      <c r="I374" s="68"/>
      <c r="J374" s="7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  <c r="AA374" s="68"/>
      <c r="AB374" s="68"/>
      <c r="AC374" s="68"/>
      <c r="AD374" s="68"/>
      <c r="AE374" s="68"/>
    </row>
    <row r="375" ht="26.25" customHeight="1">
      <c r="A375" s="68"/>
      <c r="B375" s="68"/>
      <c r="C375" s="61" t="s">
        <v>129</v>
      </c>
      <c r="D375" s="61" t="s">
        <v>130</v>
      </c>
      <c r="E375" s="68"/>
      <c r="F375" s="68"/>
      <c r="G375" s="68"/>
      <c r="H375" s="68"/>
      <c r="I375" s="68"/>
      <c r="J375" s="7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  <c r="AA375" s="68"/>
      <c r="AB375" s="68"/>
      <c r="AC375" s="68"/>
      <c r="AD375" s="68"/>
      <c r="AE375" s="68"/>
    </row>
    <row r="376" ht="26.25" customHeight="1">
      <c r="A376" s="68"/>
      <c r="B376" s="68"/>
      <c r="C376" s="61" t="s">
        <v>129</v>
      </c>
      <c r="D376" s="61" t="s">
        <v>130</v>
      </c>
      <c r="E376" s="68"/>
      <c r="F376" s="68"/>
      <c r="G376" s="68"/>
      <c r="H376" s="68"/>
      <c r="I376" s="68"/>
      <c r="J376" s="7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  <c r="AA376" s="68"/>
      <c r="AB376" s="68"/>
      <c r="AC376" s="68"/>
      <c r="AD376" s="68"/>
      <c r="AE376" s="68"/>
    </row>
    <row r="377" ht="26.25" customHeight="1">
      <c r="A377" s="68"/>
      <c r="B377" s="68"/>
      <c r="C377" s="61" t="s">
        <v>129</v>
      </c>
      <c r="D377" s="61" t="s">
        <v>130</v>
      </c>
      <c r="E377" s="68"/>
      <c r="F377" s="68"/>
      <c r="G377" s="68"/>
      <c r="H377" s="68"/>
      <c r="I377" s="68"/>
      <c r="J377" s="7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  <c r="AA377" s="68"/>
      <c r="AB377" s="68"/>
      <c r="AC377" s="68"/>
      <c r="AD377" s="68"/>
      <c r="AE377" s="68"/>
    </row>
    <row r="378" ht="26.25" customHeight="1">
      <c r="A378" s="68"/>
      <c r="B378" s="68"/>
      <c r="C378" s="61" t="s">
        <v>129</v>
      </c>
      <c r="D378" s="61" t="s">
        <v>130</v>
      </c>
      <c r="E378" s="68"/>
      <c r="F378" s="68"/>
      <c r="G378" s="68"/>
      <c r="H378" s="68"/>
      <c r="I378" s="68"/>
      <c r="J378" s="7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  <c r="AA378" s="68"/>
      <c r="AB378" s="68"/>
      <c r="AC378" s="68"/>
      <c r="AD378" s="68"/>
      <c r="AE378" s="68"/>
    </row>
    <row r="379" ht="26.25" customHeight="1">
      <c r="A379" s="68"/>
      <c r="B379" s="68"/>
      <c r="C379" s="61" t="s">
        <v>129</v>
      </c>
      <c r="D379" s="61" t="s">
        <v>130</v>
      </c>
      <c r="E379" s="68"/>
      <c r="F379" s="68"/>
      <c r="G379" s="68"/>
      <c r="H379" s="68"/>
      <c r="I379" s="68"/>
      <c r="J379" s="7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  <c r="AA379" s="68"/>
      <c r="AB379" s="68"/>
      <c r="AC379" s="68"/>
      <c r="AD379" s="68"/>
      <c r="AE379" s="68"/>
    </row>
    <row r="380" ht="26.25" customHeight="1">
      <c r="A380" s="68"/>
      <c r="B380" s="68"/>
      <c r="C380" s="61" t="s">
        <v>129</v>
      </c>
      <c r="D380" s="61" t="s">
        <v>130</v>
      </c>
      <c r="E380" s="68"/>
      <c r="F380" s="68"/>
      <c r="G380" s="68"/>
      <c r="H380" s="68"/>
      <c r="I380" s="68"/>
      <c r="J380" s="7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  <c r="AA380" s="68"/>
      <c r="AB380" s="68"/>
      <c r="AC380" s="68"/>
      <c r="AD380" s="68"/>
      <c r="AE380" s="68"/>
    </row>
    <row r="381" ht="26.25" customHeight="1">
      <c r="A381" s="68"/>
      <c r="B381" s="68"/>
      <c r="C381" s="61" t="s">
        <v>129</v>
      </c>
      <c r="D381" s="61" t="s">
        <v>130</v>
      </c>
      <c r="E381" s="68"/>
      <c r="F381" s="68"/>
      <c r="G381" s="68"/>
      <c r="H381" s="68"/>
      <c r="I381" s="68"/>
      <c r="J381" s="7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  <c r="AA381" s="68"/>
      <c r="AB381" s="68"/>
      <c r="AC381" s="68"/>
      <c r="AD381" s="68"/>
      <c r="AE381" s="68"/>
    </row>
    <row r="382" ht="26.25" customHeight="1">
      <c r="A382" s="68"/>
      <c r="B382" s="68"/>
      <c r="C382" s="61" t="s">
        <v>129</v>
      </c>
      <c r="D382" s="61" t="s">
        <v>130</v>
      </c>
      <c r="E382" s="68"/>
      <c r="F382" s="68"/>
      <c r="G382" s="68"/>
      <c r="H382" s="68"/>
      <c r="I382" s="68"/>
      <c r="J382" s="7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  <c r="AA382" s="68"/>
      <c r="AB382" s="68"/>
      <c r="AC382" s="68"/>
      <c r="AD382" s="68"/>
      <c r="AE382" s="68"/>
    </row>
    <row r="383" ht="26.25" customHeight="1">
      <c r="A383" s="68"/>
      <c r="B383" s="68"/>
      <c r="C383" s="61" t="s">
        <v>129</v>
      </c>
      <c r="D383" s="61" t="s">
        <v>130</v>
      </c>
      <c r="E383" s="68"/>
      <c r="F383" s="68"/>
      <c r="G383" s="68"/>
      <c r="H383" s="68"/>
      <c r="I383" s="68"/>
      <c r="J383" s="7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  <c r="AA383" s="68"/>
      <c r="AB383" s="68"/>
      <c r="AC383" s="68"/>
      <c r="AD383" s="68"/>
      <c r="AE383" s="68"/>
    </row>
    <row r="384" ht="26.25" customHeight="1">
      <c r="A384" s="68"/>
      <c r="B384" s="68"/>
      <c r="C384" s="61" t="s">
        <v>129</v>
      </c>
      <c r="D384" s="61" t="s">
        <v>130</v>
      </c>
      <c r="E384" s="68"/>
      <c r="F384" s="68"/>
      <c r="G384" s="68"/>
      <c r="H384" s="68"/>
      <c r="I384" s="68"/>
      <c r="J384" s="7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  <c r="AA384" s="68"/>
      <c r="AB384" s="68"/>
      <c r="AC384" s="68"/>
      <c r="AD384" s="68"/>
      <c r="AE384" s="68"/>
    </row>
    <row r="385" ht="26.25" customHeight="1">
      <c r="A385" s="68"/>
      <c r="B385" s="68"/>
      <c r="C385" s="61" t="s">
        <v>129</v>
      </c>
      <c r="D385" s="61" t="s">
        <v>130</v>
      </c>
      <c r="E385" s="68"/>
      <c r="F385" s="68"/>
      <c r="G385" s="68"/>
      <c r="H385" s="68"/>
      <c r="I385" s="68"/>
      <c r="J385" s="7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  <c r="AA385" s="68"/>
      <c r="AB385" s="68"/>
      <c r="AC385" s="68"/>
      <c r="AD385" s="68"/>
      <c r="AE385" s="68"/>
    </row>
    <row r="386" ht="26.25" customHeight="1">
      <c r="A386" s="68"/>
      <c r="B386" s="68"/>
      <c r="C386" s="61" t="s">
        <v>129</v>
      </c>
      <c r="D386" s="61" t="s">
        <v>130</v>
      </c>
      <c r="E386" s="68"/>
      <c r="F386" s="68"/>
      <c r="G386" s="68"/>
      <c r="H386" s="68"/>
      <c r="I386" s="68"/>
      <c r="J386" s="7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  <c r="AA386" s="68"/>
      <c r="AB386" s="68"/>
      <c r="AC386" s="68"/>
      <c r="AD386" s="68"/>
      <c r="AE386" s="68"/>
    </row>
    <row r="387" ht="26.25" customHeight="1">
      <c r="A387" s="68"/>
      <c r="B387" s="68"/>
      <c r="C387" s="61" t="s">
        <v>129</v>
      </c>
      <c r="D387" s="61" t="s">
        <v>130</v>
      </c>
      <c r="E387" s="68"/>
      <c r="F387" s="68"/>
      <c r="G387" s="68"/>
      <c r="H387" s="68"/>
      <c r="I387" s="68"/>
      <c r="J387" s="7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  <c r="AA387" s="68"/>
      <c r="AB387" s="68"/>
      <c r="AC387" s="68"/>
      <c r="AD387" s="68"/>
      <c r="AE387" s="68"/>
    </row>
    <row r="388" ht="26.25" customHeight="1">
      <c r="A388" s="68"/>
      <c r="B388" s="68"/>
      <c r="C388" s="61" t="s">
        <v>129</v>
      </c>
      <c r="D388" s="61" t="s">
        <v>130</v>
      </c>
      <c r="E388" s="68"/>
      <c r="F388" s="68"/>
      <c r="G388" s="68"/>
      <c r="H388" s="68"/>
      <c r="I388" s="68"/>
      <c r="J388" s="7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  <c r="AA388" s="68"/>
      <c r="AB388" s="68"/>
      <c r="AC388" s="68"/>
      <c r="AD388" s="68"/>
      <c r="AE388" s="68"/>
    </row>
    <row r="389" ht="26.25" customHeight="1">
      <c r="A389" s="68"/>
      <c r="B389" s="68"/>
      <c r="C389" s="61" t="s">
        <v>129</v>
      </c>
      <c r="D389" s="61" t="s">
        <v>130</v>
      </c>
      <c r="E389" s="68"/>
      <c r="F389" s="68"/>
      <c r="G389" s="68"/>
      <c r="H389" s="68"/>
      <c r="I389" s="68"/>
      <c r="J389" s="7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  <c r="AA389" s="68"/>
      <c r="AB389" s="68"/>
      <c r="AC389" s="68"/>
      <c r="AD389" s="68"/>
      <c r="AE389" s="68"/>
    </row>
    <row r="390" ht="26.25" customHeight="1">
      <c r="A390" s="68"/>
      <c r="B390" s="68"/>
      <c r="C390" s="61" t="s">
        <v>129</v>
      </c>
      <c r="D390" s="61" t="s">
        <v>130</v>
      </c>
      <c r="E390" s="68"/>
      <c r="F390" s="68"/>
      <c r="G390" s="68"/>
      <c r="H390" s="68"/>
      <c r="I390" s="68"/>
      <c r="J390" s="7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  <c r="AA390" s="68"/>
      <c r="AB390" s="68"/>
      <c r="AC390" s="68"/>
      <c r="AD390" s="68"/>
      <c r="AE390" s="68"/>
    </row>
    <row r="391" ht="26.25" customHeight="1">
      <c r="A391" s="68"/>
      <c r="B391" s="68"/>
      <c r="C391" s="61" t="s">
        <v>129</v>
      </c>
      <c r="D391" s="61" t="s">
        <v>130</v>
      </c>
      <c r="E391" s="68"/>
      <c r="F391" s="68"/>
      <c r="G391" s="68"/>
      <c r="H391" s="68"/>
      <c r="I391" s="68"/>
      <c r="J391" s="7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  <c r="AA391" s="68"/>
      <c r="AB391" s="68"/>
      <c r="AC391" s="68"/>
      <c r="AD391" s="68"/>
      <c r="AE391" s="68"/>
    </row>
    <row r="392" ht="26.25" customHeight="1">
      <c r="A392" s="68"/>
      <c r="B392" s="68"/>
      <c r="C392" s="61" t="s">
        <v>129</v>
      </c>
      <c r="D392" s="61" t="s">
        <v>130</v>
      </c>
      <c r="E392" s="68"/>
      <c r="F392" s="68"/>
      <c r="G392" s="68"/>
      <c r="H392" s="68"/>
      <c r="I392" s="68"/>
      <c r="J392" s="7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  <c r="AA392" s="68"/>
      <c r="AB392" s="68"/>
      <c r="AC392" s="68"/>
      <c r="AD392" s="68"/>
      <c r="AE392" s="68"/>
    </row>
    <row r="393" ht="26.25" customHeight="1">
      <c r="A393" s="68"/>
      <c r="B393" s="68"/>
      <c r="C393" s="61" t="s">
        <v>129</v>
      </c>
      <c r="D393" s="61" t="s">
        <v>130</v>
      </c>
      <c r="E393" s="68"/>
      <c r="F393" s="68"/>
      <c r="G393" s="68"/>
      <c r="H393" s="68"/>
      <c r="I393" s="68"/>
      <c r="J393" s="7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  <c r="AA393" s="68"/>
      <c r="AB393" s="68"/>
      <c r="AC393" s="68"/>
      <c r="AD393" s="68"/>
      <c r="AE393" s="68"/>
    </row>
    <row r="394" ht="26.25" customHeight="1">
      <c r="A394" s="68"/>
      <c r="B394" s="68"/>
      <c r="C394" s="61" t="s">
        <v>129</v>
      </c>
      <c r="D394" s="61" t="s">
        <v>130</v>
      </c>
      <c r="E394" s="68"/>
      <c r="F394" s="68"/>
      <c r="G394" s="68"/>
      <c r="H394" s="68"/>
      <c r="I394" s="68"/>
      <c r="J394" s="7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  <c r="AA394" s="68"/>
      <c r="AB394" s="68"/>
      <c r="AC394" s="68"/>
      <c r="AD394" s="68"/>
      <c r="AE394" s="68"/>
    </row>
    <row r="395" ht="26.25" customHeight="1">
      <c r="A395" s="68"/>
      <c r="B395" s="68"/>
      <c r="C395" s="61" t="s">
        <v>129</v>
      </c>
      <c r="D395" s="61" t="s">
        <v>130</v>
      </c>
      <c r="E395" s="68"/>
      <c r="F395" s="68"/>
      <c r="G395" s="68"/>
      <c r="H395" s="68"/>
      <c r="I395" s="68"/>
      <c r="J395" s="7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  <c r="AA395" s="68"/>
      <c r="AB395" s="68"/>
      <c r="AC395" s="68"/>
      <c r="AD395" s="68"/>
      <c r="AE395" s="68"/>
    </row>
    <row r="396" ht="26.25" customHeight="1">
      <c r="A396" s="68"/>
      <c r="B396" s="68"/>
      <c r="C396" s="61" t="s">
        <v>129</v>
      </c>
      <c r="D396" s="61" t="s">
        <v>130</v>
      </c>
      <c r="E396" s="68"/>
      <c r="F396" s="68"/>
      <c r="G396" s="68"/>
      <c r="H396" s="68"/>
      <c r="I396" s="68"/>
      <c r="J396" s="7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  <c r="AA396" s="68"/>
      <c r="AB396" s="68"/>
      <c r="AC396" s="68"/>
      <c r="AD396" s="68"/>
      <c r="AE396" s="68"/>
    </row>
    <row r="397" ht="26.25" customHeight="1">
      <c r="A397" s="68"/>
      <c r="B397" s="68"/>
      <c r="C397" s="61" t="s">
        <v>129</v>
      </c>
      <c r="D397" s="61" t="s">
        <v>130</v>
      </c>
      <c r="E397" s="68"/>
      <c r="F397" s="68"/>
      <c r="G397" s="68"/>
      <c r="H397" s="68"/>
      <c r="I397" s="68"/>
      <c r="J397" s="7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  <c r="AA397" s="68"/>
      <c r="AB397" s="68"/>
      <c r="AC397" s="68"/>
      <c r="AD397" s="68"/>
      <c r="AE397" s="68"/>
    </row>
    <row r="398" ht="26.25" customHeight="1">
      <c r="A398" s="68"/>
      <c r="B398" s="68"/>
      <c r="C398" s="61" t="s">
        <v>129</v>
      </c>
      <c r="D398" s="61" t="s">
        <v>130</v>
      </c>
      <c r="E398" s="68"/>
      <c r="F398" s="68"/>
      <c r="G398" s="68"/>
      <c r="H398" s="68"/>
      <c r="I398" s="68"/>
      <c r="J398" s="7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  <c r="AA398" s="68"/>
      <c r="AB398" s="68"/>
      <c r="AC398" s="68"/>
      <c r="AD398" s="68"/>
      <c r="AE398" s="68"/>
    </row>
    <row r="399" ht="26.25" customHeight="1">
      <c r="A399" s="68"/>
      <c r="B399" s="68"/>
      <c r="C399" s="61" t="s">
        <v>129</v>
      </c>
      <c r="D399" s="61" t="s">
        <v>130</v>
      </c>
      <c r="E399" s="68"/>
      <c r="F399" s="68"/>
      <c r="G399" s="68"/>
      <c r="H399" s="68"/>
      <c r="I399" s="68"/>
      <c r="J399" s="7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  <c r="AA399" s="68"/>
      <c r="AB399" s="68"/>
      <c r="AC399" s="68"/>
      <c r="AD399" s="68"/>
      <c r="AE399" s="68"/>
    </row>
    <row r="400" ht="26.25" customHeight="1">
      <c r="A400" s="68"/>
      <c r="B400" s="68"/>
      <c r="C400" s="61" t="s">
        <v>129</v>
      </c>
      <c r="D400" s="61" t="s">
        <v>130</v>
      </c>
      <c r="E400" s="68"/>
      <c r="F400" s="68"/>
      <c r="G400" s="68"/>
      <c r="H400" s="68"/>
      <c r="I400" s="68"/>
      <c r="J400" s="7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  <c r="AA400" s="68"/>
      <c r="AB400" s="68"/>
      <c r="AC400" s="68"/>
      <c r="AD400" s="68"/>
      <c r="AE400" s="68"/>
    </row>
    <row r="401" ht="26.25" customHeight="1">
      <c r="A401" s="68"/>
      <c r="B401" s="68"/>
      <c r="C401" s="61" t="s">
        <v>129</v>
      </c>
      <c r="D401" s="61" t="s">
        <v>130</v>
      </c>
      <c r="E401" s="68"/>
      <c r="F401" s="68"/>
      <c r="G401" s="68"/>
      <c r="H401" s="68"/>
      <c r="I401" s="68"/>
      <c r="J401" s="7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  <c r="AA401" s="68"/>
      <c r="AB401" s="68"/>
      <c r="AC401" s="68"/>
      <c r="AD401" s="68"/>
      <c r="AE401" s="68"/>
    </row>
    <row r="402" ht="26.25" customHeight="1">
      <c r="A402" s="68"/>
      <c r="B402" s="68"/>
      <c r="C402" s="61" t="s">
        <v>129</v>
      </c>
      <c r="D402" s="61" t="s">
        <v>130</v>
      </c>
      <c r="E402" s="68"/>
      <c r="F402" s="68"/>
      <c r="G402" s="68"/>
      <c r="H402" s="68"/>
      <c r="I402" s="68"/>
      <c r="J402" s="7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  <c r="AA402" s="68"/>
      <c r="AB402" s="68"/>
      <c r="AC402" s="68"/>
      <c r="AD402" s="68"/>
      <c r="AE402" s="68"/>
    </row>
    <row r="403" ht="26.25" customHeight="1">
      <c r="A403" s="68"/>
      <c r="B403" s="68"/>
      <c r="C403" s="61" t="s">
        <v>129</v>
      </c>
      <c r="D403" s="61" t="s">
        <v>130</v>
      </c>
      <c r="E403" s="68"/>
      <c r="F403" s="68"/>
      <c r="G403" s="68"/>
      <c r="H403" s="68"/>
      <c r="I403" s="68"/>
      <c r="J403" s="7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  <c r="AA403" s="68"/>
      <c r="AB403" s="68"/>
      <c r="AC403" s="68"/>
      <c r="AD403" s="68"/>
      <c r="AE403" s="68"/>
    </row>
    <row r="404" ht="26.25" customHeight="1">
      <c r="A404" s="68"/>
      <c r="B404" s="68"/>
      <c r="C404" s="61" t="s">
        <v>129</v>
      </c>
      <c r="D404" s="61" t="s">
        <v>130</v>
      </c>
      <c r="E404" s="68"/>
      <c r="F404" s="68"/>
      <c r="G404" s="68"/>
      <c r="H404" s="68"/>
      <c r="I404" s="68"/>
      <c r="J404" s="7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  <c r="AA404" s="68"/>
      <c r="AB404" s="68"/>
      <c r="AC404" s="68"/>
      <c r="AD404" s="68"/>
      <c r="AE404" s="68"/>
    </row>
    <row r="405" ht="26.25" customHeight="1">
      <c r="A405" s="68"/>
      <c r="B405" s="68"/>
      <c r="C405" s="61" t="s">
        <v>129</v>
      </c>
      <c r="D405" s="61" t="s">
        <v>130</v>
      </c>
      <c r="E405" s="68"/>
      <c r="F405" s="68"/>
      <c r="G405" s="68"/>
      <c r="H405" s="68"/>
      <c r="I405" s="68"/>
      <c r="J405" s="7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  <c r="AA405" s="68"/>
      <c r="AB405" s="68"/>
      <c r="AC405" s="68"/>
      <c r="AD405" s="68"/>
      <c r="AE405" s="68"/>
    </row>
    <row r="406" ht="26.25" customHeight="1">
      <c r="A406" s="68"/>
      <c r="B406" s="68"/>
      <c r="C406" s="61" t="s">
        <v>129</v>
      </c>
      <c r="D406" s="61" t="s">
        <v>130</v>
      </c>
      <c r="E406" s="68"/>
      <c r="F406" s="68"/>
      <c r="G406" s="68"/>
      <c r="H406" s="68"/>
      <c r="I406" s="68"/>
      <c r="J406" s="7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  <c r="AA406" s="68"/>
      <c r="AB406" s="68"/>
      <c r="AC406" s="68"/>
      <c r="AD406" s="68"/>
      <c r="AE406" s="68"/>
    </row>
    <row r="407" ht="26.25" customHeight="1">
      <c r="A407" s="68"/>
      <c r="B407" s="68"/>
      <c r="C407" s="61" t="s">
        <v>129</v>
      </c>
      <c r="D407" s="61" t="s">
        <v>130</v>
      </c>
      <c r="E407" s="68"/>
      <c r="F407" s="68"/>
      <c r="G407" s="68"/>
      <c r="H407" s="68"/>
      <c r="I407" s="68"/>
      <c r="J407" s="7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  <c r="AA407" s="68"/>
      <c r="AB407" s="68"/>
      <c r="AC407" s="68"/>
      <c r="AD407" s="68"/>
      <c r="AE407" s="68"/>
    </row>
    <row r="408" ht="26.25" customHeight="1">
      <c r="A408" s="68"/>
      <c r="B408" s="68"/>
      <c r="C408" s="61" t="s">
        <v>129</v>
      </c>
      <c r="D408" s="61" t="s">
        <v>130</v>
      </c>
      <c r="E408" s="68"/>
      <c r="F408" s="68"/>
      <c r="G408" s="68"/>
      <c r="H408" s="68"/>
      <c r="I408" s="68"/>
      <c r="J408" s="7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  <c r="AA408" s="68"/>
      <c r="AB408" s="68"/>
      <c r="AC408" s="68"/>
      <c r="AD408" s="68"/>
      <c r="AE408" s="68"/>
    </row>
    <row r="409" ht="26.25" customHeight="1">
      <c r="A409" s="68"/>
      <c r="B409" s="68"/>
      <c r="C409" s="61" t="s">
        <v>129</v>
      </c>
      <c r="D409" s="61" t="s">
        <v>130</v>
      </c>
      <c r="E409" s="68"/>
      <c r="F409" s="68"/>
      <c r="G409" s="68"/>
      <c r="H409" s="68"/>
      <c r="I409" s="68"/>
      <c r="J409" s="7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  <c r="AA409" s="68"/>
      <c r="AB409" s="68"/>
      <c r="AC409" s="68"/>
      <c r="AD409" s="68"/>
      <c r="AE409" s="68"/>
    </row>
    <row r="410" ht="26.25" customHeight="1">
      <c r="A410" s="68"/>
      <c r="B410" s="68"/>
      <c r="C410" s="61" t="s">
        <v>129</v>
      </c>
      <c r="D410" s="61" t="s">
        <v>130</v>
      </c>
      <c r="E410" s="68"/>
      <c r="F410" s="68"/>
      <c r="G410" s="68"/>
      <c r="H410" s="68"/>
      <c r="I410" s="68"/>
      <c r="J410" s="7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  <c r="AA410" s="68"/>
      <c r="AB410" s="68"/>
      <c r="AC410" s="68"/>
      <c r="AD410" s="68"/>
      <c r="AE410" s="68"/>
    </row>
    <row r="411" ht="26.25" customHeight="1">
      <c r="A411" s="68"/>
      <c r="B411" s="68"/>
      <c r="C411" s="61" t="s">
        <v>129</v>
      </c>
      <c r="D411" s="61" t="s">
        <v>130</v>
      </c>
      <c r="E411" s="68"/>
      <c r="F411" s="68"/>
      <c r="G411" s="68"/>
      <c r="H411" s="68"/>
      <c r="I411" s="68"/>
      <c r="J411" s="7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  <c r="AA411" s="68"/>
      <c r="AB411" s="68"/>
      <c r="AC411" s="68"/>
      <c r="AD411" s="68"/>
      <c r="AE411" s="68"/>
    </row>
    <row r="412" ht="26.25" customHeight="1">
      <c r="A412" s="68"/>
      <c r="B412" s="68"/>
      <c r="C412" s="61" t="s">
        <v>129</v>
      </c>
      <c r="D412" s="61" t="s">
        <v>130</v>
      </c>
      <c r="E412" s="68"/>
      <c r="F412" s="68"/>
      <c r="G412" s="68"/>
      <c r="H412" s="68"/>
      <c r="I412" s="68"/>
      <c r="J412" s="7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  <c r="AA412" s="68"/>
      <c r="AB412" s="68"/>
      <c r="AC412" s="68"/>
      <c r="AD412" s="68"/>
      <c r="AE412" s="68"/>
    </row>
    <row r="413" ht="26.25" customHeight="1">
      <c r="A413" s="68"/>
      <c r="B413" s="68"/>
      <c r="C413" s="61" t="s">
        <v>129</v>
      </c>
      <c r="D413" s="61" t="s">
        <v>130</v>
      </c>
      <c r="E413" s="68"/>
      <c r="F413" s="68"/>
      <c r="G413" s="68"/>
      <c r="H413" s="68"/>
      <c r="I413" s="68"/>
      <c r="J413" s="7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  <c r="AA413" s="68"/>
      <c r="AB413" s="68"/>
      <c r="AC413" s="68"/>
      <c r="AD413" s="68"/>
      <c r="AE413" s="68"/>
    </row>
    <row r="414" ht="26.25" customHeight="1">
      <c r="A414" s="68"/>
      <c r="B414" s="68"/>
      <c r="C414" s="61" t="s">
        <v>129</v>
      </c>
      <c r="D414" s="61" t="s">
        <v>130</v>
      </c>
      <c r="E414" s="68"/>
      <c r="F414" s="68"/>
      <c r="G414" s="68"/>
      <c r="H414" s="68"/>
      <c r="I414" s="68"/>
      <c r="J414" s="7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  <c r="AA414" s="68"/>
      <c r="AB414" s="68"/>
      <c r="AC414" s="68"/>
      <c r="AD414" s="68"/>
      <c r="AE414" s="68"/>
    </row>
    <row r="415" ht="26.25" customHeight="1">
      <c r="A415" s="68"/>
      <c r="B415" s="68"/>
      <c r="C415" s="61" t="s">
        <v>129</v>
      </c>
      <c r="D415" s="61" t="s">
        <v>130</v>
      </c>
      <c r="E415" s="68"/>
      <c r="F415" s="68"/>
      <c r="G415" s="68"/>
      <c r="H415" s="68"/>
      <c r="I415" s="68"/>
      <c r="J415" s="7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  <c r="AA415" s="68"/>
      <c r="AB415" s="68"/>
      <c r="AC415" s="68"/>
      <c r="AD415" s="68"/>
      <c r="AE415" s="68"/>
    </row>
    <row r="416" ht="26.25" customHeight="1">
      <c r="A416" s="68"/>
      <c r="B416" s="68"/>
      <c r="C416" s="61" t="s">
        <v>129</v>
      </c>
      <c r="D416" s="61" t="s">
        <v>130</v>
      </c>
      <c r="E416" s="68"/>
      <c r="F416" s="68"/>
      <c r="G416" s="68"/>
      <c r="H416" s="68"/>
      <c r="I416" s="68"/>
      <c r="J416" s="7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  <c r="AA416" s="68"/>
      <c r="AB416" s="68"/>
      <c r="AC416" s="68"/>
      <c r="AD416" s="68"/>
      <c r="AE416" s="68"/>
    </row>
    <row r="417" ht="26.25" customHeight="1">
      <c r="A417" s="68"/>
      <c r="B417" s="68"/>
      <c r="C417" s="61" t="s">
        <v>129</v>
      </c>
      <c r="D417" s="61" t="s">
        <v>130</v>
      </c>
      <c r="E417" s="68"/>
      <c r="F417" s="68"/>
      <c r="G417" s="68"/>
      <c r="H417" s="68"/>
      <c r="I417" s="68"/>
      <c r="J417" s="7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  <c r="AA417" s="68"/>
      <c r="AB417" s="68"/>
      <c r="AC417" s="68"/>
      <c r="AD417" s="68"/>
      <c r="AE417" s="68"/>
    </row>
    <row r="418" ht="26.25" customHeight="1">
      <c r="A418" s="68"/>
      <c r="B418" s="68"/>
      <c r="C418" s="61" t="s">
        <v>129</v>
      </c>
      <c r="D418" s="61" t="s">
        <v>130</v>
      </c>
      <c r="E418" s="68"/>
      <c r="F418" s="68"/>
      <c r="G418" s="68"/>
      <c r="H418" s="68"/>
      <c r="I418" s="68"/>
      <c r="J418" s="7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  <c r="AA418" s="68"/>
      <c r="AB418" s="68"/>
      <c r="AC418" s="68"/>
      <c r="AD418" s="68"/>
      <c r="AE418" s="68"/>
    </row>
    <row r="419" ht="26.25" customHeight="1">
      <c r="A419" s="68"/>
      <c r="B419" s="68"/>
      <c r="C419" s="61" t="s">
        <v>129</v>
      </c>
      <c r="D419" s="61" t="s">
        <v>130</v>
      </c>
      <c r="E419" s="68"/>
      <c r="F419" s="68"/>
      <c r="G419" s="68"/>
      <c r="H419" s="68"/>
      <c r="I419" s="68"/>
      <c r="J419" s="7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  <c r="AA419" s="68"/>
      <c r="AB419" s="68"/>
      <c r="AC419" s="68"/>
      <c r="AD419" s="68"/>
      <c r="AE419" s="68"/>
    </row>
    <row r="420" ht="26.25" customHeight="1">
      <c r="A420" s="68"/>
      <c r="B420" s="68"/>
      <c r="C420" s="61" t="s">
        <v>129</v>
      </c>
      <c r="D420" s="61" t="s">
        <v>130</v>
      </c>
      <c r="E420" s="68"/>
      <c r="F420" s="68"/>
      <c r="G420" s="68"/>
      <c r="H420" s="68"/>
      <c r="I420" s="68"/>
      <c r="J420" s="7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  <c r="AA420" s="68"/>
      <c r="AB420" s="68"/>
      <c r="AC420" s="68"/>
      <c r="AD420" s="68"/>
      <c r="AE420" s="68"/>
    </row>
    <row r="421" ht="26.25" customHeight="1">
      <c r="A421" s="68"/>
      <c r="B421" s="68"/>
      <c r="C421" s="61" t="s">
        <v>129</v>
      </c>
      <c r="D421" s="61" t="s">
        <v>130</v>
      </c>
      <c r="E421" s="68"/>
      <c r="F421" s="68"/>
      <c r="G421" s="68"/>
      <c r="H421" s="68"/>
      <c r="I421" s="68"/>
      <c r="J421" s="7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  <c r="AA421" s="68"/>
      <c r="AB421" s="68"/>
      <c r="AC421" s="68"/>
      <c r="AD421" s="68"/>
      <c r="AE421" s="68"/>
    </row>
    <row r="422" ht="26.25" customHeight="1">
      <c r="A422" s="68"/>
      <c r="B422" s="68"/>
      <c r="C422" s="61" t="s">
        <v>129</v>
      </c>
      <c r="D422" s="61" t="s">
        <v>130</v>
      </c>
      <c r="E422" s="68"/>
      <c r="F422" s="68"/>
      <c r="G422" s="68"/>
      <c r="H422" s="68"/>
      <c r="I422" s="68"/>
      <c r="J422" s="7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  <c r="AA422" s="68"/>
      <c r="AB422" s="68"/>
      <c r="AC422" s="68"/>
      <c r="AD422" s="68"/>
      <c r="AE422" s="68"/>
    </row>
    <row r="423" ht="26.25" customHeight="1">
      <c r="A423" s="68"/>
      <c r="B423" s="68"/>
      <c r="C423" s="61" t="s">
        <v>129</v>
      </c>
      <c r="D423" s="61" t="s">
        <v>130</v>
      </c>
      <c r="E423" s="68"/>
      <c r="F423" s="68"/>
      <c r="G423" s="68"/>
      <c r="H423" s="68"/>
      <c r="I423" s="68"/>
      <c r="J423" s="7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  <c r="AA423" s="68"/>
      <c r="AB423" s="68"/>
      <c r="AC423" s="68"/>
      <c r="AD423" s="68"/>
      <c r="AE423" s="68"/>
    </row>
    <row r="424" ht="26.25" customHeight="1">
      <c r="A424" s="68"/>
      <c r="B424" s="68"/>
      <c r="C424" s="61" t="s">
        <v>129</v>
      </c>
      <c r="D424" s="61" t="s">
        <v>130</v>
      </c>
      <c r="E424" s="68"/>
      <c r="F424" s="68"/>
      <c r="G424" s="68"/>
      <c r="H424" s="68"/>
      <c r="I424" s="68"/>
      <c r="J424" s="7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  <c r="AA424" s="68"/>
      <c r="AB424" s="68"/>
      <c r="AC424" s="68"/>
      <c r="AD424" s="68"/>
      <c r="AE424" s="68"/>
    </row>
    <row r="425" ht="26.25" customHeight="1">
      <c r="A425" s="68"/>
      <c r="B425" s="68"/>
      <c r="C425" s="61" t="s">
        <v>129</v>
      </c>
      <c r="D425" s="61" t="s">
        <v>130</v>
      </c>
      <c r="E425" s="68"/>
      <c r="F425" s="68"/>
      <c r="G425" s="68"/>
      <c r="H425" s="68"/>
      <c r="I425" s="68"/>
      <c r="J425" s="7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  <c r="AA425" s="68"/>
      <c r="AB425" s="68"/>
      <c r="AC425" s="68"/>
      <c r="AD425" s="68"/>
      <c r="AE425" s="68"/>
    </row>
    <row r="426" ht="26.25" customHeight="1">
      <c r="A426" s="68"/>
      <c r="B426" s="68"/>
      <c r="C426" s="61" t="s">
        <v>129</v>
      </c>
      <c r="D426" s="61" t="s">
        <v>130</v>
      </c>
      <c r="E426" s="68"/>
      <c r="F426" s="68"/>
      <c r="G426" s="68"/>
      <c r="H426" s="68"/>
      <c r="I426" s="68"/>
      <c r="J426" s="7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  <c r="AA426" s="68"/>
      <c r="AB426" s="68"/>
      <c r="AC426" s="68"/>
      <c r="AD426" s="68"/>
      <c r="AE426" s="68"/>
    </row>
    <row r="427" ht="26.25" customHeight="1">
      <c r="A427" s="68"/>
      <c r="B427" s="68"/>
      <c r="C427" s="61" t="s">
        <v>129</v>
      </c>
      <c r="D427" s="61" t="s">
        <v>130</v>
      </c>
      <c r="E427" s="68"/>
      <c r="F427" s="68"/>
      <c r="G427" s="68"/>
      <c r="H427" s="68"/>
      <c r="I427" s="68"/>
      <c r="J427" s="7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  <c r="AA427" s="68"/>
      <c r="AB427" s="68"/>
      <c r="AC427" s="68"/>
      <c r="AD427" s="68"/>
      <c r="AE427" s="68"/>
    </row>
    <row r="428" ht="26.25" customHeight="1">
      <c r="A428" s="68"/>
      <c r="B428" s="68"/>
      <c r="C428" s="61" t="s">
        <v>129</v>
      </c>
      <c r="D428" s="61" t="s">
        <v>130</v>
      </c>
      <c r="E428" s="68"/>
      <c r="F428" s="68"/>
      <c r="G428" s="68"/>
      <c r="H428" s="68"/>
      <c r="I428" s="68"/>
      <c r="J428" s="7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  <c r="AA428" s="68"/>
      <c r="AB428" s="68"/>
      <c r="AC428" s="68"/>
      <c r="AD428" s="68"/>
      <c r="AE428" s="68"/>
    </row>
    <row r="429" ht="26.25" customHeight="1">
      <c r="A429" s="68"/>
      <c r="B429" s="68"/>
      <c r="C429" s="61" t="s">
        <v>129</v>
      </c>
      <c r="D429" s="61" t="s">
        <v>130</v>
      </c>
      <c r="E429" s="68"/>
      <c r="F429" s="68"/>
      <c r="G429" s="68"/>
      <c r="H429" s="68"/>
      <c r="I429" s="68"/>
      <c r="J429" s="7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  <c r="AA429" s="68"/>
      <c r="AB429" s="68"/>
      <c r="AC429" s="68"/>
      <c r="AD429" s="68"/>
      <c r="AE429" s="68"/>
    </row>
    <row r="430" ht="26.25" customHeight="1">
      <c r="A430" s="68"/>
      <c r="B430" s="68"/>
      <c r="C430" s="61" t="s">
        <v>129</v>
      </c>
      <c r="D430" s="61" t="s">
        <v>130</v>
      </c>
      <c r="E430" s="68"/>
      <c r="F430" s="68"/>
      <c r="G430" s="68"/>
      <c r="H430" s="68"/>
      <c r="I430" s="68"/>
      <c r="J430" s="7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  <c r="AA430" s="68"/>
      <c r="AB430" s="68"/>
      <c r="AC430" s="68"/>
      <c r="AD430" s="68"/>
      <c r="AE430" s="68"/>
    </row>
    <row r="431" ht="26.25" customHeight="1">
      <c r="A431" s="68"/>
      <c r="B431" s="68"/>
      <c r="C431" s="61" t="s">
        <v>129</v>
      </c>
      <c r="D431" s="61" t="s">
        <v>130</v>
      </c>
      <c r="E431" s="68"/>
      <c r="F431" s="68"/>
      <c r="G431" s="68"/>
      <c r="H431" s="68"/>
      <c r="I431" s="68"/>
      <c r="J431" s="7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  <c r="AA431" s="68"/>
      <c r="AB431" s="68"/>
      <c r="AC431" s="68"/>
      <c r="AD431" s="68"/>
      <c r="AE431" s="68"/>
    </row>
    <row r="432" ht="26.25" customHeight="1">
      <c r="A432" s="68"/>
      <c r="B432" s="68"/>
      <c r="C432" s="61" t="s">
        <v>129</v>
      </c>
      <c r="D432" s="61" t="s">
        <v>130</v>
      </c>
      <c r="E432" s="68"/>
      <c r="F432" s="68"/>
      <c r="G432" s="68"/>
      <c r="H432" s="68"/>
      <c r="I432" s="68"/>
      <c r="J432" s="7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  <c r="AA432" s="68"/>
      <c r="AB432" s="68"/>
      <c r="AC432" s="68"/>
      <c r="AD432" s="68"/>
      <c r="AE432" s="68"/>
    </row>
    <row r="433" ht="26.25" customHeight="1">
      <c r="A433" s="68"/>
      <c r="B433" s="68"/>
      <c r="C433" s="61" t="s">
        <v>129</v>
      </c>
      <c r="D433" s="61" t="s">
        <v>130</v>
      </c>
      <c r="E433" s="68"/>
      <c r="F433" s="68"/>
      <c r="G433" s="68"/>
      <c r="H433" s="68"/>
      <c r="I433" s="68"/>
      <c r="J433" s="7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  <c r="AA433" s="68"/>
      <c r="AB433" s="68"/>
      <c r="AC433" s="68"/>
      <c r="AD433" s="68"/>
      <c r="AE433" s="68"/>
    </row>
    <row r="434" ht="26.25" customHeight="1">
      <c r="A434" s="68"/>
      <c r="B434" s="68"/>
      <c r="C434" s="61" t="s">
        <v>129</v>
      </c>
      <c r="D434" s="61" t="s">
        <v>130</v>
      </c>
      <c r="E434" s="68"/>
      <c r="F434" s="68"/>
      <c r="G434" s="68"/>
      <c r="H434" s="68"/>
      <c r="I434" s="68"/>
      <c r="J434" s="7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  <c r="AA434" s="68"/>
      <c r="AB434" s="68"/>
      <c r="AC434" s="68"/>
      <c r="AD434" s="68"/>
      <c r="AE434" s="68"/>
    </row>
    <row r="435" ht="26.25" customHeight="1">
      <c r="A435" s="68"/>
      <c r="B435" s="68"/>
      <c r="C435" s="61" t="s">
        <v>129</v>
      </c>
      <c r="D435" s="61" t="s">
        <v>130</v>
      </c>
      <c r="E435" s="68"/>
      <c r="F435" s="68"/>
      <c r="G435" s="68"/>
      <c r="H435" s="68"/>
      <c r="I435" s="68"/>
      <c r="J435" s="7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  <c r="AA435" s="68"/>
      <c r="AB435" s="68"/>
      <c r="AC435" s="68"/>
      <c r="AD435" s="68"/>
      <c r="AE435" s="68"/>
    </row>
    <row r="436" ht="26.25" customHeight="1">
      <c r="A436" s="68"/>
      <c r="B436" s="68"/>
      <c r="C436" s="61" t="s">
        <v>129</v>
      </c>
      <c r="D436" s="61" t="s">
        <v>130</v>
      </c>
      <c r="E436" s="68"/>
      <c r="F436" s="68"/>
      <c r="G436" s="68"/>
      <c r="H436" s="68"/>
      <c r="I436" s="68"/>
      <c r="J436" s="7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  <c r="AA436" s="68"/>
      <c r="AB436" s="68"/>
      <c r="AC436" s="68"/>
      <c r="AD436" s="68"/>
      <c r="AE436" s="68"/>
    </row>
    <row r="437" ht="26.25" customHeight="1">
      <c r="A437" s="68"/>
      <c r="B437" s="68"/>
      <c r="C437" s="61" t="s">
        <v>129</v>
      </c>
      <c r="D437" s="61" t="s">
        <v>130</v>
      </c>
      <c r="E437" s="68"/>
      <c r="F437" s="68"/>
      <c r="G437" s="68"/>
      <c r="H437" s="68"/>
      <c r="I437" s="68"/>
      <c r="J437" s="7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  <c r="AA437" s="68"/>
      <c r="AB437" s="68"/>
      <c r="AC437" s="68"/>
      <c r="AD437" s="68"/>
      <c r="AE437" s="68"/>
    </row>
    <row r="438" ht="26.25" customHeight="1">
      <c r="A438" s="68"/>
      <c r="B438" s="68"/>
      <c r="C438" s="61" t="s">
        <v>129</v>
      </c>
      <c r="D438" s="61" t="s">
        <v>130</v>
      </c>
      <c r="E438" s="68"/>
      <c r="F438" s="68"/>
      <c r="G438" s="68"/>
      <c r="H438" s="68"/>
      <c r="I438" s="68"/>
      <c r="J438" s="7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  <c r="AA438" s="68"/>
      <c r="AB438" s="68"/>
      <c r="AC438" s="68"/>
      <c r="AD438" s="68"/>
      <c r="AE438" s="68"/>
    </row>
    <row r="439" ht="26.25" customHeight="1">
      <c r="A439" s="68"/>
      <c r="B439" s="68"/>
      <c r="C439" s="61" t="s">
        <v>129</v>
      </c>
      <c r="D439" s="61" t="s">
        <v>130</v>
      </c>
      <c r="E439" s="68"/>
      <c r="F439" s="68"/>
      <c r="G439" s="68"/>
      <c r="H439" s="68"/>
      <c r="I439" s="68"/>
      <c r="J439" s="7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  <c r="AA439" s="68"/>
      <c r="AB439" s="68"/>
      <c r="AC439" s="68"/>
      <c r="AD439" s="68"/>
      <c r="AE439" s="68"/>
    </row>
    <row r="440" ht="26.25" customHeight="1">
      <c r="A440" s="68"/>
      <c r="B440" s="68"/>
      <c r="C440" s="61" t="s">
        <v>129</v>
      </c>
      <c r="D440" s="61" t="s">
        <v>130</v>
      </c>
      <c r="E440" s="68"/>
      <c r="F440" s="68"/>
      <c r="G440" s="68"/>
      <c r="H440" s="68"/>
      <c r="I440" s="68"/>
      <c r="J440" s="7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  <c r="AA440" s="68"/>
      <c r="AB440" s="68"/>
      <c r="AC440" s="68"/>
      <c r="AD440" s="68"/>
      <c r="AE440" s="68"/>
    </row>
    <row r="441" ht="26.25" customHeight="1">
      <c r="A441" s="68"/>
      <c r="B441" s="68"/>
      <c r="C441" s="61" t="s">
        <v>129</v>
      </c>
      <c r="D441" s="61" t="s">
        <v>130</v>
      </c>
      <c r="E441" s="68"/>
      <c r="F441" s="68"/>
      <c r="G441" s="68"/>
      <c r="H441" s="68"/>
      <c r="I441" s="68"/>
      <c r="J441" s="7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  <c r="AA441" s="68"/>
      <c r="AB441" s="68"/>
      <c r="AC441" s="68"/>
      <c r="AD441" s="68"/>
      <c r="AE441" s="68"/>
    </row>
    <row r="442" ht="26.25" customHeight="1">
      <c r="A442" s="68"/>
      <c r="B442" s="68"/>
      <c r="C442" s="61" t="s">
        <v>129</v>
      </c>
      <c r="D442" s="61" t="s">
        <v>130</v>
      </c>
      <c r="E442" s="68"/>
      <c r="F442" s="68"/>
      <c r="G442" s="68"/>
      <c r="H442" s="68"/>
      <c r="I442" s="68"/>
      <c r="J442" s="7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  <c r="AA442" s="68"/>
      <c r="AB442" s="68"/>
      <c r="AC442" s="68"/>
      <c r="AD442" s="68"/>
      <c r="AE442" s="68"/>
    </row>
    <row r="443" ht="26.25" customHeight="1">
      <c r="A443" s="68"/>
      <c r="B443" s="68"/>
      <c r="C443" s="61" t="s">
        <v>129</v>
      </c>
      <c r="D443" s="61" t="s">
        <v>130</v>
      </c>
      <c r="E443" s="68"/>
      <c r="F443" s="68"/>
      <c r="G443" s="68"/>
      <c r="H443" s="68"/>
      <c r="I443" s="68"/>
      <c r="J443" s="7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  <c r="AA443" s="68"/>
      <c r="AB443" s="68"/>
      <c r="AC443" s="68"/>
      <c r="AD443" s="68"/>
      <c r="AE443" s="68"/>
    </row>
    <row r="444" ht="26.25" customHeight="1">
      <c r="A444" s="68"/>
      <c r="B444" s="68"/>
      <c r="C444" s="61" t="s">
        <v>129</v>
      </c>
      <c r="D444" s="61" t="s">
        <v>130</v>
      </c>
      <c r="E444" s="68"/>
      <c r="F444" s="68"/>
      <c r="G444" s="68"/>
      <c r="H444" s="68"/>
      <c r="I444" s="68"/>
      <c r="J444" s="7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  <c r="AA444" s="68"/>
      <c r="AB444" s="68"/>
      <c r="AC444" s="68"/>
      <c r="AD444" s="68"/>
      <c r="AE444" s="68"/>
    </row>
    <row r="445" ht="26.25" customHeight="1">
      <c r="A445" s="68"/>
      <c r="B445" s="68"/>
      <c r="C445" s="61" t="s">
        <v>129</v>
      </c>
      <c r="D445" s="61" t="s">
        <v>130</v>
      </c>
      <c r="E445" s="68"/>
      <c r="F445" s="68"/>
      <c r="G445" s="68"/>
      <c r="H445" s="68"/>
      <c r="I445" s="68"/>
      <c r="J445" s="7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  <c r="AA445" s="68"/>
      <c r="AB445" s="68"/>
      <c r="AC445" s="68"/>
      <c r="AD445" s="68"/>
      <c r="AE445" s="68"/>
    </row>
    <row r="446" ht="26.25" customHeight="1">
      <c r="A446" s="68"/>
      <c r="B446" s="68"/>
      <c r="C446" s="61" t="s">
        <v>129</v>
      </c>
      <c r="D446" s="61" t="s">
        <v>130</v>
      </c>
      <c r="E446" s="68"/>
      <c r="F446" s="68"/>
      <c r="G446" s="68"/>
      <c r="H446" s="68"/>
      <c r="I446" s="68"/>
      <c r="J446" s="7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  <c r="AA446" s="68"/>
      <c r="AB446" s="68"/>
      <c r="AC446" s="68"/>
      <c r="AD446" s="68"/>
      <c r="AE446" s="68"/>
    </row>
    <row r="447" ht="26.25" customHeight="1">
      <c r="A447" s="68"/>
      <c r="B447" s="68"/>
      <c r="C447" s="61" t="s">
        <v>129</v>
      </c>
      <c r="D447" s="61" t="s">
        <v>130</v>
      </c>
      <c r="E447" s="68"/>
      <c r="F447" s="68"/>
      <c r="G447" s="68"/>
      <c r="H447" s="68"/>
      <c r="I447" s="68"/>
      <c r="J447" s="7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  <c r="AA447" s="68"/>
      <c r="AB447" s="68"/>
      <c r="AC447" s="68"/>
      <c r="AD447" s="68"/>
      <c r="AE447" s="68"/>
    </row>
    <row r="448" ht="26.25" customHeight="1">
      <c r="A448" s="68"/>
      <c r="B448" s="68"/>
      <c r="C448" s="61" t="s">
        <v>129</v>
      </c>
      <c r="D448" s="61" t="s">
        <v>130</v>
      </c>
      <c r="E448" s="68"/>
      <c r="F448" s="68"/>
      <c r="G448" s="68"/>
      <c r="H448" s="68"/>
      <c r="I448" s="68"/>
      <c r="J448" s="7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  <c r="AA448" s="68"/>
      <c r="AB448" s="68"/>
      <c r="AC448" s="68"/>
      <c r="AD448" s="68"/>
      <c r="AE448" s="68"/>
    </row>
    <row r="449" ht="26.25" customHeight="1">
      <c r="A449" s="68"/>
      <c r="B449" s="68"/>
      <c r="C449" s="61" t="s">
        <v>129</v>
      </c>
      <c r="D449" s="61" t="s">
        <v>130</v>
      </c>
      <c r="E449" s="68"/>
      <c r="F449" s="68"/>
      <c r="G449" s="68"/>
      <c r="H449" s="68"/>
      <c r="I449" s="68"/>
      <c r="J449" s="7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  <c r="AA449" s="68"/>
      <c r="AB449" s="68"/>
      <c r="AC449" s="68"/>
      <c r="AD449" s="68"/>
      <c r="AE449" s="68"/>
    </row>
    <row r="450" ht="26.25" customHeight="1">
      <c r="A450" s="68"/>
      <c r="B450" s="68"/>
      <c r="C450" s="61" t="s">
        <v>129</v>
      </c>
      <c r="D450" s="61" t="s">
        <v>130</v>
      </c>
      <c r="E450" s="68"/>
      <c r="F450" s="68"/>
      <c r="G450" s="68"/>
      <c r="H450" s="68"/>
      <c r="I450" s="68"/>
      <c r="J450" s="7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  <c r="AA450" s="68"/>
      <c r="AB450" s="68"/>
      <c r="AC450" s="68"/>
      <c r="AD450" s="68"/>
      <c r="AE450" s="68"/>
    </row>
    <row r="451" ht="26.25" customHeight="1">
      <c r="A451" s="68"/>
      <c r="B451" s="68"/>
      <c r="C451" s="61" t="s">
        <v>129</v>
      </c>
      <c r="D451" s="61" t="s">
        <v>130</v>
      </c>
      <c r="E451" s="68"/>
      <c r="F451" s="68"/>
      <c r="G451" s="68"/>
      <c r="H451" s="68"/>
      <c r="I451" s="68"/>
      <c r="J451" s="7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  <c r="AA451" s="68"/>
      <c r="AB451" s="68"/>
      <c r="AC451" s="68"/>
      <c r="AD451" s="68"/>
      <c r="AE451" s="68"/>
    </row>
    <row r="452" ht="26.25" customHeight="1">
      <c r="A452" s="68"/>
      <c r="B452" s="68"/>
      <c r="C452" s="61" t="s">
        <v>129</v>
      </c>
      <c r="D452" s="61" t="s">
        <v>130</v>
      </c>
      <c r="E452" s="68"/>
      <c r="F452" s="68"/>
      <c r="G452" s="68"/>
      <c r="H452" s="68"/>
      <c r="I452" s="68"/>
      <c r="J452" s="7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  <c r="AA452" s="68"/>
      <c r="AB452" s="68"/>
      <c r="AC452" s="68"/>
      <c r="AD452" s="68"/>
      <c r="AE452" s="68"/>
    </row>
    <row r="453" ht="26.25" customHeight="1">
      <c r="A453" s="68"/>
      <c r="B453" s="68"/>
      <c r="C453" s="61" t="s">
        <v>129</v>
      </c>
      <c r="D453" s="61" t="s">
        <v>130</v>
      </c>
      <c r="E453" s="68"/>
      <c r="F453" s="68"/>
      <c r="G453" s="68"/>
      <c r="H453" s="68"/>
      <c r="I453" s="68"/>
      <c r="J453" s="7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  <c r="AA453" s="68"/>
      <c r="AB453" s="68"/>
      <c r="AC453" s="68"/>
      <c r="AD453" s="68"/>
      <c r="AE453" s="68"/>
    </row>
    <row r="454" ht="26.25" customHeight="1">
      <c r="A454" s="68"/>
      <c r="B454" s="68"/>
      <c r="C454" s="61" t="s">
        <v>129</v>
      </c>
      <c r="D454" s="61" t="s">
        <v>130</v>
      </c>
      <c r="E454" s="68"/>
      <c r="F454" s="68"/>
      <c r="G454" s="68"/>
      <c r="H454" s="68"/>
      <c r="I454" s="68"/>
      <c r="J454" s="7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  <c r="AA454" s="68"/>
      <c r="AB454" s="68"/>
      <c r="AC454" s="68"/>
      <c r="AD454" s="68"/>
      <c r="AE454" s="68"/>
    </row>
    <row r="455" ht="26.25" customHeight="1">
      <c r="A455" s="68"/>
      <c r="B455" s="68"/>
      <c r="C455" s="61" t="s">
        <v>129</v>
      </c>
      <c r="D455" s="61" t="s">
        <v>130</v>
      </c>
      <c r="E455" s="68"/>
      <c r="F455" s="68"/>
      <c r="G455" s="68"/>
      <c r="H455" s="68"/>
      <c r="I455" s="68"/>
      <c r="J455" s="7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  <c r="AA455" s="68"/>
      <c r="AB455" s="68"/>
      <c r="AC455" s="68"/>
      <c r="AD455" s="68"/>
      <c r="AE455" s="68"/>
    </row>
    <row r="456" ht="26.25" customHeight="1">
      <c r="A456" s="68"/>
      <c r="B456" s="68"/>
      <c r="C456" s="61" t="s">
        <v>129</v>
      </c>
      <c r="D456" s="61" t="s">
        <v>130</v>
      </c>
      <c r="E456" s="68"/>
      <c r="F456" s="68"/>
      <c r="G456" s="68"/>
      <c r="H456" s="68"/>
      <c r="I456" s="68"/>
      <c r="J456" s="7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  <c r="AA456" s="68"/>
      <c r="AB456" s="68"/>
      <c r="AC456" s="68"/>
      <c r="AD456" s="68"/>
      <c r="AE456" s="68"/>
    </row>
    <row r="457" ht="26.25" customHeight="1">
      <c r="A457" s="68"/>
      <c r="B457" s="68"/>
      <c r="C457" s="61" t="s">
        <v>129</v>
      </c>
      <c r="D457" s="61" t="s">
        <v>130</v>
      </c>
      <c r="E457" s="68"/>
      <c r="F457" s="68"/>
      <c r="G457" s="68"/>
      <c r="H457" s="68"/>
      <c r="I457" s="68"/>
      <c r="J457" s="7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  <c r="AA457" s="68"/>
      <c r="AB457" s="68"/>
      <c r="AC457" s="68"/>
      <c r="AD457" s="68"/>
      <c r="AE457" s="68"/>
    </row>
    <row r="458" ht="26.25" customHeight="1">
      <c r="A458" s="68"/>
      <c r="B458" s="68"/>
      <c r="C458" s="61" t="s">
        <v>129</v>
      </c>
      <c r="D458" s="61" t="s">
        <v>130</v>
      </c>
      <c r="E458" s="68"/>
      <c r="F458" s="68"/>
      <c r="G458" s="68"/>
      <c r="H458" s="68"/>
      <c r="I458" s="68"/>
      <c r="J458" s="7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  <c r="AA458" s="68"/>
      <c r="AB458" s="68"/>
      <c r="AC458" s="68"/>
      <c r="AD458" s="68"/>
      <c r="AE458" s="68"/>
    </row>
    <row r="459" ht="26.25" customHeight="1">
      <c r="A459" s="68"/>
      <c r="B459" s="68"/>
      <c r="C459" s="61" t="s">
        <v>129</v>
      </c>
      <c r="D459" s="61" t="s">
        <v>130</v>
      </c>
      <c r="E459" s="68"/>
      <c r="F459" s="68"/>
      <c r="G459" s="68"/>
      <c r="H459" s="68"/>
      <c r="I459" s="68"/>
      <c r="J459" s="7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  <c r="AA459" s="68"/>
      <c r="AB459" s="68"/>
      <c r="AC459" s="68"/>
      <c r="AD459" s="68"/>
      <c r="AE459" s="68"/>
    </row>
    <row r="460" ht="26.25" customHeight="1">
      <c r="A460" s="68"/>
      <c r="B460" s="68"/>
      <c r="C460" s="61" t="s">
        <v>129</v>
      </c>
      <c r="D460" s="61" t="s">
        <v>130</v>
      </c>
      <c r="E460" s="68"/>
      <c r="F460" s="68"/>
      <c r="G460" s="68"/>
      <c r="H460" s="68"/>
      <c r="I460" s="68"/>
      <c r="J460" s="7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  <c r="AA460" s="68"/>
      <c r="AB460" s="68"/>
      <c r="AC460" s="68"/>
      <c r="AD460" s="68"/>
      <c r="AE460" s="68"/>
    </row>
    <row r="461" ht="26.25" customHeight="1">
      <c r="A461" s="68"/>
      <c r="B461" s="68"/>
      <c r="C461" s="61" t="s">
        <v>129</v>
      </c>
      <c r="D461" s="61" t="s">
        <v>130</v>
      </c>
      <c r="E461" s="68"/>
      <c r="F461" s="68"/>
      <c r="G461" s="68"/>
      <c r="H461" s="68"/>
      <c r="I461" s="68"/>
      <c r="J461" s="7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  <c r="AA461" s="68"/>
      <c r="AB461" s="68"/>
      <c r="AC461" s="68"/>
      <c r="AD461" s="68"/>
      <c r="AE461" s="68"/>
    </row>
    <row r="462" ht="26.25" customHeight="1">
      <c r="A462" s="68"/>
      <c r="B462" s="68"/>
      <c r="C462" s="61" t="s">
        <v>129</v>
      </c>
      <c r="D462" s="61" t="s">
        <v>130</v>
      </c>
      <c r="E462" s="68"/>
      <c r="F462" s="68"/>
      <c r="G462" s="68"/>
      <c r="H462" s="68"/>
      <c r="I462" s="68"/>
      <c r="J462" s="7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  <c r="AA462" s="68"/>
      <c r="AB462" s="68"/>
      <c r="AC462" s="68"/>
      <c r="AD462" s="68"/>
      <c r="AE462" s="68"/>
    </row>
    <row r="463" ht="26.25" customHeight="1">
      <c r="A463" s="68"/>
      <c r="B463" s="68"/>
      <c r="C463" s="61" t="s">
        <v>129</v>
      </c>
      <c r="D463" s="61" t="s">
        <v>130</v>
      </c>
      <c r="E463" s="68"/>
      <c r="F463" s="68"/>
      <c r="G463" s="68"/>
      <c r="H463" s="68"/>
      <c r="I463" s="68"/>
      <c r="J463" s="7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  <c r="AA463" s="68"/>
      <c r="AB463" s="68"/>
      <c r="AC463" s="68"/>
      <c r="AD463" s="68"/>
      <c r="AE463" s="68"/>
    </row>
    <row r="464" ht="26.25" customHeight="1">
      <c r="A464" s="68"/>
      <c r="B464" s="68"/>
      <c r="C464" s="61" t="s">
        <v>129</v>
      </c>
      <c r="D464" s="61" t="s">
        <v>130</v>
      </c>
      <c r="E464" s="68"/>
      <c r="F464" s="68"/>
      <c r="G464" s="68"/>
      <c r="H464" s="68"/>
      <c r="I464" s="68"/>
      <c r="J464" s="7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  <c r="AA464" s="68"/>
      <c r="AB464" s="68"/>
      <c r="AC464" s="68"/>
      <c r="AD464" s="68"/>
      <c r="AE464" s="68"/>
    </row>
    <row r="465" ht="26.25" customHeight="1">
      <c r="A465" s="68"/>
      <c r="B465" s="68"/>
      <c r="C465" s="61" t="s">
        <v>129</v>
      </c>
      <c r="D465" s="61" t="s">
        <v>130</v>
      </c>
      <c r="E465" s="68"/>
      <c r="F465" s="68"/>
      <c r="G465" s="68"/>
      <c r="H465" s="68"/>
      <c r="I465" s="68"/>
      <c r="J465" s="7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  <c r="AA465" s="68"/>
      <c r="AB465" s="68"/>
      <c r="AC465" s="68"/>
      <c r="AD465" s="68"/>
      <c r="AE465" s="68"/>
    </row>
    <row r="466" ht="26.25" customHeight="1">
      <c r="A466" s="68"/>
      <c r="B466" s="68"/>
      <c r="C466" s="61" t="s">
        <v>129</v>
      </c>
      <c r="D466" s="61" t="s">
        <v>130</v>
      </c>
      <c r="E466" s="68"/>
      <c r="F466" s="68"/>
      <c r="G466" s="68"/>
      <c r="H466" s="68"/>
      <c r="I466" s="68"/>
      <c r="J466" s="7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  <c r="AA466" s="68"/>
      <c r="AB466" s="68"/>
      <c r="AC466" s="68"/>
      <c r="AD466" s="68"/>
      <c r="AE466" s="68"/>
    </row>
    <row r="467" ht="26.25" customHeight="1">
      <c r="A467" s="68"/>
      <c r="B467" s="68"/>
      <c r="C467" s="61" t="s">
        <v>129</v>
      </c>
      <c r="D467" s="61" t="s">
        <v>130</v>
      </c>
      <c r="E467" s="68"/>
      <c r="F467" s="68"/>
      <c r="G467" s="68"/>
      <c r="H467" s="68"/>
      <c r="I467" s="68"/>
      <c r="J467" s="7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  <c r="AA467" s="68"/>
      <c r="AB467" s="68"/>
      <c r="AC467" s="68"/>
      <c r="AD467" s="68"/>
      <c r="AE467" s="68"/>
    </row>
    <row r="468" ht="26.25" customHeight="1">
      <c r="A468" s="68"/>
      <c r="B468" s="68"/>
      <c r="C468" s="61" t="s">
        <v>129</v>
      </c>
      <c r="D468" s="61" t="s">
        <v>130</v>
      </c>
      <c r="E468" s="68"/>
      <c r="F468" s="68"/>
      <c r="G468" s="68"/>
      <c r="H468" s="68"/>
      <c r="I468" s="68"/>
      <c r="J468" s="7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  <c r="AA468" s="68"/>
      <c r="AB468" s="68"/>
      <c r="AC468" s="68"/>
      <c r="AD468" s="68"/>
      <c r="AE468" s="68"/>
    </row>
    <row r="469" ht="26.25" customHeight="1">
      <c r="A469" s="68"/>
      <c r="B469" s="68"/>
      <c r="C469" s="61" t="s">
        <v>129</v>
      </c>
      <c r="D469" s="61" t="s">
        <v>130</v>
      </c>
      <c r="E469" s="68"/>
      <c r="F469" s="68"/>
      <c r="G469" s="68"/>
      <c r="H469" s="68"/>
      <c r="I469" s="68"/>
      <c r="J469" s="7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  <c r="AA469" s="68"/>
      <c r="AB469" s="68"/>
      <c r="AC469" s="68"/>
      <c r="AD469" s="68"/>
      <c r="AE469" s="68"/>
    </row>
    <row r="470" ht="26.25" customHeight="1">
      <c r="A470" s="68"/>
      <c r="B470" s="68"/>
      <c r="C470" s="61" t="s">
        <v>129</v>
      </c>
      <c r="D470" s="61" t="s">
        <v>130</v>
      </c>
      <c r="E470" s="68"/>
      <c r="F470" s="68"/>
      <c r="G470" s="68"/>
      <c r="H470" s="68"/>
      <c r="I470" s="68"/>
      <c r="J470" s="7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  <c r="AA470" s="68"/>
      <c r="AB470" s="68"/>
      <c r="AC470" s="68"/>
      <c r="AD470" s="68"/>
      <c r="AE470" s="68"/>
    </row>
    <row r="471" ht="26.25" customHeight="1">
      <c r="A471" s="68"/>
      <c r="B471" s="68"/>
      <c r="C471" s="61" t="s">
        <v>129</v>
      </c>
      <c r="D471" s="61" t="s">
        <v>130</v>
      </c>
      <c r="E471" s="68"/>
      <c r="F471" s="68"/>
      <c r="G471" s="68"/>
      <c r="H471" s="68"/>
      <c r="I471" s="68"/>
      <c r="J471" s="7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  <c r="AA471" s="68"/>
      <c r="AB471" s="68"/>
      <c r="AC471" s="68"/>
      <c r="AD471" s="68"/>
      <c r="AE471" s="68"/>
    </row>
    <row r="472" ht="26.25" customHeight="1">
      <c r="A472" s="68"/>
      <c r="B472" s="68"/>
      <c r="C472" s="61" t="s">
        <v>129</v>
      </c>
      <c r="D472" s="61" t="s">
        <v>130</v>
      </c>
      <c r="E472" s="68"/>
      <c r="F472" s="68"/>
      <c r="G472" s="68"/>
      <c r="H472" s="68"/>
      <c r="I472" s="68"/>
      <c r="J472" s="7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  <c r="AA472" s="68"/>
      <c r="AB472" s="68"/>
      <c r="AC472" s="68"/>
      <c r="AD472" s="68"/>
      <c r="AE472" s="68"/>
    </row>
    <row r="473" ht="26.25" customHeight="1">
      <c r="A473" s="68"/>
      <c r="B473" s="68"/>
      <c r="C473" s="61" t="s">
        <v>129</v>
      </c>
      <c r="D473" s="61" t="s">
        <v>130</v>
      </c>
      <c r="E473" s="68"/>
      <c r="F473" s="68"/>
      <c r="G473" s="68"/>
      <c r="H473" s="68"/>
      <c r="I473" s="68"/>
      <c r="J473" s="7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  <c r="AA473" s="68"/>
      <c r="AB473" s="68"/>
      <c r="AC473" s="68"/>
      <c r="AD473" s="68"/>
      <c r="AE473" s="68"/>
    </row>
    <row r="474" ht="26.25" customHeight="1">
      <c r="A474" s="68"/>
      <c r="B474" s="68"/>
      <c r="C474" s="61" t="s">
        <v>129</v>
      </c>
      <c r="D474" s="61" t="s">
        <v>130</v>
      </c>
      <c r="E474" s="68"/>
      <c r="F474" s="68"/>
      <c r="G474" s="68"/>
      <c r="H474" s="68"/>
      <c r="I474" s="68"/>
      <c r="J474" s="7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  <c r="AA474" s="68"/>
      <c r="AB474" s="68"/>
      <c r="AC474" s="68"/>
      <c r="AD474" s="68"/>
      <c r="AE474" s="68"/>
    </row>
    <row r="475" ht="26.25" customHeight="1">
      <c r="A475" s="68"/>
      <c r="B475" s="68"/>
      <c r="C475" s="61" t="s">
        <v>129</v>
      </c>
      <c r="D475" s="61" t="s">
        <v>130</v>
      </c>
      <c r="E475" s="68"/>
      <c r="F475" s="68"/>
      <c r="G475" s="68"/>
      <c r="H475" s="68"/>
      <c r="I475" s="68"/>
      <c r="J475" s="7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  <c r="AA475" s="68"/>
      <c r="AB475" s="68"/>
      <c r="AC475" s="68"/>
      <c r="AD475" s="68"/>
      <c r="AE475" s="68"/>
    </row>
    <row r="476" ht="26.25" customHeight="1">
      <c r="A476" s="68"/>
      <c r="B476" s="68"/>
      <c r="C476" s="61" t="s">
        <v>129</v>
      </c>
      <c r="D476" s="61" t="s">
        <v>130</v>
      </c>
      <c r="E476" s="68"/>
      <c r="F476" s="68"/>
      <c r="G476" s="68"/>
      <c r="H476" s="68"/>
      <c r="I476" s="68"/>
      <c r="J476" s="7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  <c r="AA476" s="68"/>
      <c r="AB476" s="68"/>
      <c r="AC476" s="68"/>
      <c r="AD476" s="68"/>
      <c r="AE476" s="68"/>
    </row>
    <row r="477" ht="26.25" customHeight="1">
      <c r="A477" s="68"/>
      <c r="B477" s="68"/>
      <c r="C477" s="61" t="s">
        <v>129</v>
      </c>
      <c r="D477" s="61" t="s">
        <v>130</v>
      </c>
      <c r="E477" s="68"/>
      <c r="F477" s="68"/>
      <c r="G477" s="68"/>
      <c r="H477" s="68"/>
      <c r="I477" s="68"/>
      <c r="J477" s="7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  <c r="AA477" s="68"/>
      <c r="AB477" s="68"/>
      <c r="AC477" s="68"/>
      <c r="AD477" s="68"/>
      <c r="AE477" s="68"/>
    </row>
    <row r="478" ht="26.25" customHeight="1">
      <c r="A478" s="68"/>
      <c r="B478" s="68"/>
      <c r="C478" s="61" t="s">
        <v>129</v>
      </c>
      <c r="D478" s="61" t="s">
        <v>130</v>
      </c>
      <c r="E478" s="68"/>
      <c r="F478" s="68"/>
      <c r="G478" s="68"/>
      <c r="H478" s="68"/>
      <c r="I478" s="68"/>
      <c r="J478" s="7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  <c r="AA478" s="68"/>
      <c r="AB478" s="68"/>
      <c r="AC478" s="68"/>
      <c r="AD478" s="68"/>
      <c r="AE478" s="68"/>
    </row>
    <row r="479" ht="26.25" customHeight="1">
      <c r="A479" s="68"/>
      <c r="B479" s="68"/>
      <c r="C479" s="61" t="s">
        <v>129</v>
      </c>
      <c r="D479" s="61" t="s">
        <v>130</v>
      </c>
      <c r="E479" s="68"/>
      <c r="F479" s="68"/>
      <c r="G479" s="68"/>
      <c r="H479" s="68"/>
      <c r="I479" s="68"/>
      <c r="J479" s="7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  <c r="AA479" s="68"/>
      <c r="AB479" s="68"/>
      <c r="AC479" s="68"/>
      <c r="AD479" s="68"/>
      <c r="AE479" s="68"/>
    </row>
    <row r="480" ht="26.25" customHeight="1">
      <c r="A480" s="68"/>
      <c r="B480" s="68"/>
      <c r="C480" s="61" t="s">
        <v>129</v>
      </c>
      <c r="D480" s="61" t="s">
        <v>130</v>
      </c>
      <c r="E480" s="68"/>
      <c r="F480" s="68"/>
      <c r="G480" s="68"/>
      <c r="H480" s="68"/>
      <c r="I480" s="68"/>
      <c r="J480" s="7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  <c r="AA480" s="68"/>
      <c r="AB480" s="68"/>
      <c r="AC480" s="68"/>
      <c r="AD480" s="68"/>
      <c r="AE480" s="68"/>
    </row>
    <row r="481" ht="26.25" customHeight="1">
      <c r="A481" s="68"/>
      <c r="B481" s="68"/>
      <c r="C481" s="61" t="s">
        <v>129</v>
      </c>
      <c r="D481" s="61" t="s">
        <v>130</v>
      </c>
      <c r="E481" s="68"/>
      <c r="F481" s="68"/>
      <c r="G481" s="68"/>
      <c r="H481" s="68"/>
      <c r="I481" s="68"/>
      <c r="J481" s="7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  <c r="AA481" s="68"/>
      <c r="AB481" s="68"/>
      <c r="AC481" s="68"/>
      <c r="AD481" s="68"/>
      <c r="AE481" s="68"/>
    </row>
    <row r="482" ht="26.25" customHeight="1">
      <c r="A482" s="68"/>
      <c r="B482" s="68"/>
      <c r="C482" s="61" t="s">
        <v>129</v>
      </c>
      <c r="D482" s="61" t="s">
        <v>130</v>
      </c>
      <c r="E482" s="68"/>
      <c r="F482" s="68"/>
      <c r="G482" s="68"/>
      <c r="H482" s="68"/>
      <c r="I482" s="68"/>
      <c r="J482" s="7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  <c r="AA482" s="68"/>
      <c r="AB482" s="68"/>
      <c r="AC482" s="68"/>
      <c r="AD482" s="68"/>
      <c r="AE482" s="68"/>
    </row>
    <row r="483" ht="26.25" customHeight="1">
      <c r="A483" s="68"/>
      <c r="B483" s="68"/>
      <c r="C483" s="61" t="s">
        <v>129</v>
      </c>
      <c r="D483" s="61" t="s">
        <v>130</v>
      </c>
      <c r="E483" s="68"/>
      <c r="F483" s="68"/>
      <c r="G483" s="68"/>
      <c r="H483" s="68"/>
      <c r="I483" s="68"/>
      <c r="J483" s="7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  <c r="AA483" s="68"/>
      <c r="AB483" s="68"/>
      <c r="AC483" s="68"/>
      <c r="AD483" s="68"/>
      <c r="AE483" s="68"/>
    </row>
    <row r="484" ht="26.25" customHeight="1">
      <c r="A484" s="68"/>
      <c r="B484" s="68"/>
      <c r="C484" s="61" t="s">
        <v>129</v>
      </c>
      <c r="D484" s="61" t="s">
        <v>130</v>
      </c>
      <c r="E484" s="68"/>
      <c r="F484" s="68"/>
      <c r="G484" s="68"/>
      <c r="H484" s="68"/>
      <c r="I484" s="68"/>
      <c r="J484" s="7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  <c r="AA484" s="68"/>
      <c r="AB484" s="68"/>
      <c r="AC484" s="68"/>
      <c r="AD484" s="68"/>
      <c r="AE484" s="68"/>
    </row>
    <row r="485" ht="26.25" customHeight="1">
      <c r="A485" s="68"/>
      <c r="B485" s="68"/>
      <c r="C485" s="61" t="s">
        <v>129</v>
      </c>
      <c r="D485" s="61" t="s">
        <v>130</v>
      </c>
      <c r="E485" s="68"/>
      <c r="F485" s="68"/>
      <c r="G485" s="68"/>
      <c r="H485" s="68"/>
      <c r="I485" s="68"/>
      <c r="J485" s="7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  <c r="AA485" s="68"/>
      <c r="AB485" s="68"/>
      <c r="AC485" s="68"/>
      <c r="AD485" s="68"/>
      <c r="AE485" s="68"/>
    </row>
    <row r="486" ht="26.25" customHeight="1">
      <c r="A486" s="68"/>
      <c r="B486" s="68"/>
      <c r="C486" s="61" t="s">
        <v>129</v>
      </c>
      <c r="D486" s="61" t="s">
        <v>130</v>
      </c>
      <c r="E486" s="68"/>
      <c r="F486" s="68"/>
      <c r="G486" s="68"/>
      <c r="H486" s="68"/>
      <c r="I486" s="68"/>
      <c r="J486" s="7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  <c r="AA486" s="68"/>
      <c r="AB486" s="68"/>
      <c r="AC486" s="68"/>
      <c r="AD486" s="68"/>
      <c r="AE486" s="68"/>
    </row>
    <row r="487" ht="26.25" customHeight="1">
      <c r="A487" s="68"/>
      <c r="B487" s="68"/>
      <c r="C487" s="61" t="s">
        <v>129</v>
      </c>
      <c r="D487" s="61" t="s">
        <v>130</v>
      </c>
      <c r="E487" s="68"/>
      <c r="F487" s="68"/>
      <c r="G487" s="68"/>
      <c r="H487" s="68"/>
      <c r="I487" s="68"/>
      <c r="J487" s="7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  <c r="AA487" s="68"/>
      <c r="AB487" s="68"/>
      <c r="AC487" s="68"/>
      <c r="AD487" s="68"/>
      <c r="AE487" s="68"/>
    </row>
    <row r="488" ht="26.25" customHeight="1">
      <c r="A488" s="68"/>
      <c r="B488" s="68"/>
      <c r="C488" s="61" t="s">
        <v>129</v>
      </c>
      <c r="D488" s="61" t="s">
        <v>130</v>
      </c>
      <c r="E488" s="68"/>
      <c r="F488" s="68"/>
      <c r="G488" s="68"/>
      <c r="H488" s="68"/>
      <c r="I488" s="68"/>
      <c r="J488" s="7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  <c r="AA488" s="68"/>
      <c r="AB488" s="68"/>
      <c r="AC488" s="68"/>
      <c r="AD488" s="68"/>
      <c r="AE488" s="68"/>
    </row>
    <row r="489" ht="26.25" customHeight="1">
      <c r="A489" s="68"/>
      <c r="B489" s="68"/>
      <c r="C489" s="61" t="s">
        <v>129</v>
      </c>
      <c r="D489" s="61" t="s">
        <v>130</v>
      </c>
      <c r="E489" s="68"/>
      <c r="F489" s="68"/>
      <c r="G489" s="68"/>
      <c r="H489" s="68"/>
      <c r="I489" s="68"/>
      <c r="J489" s="7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  <c r="AA489" s="68"/>
      <c r="AB489" s="68"/>
      <c r="AC489" s="68"/>
      <c r="AD489" s="68"/>
      <c r="AE489" s="68"/>
    </row>
    <row r="490" ht="26.25" customHeight="1">
      <c r="A490" s="68"/>
      <c r="B490" s="68"/>
      <c r="C490" s="61" t="s">
        <v>129</v>
      </c>
      <c r="D490" s="61" t="s">
        <v>130</v>
      </c>
      <c r="E490" s="68"/>
      <c r="F490" s="68"/>
      <c r="G490" s="68"/>
      <c r="H490" s="68"/>
      <c r="I490" s="68"/>
      <c r="J490" s="7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  <c r="AA490" s="68"/>
      <c r="AB490" s="68"/>
      <c r="AC490" s="68"/>
      <c r="AD490" s="68"/>
      <c r="AE490" s="68"/>
    </row>
    <row r="491" ht="26.25" customHeight="1">
      <c r="A491" s="68"/>
      <c r="B491" s="68"/>
      <c r="C491" s="61" t="s">
        <v>129</v>
      </c>
      <c r="D491" s="61" t="s">
        <v>130</v>
      </c>
      <c r="E491" s="68"/>
      <c r="F491" s="68"/>
      <c r="G491" s="68"/>
      <c r="H491" s="68"/>
      <c r="I491" s="68"/>
      <c r="J491" s="7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  <c r="AA491" s="68"/>
      <c r="AB491" s="68"/>
      <c r="AC491" s="68"/>
      <c r="AD491" s="68"/>
      <c r="AE491" s="68"/>
    </row>
    <row r="492" ht="26.25" customHeight="1">
      <c r="A492" s="68"/>
      <c r="B492" s="68"/>
      <c r="C492" s="61" t="s">
        <v>129</v>
      </c>
      <c r="D492" s="61" t="s">
        <v>130</v>
      </c>
      <c r="E492" s="68"/>
      <c r="F492" s="68"/>
      <c r="G492" s="68"/>
      <c r="H492" s="68"/>
      <c r="I492" s="68"/>
      <c r="J492" s="7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  <c r="AA492" s="68"/>
      <c r="AB492" s="68"/>
      <c r="AC492" s="68"/>
      <c r="AD492" s="68"/>
      <c r="AE492" s="68"/>
    </row>
    <row r="493" ht="26.25" customHeight="1">
      <c r="A493" s="68"/>
      <c r="B493" s="68"/>
      <c r="C493" s="61" t="s">
        <v>129</v>
      </c>
      <c r="D493" s="61" t="s">
        <v>130</v>
      </c>
      <c r="E493" s="68"/>
      <c r="F493" s="68"/>
      <c r="G493" s="68"/>
      <c r="H493" s="68"/>
      <c r="I493" s="68"/>
      <c r="J493" s="7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  <c r="AA493" s="68"/>
      <c r="AB493" s="68"/>
      <c r="AC493" s="68"/>
      <c r="AD493" s="68"/>
      <c r="AE493" s="68"/>
    </row>
    <row r="494" ht="26.25" customHeight="1">
      <c r="A494" s="68"/>
      <c r="B494" s="68"/>
      <c r="C494" s="61" t="s">
        <v>129</v>
      </c>
      <c r="D494" s="61" t="s">
        <v>130</v>
      </c>
      <c r="E494" s="68"/>
      <c r="F494" s="68"/>
      <c r="G494" s="68"/>
      <c r="H494" s="68"/>
      <c r="I494" s="68"/>
      <c r="J494" s="7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  <c r="AA494" s="68"/>
      <c r="AB494" s="68"/>
      <c r="AC494" s="68"/>
      <c r="AD494" s="68"/>
      <c r="AE494" s="68"/>
    </row>
    <row r="495" ht="26.25" customHeight="1">
      <c r="A495" s="68"/>
      <c r="B495" s="68"/>
      <c r="C495" s="61" t="s">
        <v>129</v>
      </c>
      <c r="D495" s="61" t="s">
        <v>130</v>
      </c>
      <c r="E495" s="68"/>
      <c r="F495" s="68"/>
      <c r="G495" s="68"/>
      <c r="H495" s="68"/>
      <c r="I495" s="68"/>
      <c r="J495" s="7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  <c r="AA495" s="68"/>
      <c r="AB495" s="68"/>
      <c r="AC495" s="68"/>
      <c r="AD495" s="68"/>
      <c r="AE495" s="68"/>
    </row>
    <row r="496" ht="26.25" customHeight="1">
      <c r="A496" s="68"/>
      <c r="B496" s="68"/>
      <c r="C496" s="61" t="s">
        <v>129</v>
      </c>
      <c r="D496" s="61" t="s">
        <v>130</v>
      </c>
      <c r="E496" s="68"/>
      <c r="F496" s="68"/>
      <c r="G496" s="68"/>
      <c r="H496" s="68"/>
      <c r="I496" s="68"/>
      <c r="J496" s="7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  <c r="AA496" s="68"/>
      <c r="AB496" s="68"/>
      <c r="AC496" s="68"/>
      <c r="AD496" s="68"/>
      <c r="AE496" s="68"/>
    </row>
    <row r="497" ht="26.25" customHeight="1">
      <c r="A497" s="68"/>
      <c r="B497" s="68"/>
      <c r="C497" s="61" t="s">
        <v>129</v>
      </c>
      <c r="D497" s="61" t="s">
        <v>130</v>
      </c>
      <c r="E497" s="68"/>
      <c r="F497" s="68"/>
      <c r="G497" s="68"/>
      <c r="H497" s="68"/>
      <c r="I497" s="68"/>
      <c r="J497" s="7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  <c r="AA497" s="68"/>
      <c r="AB497" s="68"/>
      <c r="AC497" s="68"/>
      <c r="AD497" s="68"/>
      <c r="AE497" s="68"/>
    </row>
    <row r="498" ht="26.25" customHeight="1">
      <c r="A498" s="68"/>
      <c r="B498" s="68"/>
      <c r="C498" s="61" t="s">
        <v>129</v>
      </c>
      <c r="D498" s="61" t="s">
        <v>130</v>
      </c>
      <c r="E498" s="68"/>
      <c r="F498" s="68"/>
      <c r="G498" s="68"/>
      <c r="H498" s="68"/>
      <c r="I498" s="68"/>
      <c r="J498" s="7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  <c r="AA498" s="68"/>
      <c r="AB498" s="68"/>
      <c r="AC498" s="68"/>
      <c r="AD498" s="68"/>
      <c r="AE498" s="68"/>
    </row>
    <row r="499" ht="26.25" customHeight="1">
      <c r="A499" s="68"/>
      <c r="B499" s="68"/>
      <c r="C499" s="61" t="s">
        <v>129</v>
      </c>
      <c r="D499" s="61" t="s">
        <v>130</v>
      </c>
      <c r="E499" s="68"/>
      <c r="F499" s="68"/>
      <c r="G499" s="68"/>
      <c r="H499" s="68"/>
      <c r="I499" s="68"/>
      <c r="J499" s="7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  <c r="AA499" s="68"/>
      <c r="AB499" s="68"/>
      <c r="AC499" s="68"/>
      <c r="AD499" s="68"/>
      <c r="AE499" s="68"/>
    </row>
    <row r="500" ht="26.25" customHeight="1">
      <c r="A500" s="68"/>
      <c r="B500" s="68"/>
      <c r="C500" s="61" t="s">
        <v>129</v>
      </c>
      <c r="D500" s="61" t="s">
        <v>130</v>
      </c>
      <c r="E500" s="68"/>
      <c r="F500" s="68"/>
      <c r="G500" s="68"/>
      <c r="H500" s="68"/>
      <c r="I500" s="68"/>
      <c r="J500" s="7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  <c r="AA500" s="68"/>
      <c r="AB500" s="68"/>
      <c r="AC500" s="68"/>
      <c r="AD500" s="68"/>
      <c r="AE500" s="68"/>
    </row>
    <row r="501" ht="26.25" customHeight="1">
      <c r="A501" s="68"/>
      <c r="B501" s="68"/>
      <c r="C501" s="61" t="s">
        <v>129</v>
      </c>
      <c r="D501" s="61" t="s">
        <v>130</v>
      </c>
      <c r="E501" s="68"/>
      <c r="F501" s="68"/>
      <c r="G501" s="68"/>
      <c r="H501" s="68"/>
      <c r="I501" s="68"/>
      <c r="J501" s="7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  <c r="AA501" s="68"/>
      <c r="AB501" s="68"/>
      <c r="AC501" s="68"/>
      <c r="AD501" s="68"/>
      <c r="AE501" s="68"/>
    </row>
    <row r="502" ht="26.25" customHeight="1">
      <c r="A502" s="68"/>
      <c r="B502" s="68"/>
      <c r="C502" s="61" t="s">
        <v>129</v>
      </c>
      <c r="D502" s="61" t="s">
        <v>130</v>
      </c>
      <c r="E502" s="68"/>
      <c r="F502" s="68"/>
      <c r="G502" s="68"/>
      <c r="H502" s="68"/>
      <c r="I502" s="68"/>
      <c r="J502" s="7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  <c r="AA502" s="68"/>
      <c r="AB502" s="68"/>
      <c r="AC502" s="68"/>
      <c r="AD502" s="68"/>
      <c r="AE502" s="68"/>
    </row>
    <row r="503" ht="26.25" customHeight="1">
      <c r="A503" s="68"/>
      <c r="B503" s="68"/>
      <c r="C503" s="61" t="s">
        <v>129</v>
      </c>
      <c r="D503" s="61" t="s">
        <v>130</v>
      </c>
      <c r="E503" s="68"/>
      <c r="F503" s="68"/>
      <c r="G503" s="68"/>
      <c r="H503" s="68"/>
      <c r="I503" s="68"/>
      <c r="J503" s="7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  <c r="AA503" s="68"/>
      <c r="AB503" s="68"/>
      <c r="AC503" s="68"/>
      <c r="AD503" s="68"/>
      <c r="AE503" s="68"/>
    </row>
    <row r="504" ht="26.25" customHeight="1">
      <c r="A504" s="68"/>
      <c r="B504" s="68"/>
      <c r="C504" s="61" t="s">
        <v>129</v>
      </c>
      <c r="D504" s="61" t="s">
        <v>130</v>
      </c>
      <c r="E504" s="68"/>
      <c r="F504" s="68"/>
      <c r="G504" s="68"/>
      <c r="H504" s="68"/>
      <c r="I504" s="68"/>
      <c r="J504" s="7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  <c r="AA504" s="68"/>
      <c r="AB504" s="68"/>
      <c r="AC504" s="68"/>
      <c r="AD504" s="68"/>
      <c r="AE504" s="68"/>
    </row>
    <row r="505" ht="26.25" customHeight="1">
      <c r="A505" s="68"/>
      <c r="B505" s="68"/>
      <c r="C505" s="61" t="s">
        <v>129</v>
      </c>
      <c r="D505" s="61" t="s">
        <v>130</v>
      </c>
      <c r="E505" s="68"/>
      <c r="F505" s="68"/>
      <c r="G505" s="68"/>
      <c r="H505" s="68"/>
      <c r="I505" s="68"/>
      <c r="J505" s="7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  <c r="AA505" s="68"/>
      <c r="AB505" s="68"/>
      <c r="AC505" s="68"/>
      <c r="AD505" s="68"/>
      <c r="AE505" s="68"/>
    </row>
    <row r="506" ht="26.25" customHeight="1">
      <c r="A506" s="68"/>
      <c r="B506" s="68"/>
      <c r="C506" s="61" t="s">
        <v>129</v>
      </c>
      <c r="D506" s="61" t="s">
        <v>130</v>
      </c>
      <c r="E506" s="68"/>
      <c r="F506" s="68"/>
      <c r="G506" s="68"/>
      <c r="H506" s="68"/>
      <c r="I506" s="68"/>
      <c r="J506" s="7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  <c r="AA506" s="68"/>
      <c r="AB506" s="68"/>
      <c r="AC506" s="68"/>
      <c r="AD506" s="68"/>
      <c r="AE506" s="68"/>
    </row>
    <row r="507" ht="26.25" customHeight="1">
      <c r="A507" s="68"/>
      <c r="B507" s="68"/>
      <c r="C507" s="61" t="s">
        <v>129</v>
      </c>
      <c r="D507" s="61" t="s">
        <v>130</v>
      </c>
      <c r="E507" s="68"/>
      <c r="F507" s="68"/>
      <c r="G507" s="68"/>
      <c r="H507" s="68"/>
      <c r="I507" s="68"/>
      <c r="J507" s="7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  <c r="AA507" s="68"/>
      <c r="AB507" s="68"/>
      <c r="AC507" s="68"/>
      <c r="AD507" s="68"/>
      <c r="AE507" s="68"/>
    </row>
    <row r="508" ht="26.25" customHeight="1">
      <c r="A508" s="68"/>
      <c r="B508" s="68"/>
      <c r="C508" s="61" t="s">
        <v>129</v>
      </c>
      <c r="D508" s="61" t="s">
        <v>130</v>
      </c>
      <c r="E508" s="68"/>
      <c r="F508" s="68"/>
      <c r="G508" s="68"/>
      <c r="H508" s="68"/>
      <c r="I508" s="68"/>
      <c r="J508" s="7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  <c r="AA508" s="68"/>
      <c r="AB508" s="68"/>
      <c r="AC508" s="68"/>
      <c r="AD508" s="68"/>
      <c r="AE508" s="68"/>
    </row>
    <row r="509" ht="26.25" customHeight="1">
      <c r="A509" s="68"/>
      <c r="B509" s="68"/>
      <c r="C509" s="61" t="s">
        <v>129</v>
      </c>
      <c r="D509" s="61" t="s">
        <v>130</v>
      </c>
      <c r="E509" s="68"/>
      <c r="F509" s="68"/>
      <c r="G509" s="68"/>
      <c r="H509" s="68"/>
      <c r="I509" s="68"/>
      <c r="J509" s="7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  <c r="AA509" s="68"/>
      <c r="AB509" s="68"/>
      <c r="AC509" s="68"/>
      <c r="AD509" s="68"/>
      <c r="AE509" s="68"/>
    </row>
    <row r="510" ht="26.25" customHeight="1">
      <c r="A510" s="68"/>
      <c r="B510" s="68"/>
      <c r="C510" s="61" t="s">
        <v>129</v>
      </c>
      <c r="D510" s="61" t="s">
        <v>130</v>
      </c>
      <c r="E510" s="68"/>
      <c r="F510" s="68"/>
      <c r="G510" s="68"/>
      <c r="H510" s="68"/>
      <c r="I510" s="68"/>
      <c r="J510" s="7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  <c r="AA510" s="68"/>
      <c r="AB510" s="68"/>
      <c r="AC510" s="68"/>
      <c r="AD510" s="68"/>
      <c r="AE510" s="68"/>
    </row>
    <row r="511" ht="26.25" customHeight="1">
      <c r="A511" s="68"/>
      <c r="B511" s="68"/>
      <c r="C511" s="61" t="s">
        <v>129</v>
      </c>
      <c r="D511" s="61" t="s">
        <v>130</v>
      </c>
      <c r="E511" s="68"/>
      <c r="F511" s="68"/>
      <c r="G511" s="68"/>
      <c r="H511" s="68"/>
      <c r="I511" s="68"/>
      <c r="J511" s="7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  <c r="AA511" s="68"/>
      <c r="AB511" s="68"/>
      <c r="AC511" s="68"/>
      <c r="AD511" s="68"/>
      <c r="AE511" s="68"/>
    </row>
    <row r="512" ht="26.25" customHeight="1">
      <c r="A512" s="68"/>
      <c r="B512" s="68"/>
      <c r="C512" s="61" t="s">
        <v>129</v>
      </c>
      <c r="D512" s="61" t="s">
        <v>130</v>
      </c>
      <c r="E512" s="68"/>
      <c r="F512" s="68"/>
      <c r="G512" s="68"/>
      <c r="H512" s="68"/>
      <c r="I512" s="68"/>
      <c r="J512" s="7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  <c r="AA512" s="68"/>
      <c r="AB512" s="68"/>
      <c r="AC512" s="68"/>
      <c r="AD512" s="68"/>
      <c r="AE512" s="68"/>
    </row>
    <row r="513" ht="26.25" customHeight="1">
      <c r="A513" s="68"/>
      <c r="B513" s="68"/>
      <c r="C513" s="61" t="s">
        <v>129</v>
      </c>
      <c r="D513" s="61" t="s">
        <v>130</v>
      </c>
      <c r="E513" s="68"/>
      <c r="F513" s="68"/>
      <c r="G513" s="68"/>
      <c r="H513" s="68"/>
      <c r="I513" s="68"/>
      <c r="J513" s="7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  <c r="AA513" s="68"/>
      <c r="AB513" s="68"/>
      <c r="AC513" s="68"/>
      <c r="AD513" s="68"/>
      <c r="AE513" s="68"/>
    </row>
    <row r="514" ht="26.25" customHeight="1">
      <c r="A514" s="68"/>
      <c r="B514" s="68"/>
      <c r="C514" s="61" t="s">
        <v>129</v>
      </c>
      <c r="D514" s="61" t="s">
        <v>130</v>
      </c>
      <c r="E514" s="68"/>
      <c r="F514" s="68"/>
      <c r="G514" s="68"/>
      <c r="H514" s="68"/>
      <c r="I514" s="68"/>
      <c r="J514" s="7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  <c r="AA514" s="68"/>
      <c r="AB514" s="68"/>
      <c r="AC514" s="68"/>
      <c r="AD514" s="68"/>
      <c r="AE514" s="68"/>
    </row>
    <row r="515" ht="26.25" customHeight="1">
      <c r="A515" s="68"/>
      <c r="B515" s="68"/>
      <c r="C515" s="61" t="s">
        <v>129</v>
      </c>
      <c r="D515" s="61" t="s">
        <v>130</v>
      </c>
      <c r="E515" s="68"/>
      <c r="F515" s="68"/>
      <c r="G515" s="68"/>
      <c r="H515" s="68"/>
      <c r="I515" s="68"/>
      <c r="J515" s="7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  <c r="AA515" s="68"/>
      <c r="AB515" s="68"/>
      <c r="AC515" s="68"/>
      <c r="AD515" s="68"/>
      <c r="AE515" s="68"/>
    </row>
    <row r="516" ht="26.25" customHeight="1">
      <c r="A516" s="68"/>
      <c r="B516" s="68"/>
      <c r="C516" s="61" t="s">
        <v>129</v>
      </c>
      <c r="D516" s="61" t="s">
        <v>130</v>
      </c>
      <c r="E516" s="68"/>
      <c r="F516" s="68"/>
      <c r="G516" s="68"/>
      <c r="H516" s="68"/>
      <c r="I516" s="68"/>
      <c r="J516" s="7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  <c r="AA516" s="68"/>
      <c r="AB516" s="68"/>
      <c r="AC516" s="68"/>
      <c r="AD516" s="68"/>
      <c r="AE516" s="68"/>
    </row>
    <row r="517" ht="26.25" customHeight="1">
      <c r="A517" s="68"/>
      <c r="B517" s="68"/>
      <c r="C517" s="61" t="s">
        <v>129</v>
      </c>
      <c r="D517" s="61" t="s">
        <v>130</v>
      </c>
      <c r="E517" s="68"/>
      <c r="F517" s="68"/>
      <c r="G517" s="68"/>
      <c r="H517" s="68"/>
      <c r="I517" s="68"/>
      <c r="J517" s="7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  <c r="AA517" s="68"/>
      <c r="AB517" s="68"/>
      <c r="AC517" s="68"/>
      <c r="AD517" s="68"/>
      <c r="AE517" s="68"/>
    </row>
    <row r="518" ht="26.25" customHeight="1">
      <c r="A518" s="68"/>
      <c r="B518" s="68"/>
      <c r="C518" s="61" t="s">
        <v>129</v>
      </c>
      <c r="D518" s="61" t="s">
        <v>130</v>
      </c>
      <c r="E518" s="68"/>
      <c r="F518" s="68"/>
      <c r="G518" s="68"/>
      <c r="H518" s="68"/>
      <c r="I518" s="68"/>
      <c r="J518" s="7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  <c r="AA518" s="68"/>
      <c r="AB518" s="68"/>
      <c r="AC518" s="68"/>
      <c r="AD518" s="68"/>
      <c r="AE518" s="68"/>
    </row>
    <row r="519" ht="26.25" customHeight="1">
      <c r="A519" s="68"/>
      <c r="B519" s="68"/>
      <c r="C519" s="61" t="s">
        <v>129</v>
      </c>
      <c r="D519" s="61" t="s">
        <v>130</v>
      </c>
      <c r="E519" s="68"/>
      <c r="F519" s="68"/>
      <c r="G519" s="68"/>
      <c r="H519" s="68"/>
      <c r="I519" s="68"/>
      <c r="J519" s="7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  <c r="AA519" s="68"/>
      <c r="AB519" s="68"/>
      <c r="AC519" s="68"/>
      <c r="AD519" s="68"/>
      <c r="AE519" s="68"/>
    </row>
    <row r="520" ht="26.25" customHeight="1">
      <c r="A520" s="68"/>
      <c r="B520" s="68"/>
      <c r="C520" s="61" t="s">
        <v>129</v>
      </c>
      <c r="D520" s="61" t="s">
        <v>130</v>
      </c>
      <c r="E520" s="68"/>
      <c r="F520" s="68"/>
      <c r="G520" s="68"/>
      <c r="H520" s="68"/>
      <c r="I520" s="68"/>
      <c r="J520" s="7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  <c r="AA520" s="68"/>
      <c r="AB520" s="68"/>
      <c r="AC520" s="68"/>
      <c r="AD520" s="68"/>
      <c r="AE520" s="68"/>
    </row>
    <row r="521" ht="26.25" customHeight="1">
      <c r="A521" s="68"/>
      <c r="B521" s="68"/>
      <c r="C521" s="61" t="s">
        <v>129</v>
      </c>
      <c r="D521" s="61" t="s">
        <v>130</v>
      </c>
      <c r="E521" s="68"/>
      <c r="F521" s="68"/>
      <c r="G521" s="68"/>
      <c r="H521" s="68"/>
      <c r="I521" s="68"/>
      <c r="J521" s="7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  <c r="AA521" s="68"/>
      <c r="AB521" s="68"/>
      <c r="AC521" s="68"/>
      <c r="AD521" s="68"/>
      <c r="AE521" s="68"/>
    </row>
    <row r="522" ht="26.25" customHeight="1">
      <c r="A522" s="68"/>
      <c r="B522" s="68"/>
      <c r="C522" s="61" t="s">
        <v>129</v>
      </c>
      <c r="D522" s="61" t="s">
        <v>130</v>
      </c>
      <c r="E522" s="68"/>
      <c r="F522" s="68"/>
      <c r="G522" s="68"/>
      <c r="H522" s="68"/>
      <c r="I522" s="68"/>
      <c r="J522" s="7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  <c r="AA522" s="68"/>
      <c r="AB522" s="68"/>
      <c r="AC522" s="68"/>
      <c r="AD522" s="68"/>
      <c r="AE522" s="68"/>
    </row>
    <row r="523" ht="26.25" customHeight="1">
      <c r="A523" s="68"/>
      <c r="B523" s="68"/>
      <c r="C523" s="61" t="s">
        <v>129</v>
      </c>
      <c r="D523" s="61" t="s">
        <v>130</v>
      </c>
      <c r="E523" s="68"/>
      <c r="F523" s="68"/>
      <c r="G523" s="68"/>
      <c r="H523" s="68"/>
      <c r="I523" s="68"/>
      <c r="J523" s="7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  <c r="AA523" s="68"/>
      <c r="AB523" s="68"/>
      <c r="AC523" s="68"/>
      <c r="AD523" s="68"/>
      <c r="AE523" s="68"/>
    </row>
    <row r="524" ht="26.25" customHeight="1">
      <c r="A524" s="68"/>
      <c r="B524" s="68"/>
      <c r="C524" s="61" t="s">
        <v>129</v>
      </c>
      <c r="D524" s="61" t="s">
        <v>130</v>
      </c>
      <c r="E524" s="68"/>
      <c r="F524" s="68"/>
      <c r="G524" s="68"/>
      <c r="H524" s="68"/>
      <c r="I524" s="68"/>
      <c r="J524" s="7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  <c r="AA524" s="68"/>
      <c r="AB524" s="68"/>
      <c r="AC524" s="68"/>
      <c r="AD524" s="68"/>
      <c r="AE524" s="68"/>
    </row>
    <row r="525" ht="26.25" customHeight="1">
      <c r="A525" s="68"/>
      <c r="B525" s="68"/>
      <c r="C525" s="61" t="s">
        <v>129</v>
      </c>
      <c r="D525" s="61" t="s">
        <v>130</v>
      </c>
      <c r="E525" s="68"/>
      <c r="F525" s="68"/>
      <c r="G525" s="68"/>
      <c r="H525" s="68"/>
      <c r="I525" s="68"/>
      <c r="J525" s="7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  <c r="AA525" s="68"/>
      <c r="AB525" s="68"/>
      <c r="AC525" s="68"/>
      <c r="AD525" s="68"/>
      <c r="AE525" s="68"/>
    </row>
    <row r="526" ht="26.25" customHeight="1">
      <c r="A526" s="68"/>
      <c r="B526" s="68"/>
      <c r="C526" s="61" t="s">
        <v>129</v>
      </c>
      <c r="D526" s="61" t="s">
        <v>130</v>
      </c>
      <c r="E526" s="68"/>
      <c r="F526" s="68"/>
      <c r="G526" s="68"/>
      <c r="H526" s="68"/>
      <c r="I526" s="68"/>
      <c r="J526" s="7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  <c r="AA526" s="68"/>
      <c r="AB526" s="68"/>
      <c r="AC526" s="68"/>
      <c r="AD526" s="68"/>
      <c r="AE526" s="68"/>
    </row>
    <row r="527" ht="26.25" customHeight="1">
      <c r="A527" s="68"/>
      <c r="B527" s="68"/>
      <c r="C527" s="61" t="s">
        <v>129</v>
      </c>
      <c r="D527" s="61" t="s">
        <v>130</v>
      </c>
      <c r="E527" s="68"/>
      <c r="F527" s="68"/>
      <c r="G527" s="68"/>
      <c r="H527" s="68"/>
      <c r="I527" s="68"/>
      <c r="J527" s="7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  <c r="AA527" s="68"/>
      <c r="AB527" s="68"/>
      <c r="AC527" s="68"/>
      <c r="AD527" s="68"/>
      <c r="AE527" s="68"/>
    </row>
    <row r="528" ht="26.25" customHeight="1">
      <c r="A528" s="68"/>
      <c r="B528" s="68"/>
      <c r="C528" s="61" t="s">
        <v>129</v>
      </c>
      <c r="D528" s="61" t="s">
        <v>130</v>
      </c>
      <c r="E528" s="68"/>
      <c r="F528" s="68"/>
      <c r="G528" s="68"/>
      <c r="H528" s="68"/>
      <c r="I528" s="68"/>
      <c r="J528" s="7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  <c r="AA528" s="68"/>
      <c r="AB528" s="68"/>
      <c r="AC528" s="68"/>
      <c r="AD528" s="68"/>
      <c r="AE528" s="68"/>
    </row>
    <row r="529" ht="26.25" customHeight="1">
      <c r="A529" s="68"/>
      <c r="B529" s="68"/>
      <c r="C529" s="61" t="s">
        <v>129</v>
      </c>
      <c r="D529" s="61" t="s">
        <v>130</v>
      </c>
      <c r="E529" s="68"/>
      <c r="F529" s="68"/>
      <c r="G529" s="68"/>
      <c r="H529" s="68"/>
      <c r="I529" s="68"/>
      <c r="J529" s="7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  <c r="AA529" s="68"/>
      <c r="AB529" s="68"/>
      <c r="AC529" s="68"/>
      <c r="AD529" s="68"/>
      <c r="AE529" s="68"/>
    </row>
    <row r="530" ht="26.25" customHeight="1">
      <c r="A530" s="68"/>
      <c r="B530" s="68"/>
      <c r="C530" s="61" t="s">
        <v>129</v>
      </c>
      <c r="D530" s="61" t="s">
        <v>130</v>
      </c>
      <c r="E530" s="68"/>
      <c r="F530" s="68"/>
      <c r="G530" s="68"/>
      <c r="H530" s="68"/>
      <c r="I530" s="68"/>
      <c r="J530" s="7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  <c r="AA530" s="68"/>
      <c r="AB530" s="68"/>
      <c r="AC530" s="68"/>
      <c r="AD530" s="68"/>
      <c r="AE530" s="68"/>
    </row>
    <row r="531" ht="26.25" customHeight="1">
      <c r="A531" s="68"/>
      <c r="B531" s="68"/>
      <c r="C531" s="61" t="s">
        <v>129</v>
      </c>
      <c r="D531" s="61" t="s">
        <v>130</v>
      </c>
      <c r="E531" s="68"/>
      <c r="F531" s="68"/>
      <c r="G531" s="68"/>
      <c r="H531" s="68"/>
      <c r="I531" s="68"/>
      <c r="J531" s="7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  <c r="AA531" s="68"/>
      <c r="AB531" s="68"/>
      <c r="AC531" s="68"/>
      <c r="AD531" s="68"/>
      <c r="AE531" s="68"/>
    </row>
    <row r="532" ht="26.25" customHeight="1">
      <c r="A532" s="68"/>
      <c r="B532" s="68"/>
      <c r="C532" s="61" t="s">
        <v>129</v>
      </c>
      <c r="D532" s="61" t="s">
        <v>130</v>
      </c>
      <c r="E532" s="68"/>
      <c r="F532" s="68"/>
      <c r="G532" s="68"/>
      <c r="H532" s="68"/>
      <c r="I532" s="68"/>
      <c r="J532" s="7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  <c r="AA532" s="68"/>
      <c r="AB532" s="68"/>
      <c r="AC532" s="68"/>
      <c r="AD532" s="68"/>
      <c r="AE532" s="68"/>
    </row>
    <row r="533" ht="26.25" customHeight="1">
      <c r="A533" s="68"/>
      <c r="B533" s="68"/>
      <c r="C533" s="61" t="s">
        <v>129</v>
      </c>
      <c r="D533" s="61" t="s">
        <v>130</v>
      </c>
      <c r="E533" s="68"/>
      <c r="F533" s="68"/>
      <c r="G533" s="68"/>
      <c r="H533" s="68"/>
      <c r="I533" s="68"/>
      <c r="J533" s="7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  <c r="AA533" s="68"/>
      <c r="AB533" s="68"/>
      <c r="AC533" s="68"/>
      <c r="AD533" s="68"/>
      <c r="AE533" s="68"/>
    </row>
    <row r="534" ht="26.25" customHeight="1">
      <c r="A534" s="68"/>
      <c r="B534" s="68"/>
      <c r="C534" s="61" t="s">
        <v>129</v>
      </c>
      <c r="D534" s="61" t="s">
        <v>130</v>
      </c>
      <c r="E534" s="68"/>
      <c r="F534" s="68"/>
      <c r="G534" s="68"/>
      <c r="H534" s="68"/>
      <c r="I534" s="68"/>
      <c r="J534" s="7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  <c r="AA534" s="68"/>
      <c r="AB534" s="68"/>
      <c r="AC534" s="68"/>
      <c r="AD534" s="68"/>
      <c r="AE534" s="68"/>
    </row>
    <row r="535" ht="26.25" customHeight="1">
      <c r="A535" s="68"/>
      <c r="B535" s="68"/>
      <c r="C535" s="61" t="s">
        <v>129</v>
      </c>
      <c r="D535" s="61" t="s">
        <v>130</v>
      </c>
      <c r="E535" s="68"/>
      <c r="F535" s="68"/>
      <c r="G535" s="68"/>
      <c r="H535" s="68"/>
      <c r="I535" s="68"/>
      <c r="J535" s="7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  <c r="AA535" s="68"/>
      <c r="AB535" s="68"/>
      <c r="AC535" s="68"/>
      <c r="AD535" s="68"/>
      <c r="AE535" s="68"/>
    </row>
    <row r="536" ht="26.25" customHeight="1">
      <c r="A536" s="68"/>
      <c r="B536" s="68"/>
      <c r="C536" s="61" t="s">
        <v>129</v>
      </c>
      <c r="D536" s="61" t="s">
        <v>130</v>
      </c>
      <c r="E536" s="68"/>
      <c r="F536" s="68"/>
      <c r="G536" s="68"/>
      <c r="H536" s="68"/>
      <c r="I536" s="68"/>
      <c r="J536" s="7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  <c r="AA536" s="68"/>
      <c r="AB536" s="68"/>
      <c r="AC536" s="68"/>
      <c r="AD536" s="68"/>
      <c r="AE536" s="68"/>
    </row>
    <row r="537" ht="26.25" customHeight="1">
      <c r="A537" s="68"/>
      <c r="B537" s="68"/>
      <c r="C537" s="61" t="s">
        <v>129</v>
      </c>
      <c r="D537" s="61" t="s">
        <v>130</v>
      </c>
      <c r="E537" s="68"/>
      <c r="F537" s="68"/>
      <c r="G537" s="68"/>
      <c r="H537" s="68"/>
      <c r="I537" s="68"/>
      <c r="J537" s="7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  <c r="AA537" s="68"/>
      <c r="AB537" s="68"/>
      <c r="AC537" s="68"/>
      <c r="AD537" s="68"/>
      <c r="AE537" s="68"/>
    </row>
    <row r="538" ht="26.25" customHeight="1">
      <c r="A538" s="68"/>
      <c r="B538" s="68"/>
      <c r="C538" s="61" t="s">
        <v>129</v>
      </c>
      <c r="D538" s="61" t="s">
        <v>130</v>
      </c>
      <c r="E538" s="68"/>
      <c r="F538" s="68"/>
      <c r="G538" s="68"/>
      <c r="H538" s="68"/>
      <c r="I538" s="68"/>
      <c r="J538" s="7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  <c r="AA538" s="68"/>
      <c r="AB538" s="68"/>
      <c r="AC538" s="68"/>
      <c r="AD538" s="68"/>
      <c r="AE538" s="68"/>
    </row>
    <row r="539" ht="26.25" customHeight="1">
      <c r="A539" s="68"/>
      <c r="B539" s="68"/>
      <c r="C539" s="61" t="s">
        <v>129</v>
      </c>
      <c r="D539" s="61" t="s">
        <v>130</v>
      </c>
      <c r="E539" s="68"/>
      <c r="F539" s="68"/>
      <c r="G539" s="68"/>
      <c r="H539" s="68"/>
      <c r="I539" s="68"/>
      <c r="J539" s="7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  <c r="AA539" s="68"/>
      <c r="AB539" s="68"/>
      <c r="AC539" s="68"/>
      <c r="AD539" s="68"/>
      <c r="AE539" s="68"/>
    </row>
    <row r="540" ht="26.25" customHeight="1">
      <c r="A540" s="68"/>
      <c r="B540" s="68"/>
      <c r="C540" s="61" t="s">
        <v>129</v>
      </c>
      <c r="D540" s="61" t="s">
        <v>130</v>
      </c>
      <c r="E540" s="68"/>
      <c r="F540" s="68"/>
      <c r="G540" s="68"/>
      <c r="H540" s="68"/>
      <c r="I540" s="68"/>
      <c r="J540" s="7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  <c r="AA540" s="68"/>
      <c r="AB540" s="68"/>
      <c r="AC540" s="68"/>
      <c r="AD540" s="68"/>
      <c r="AE540" s="68"/>
    </row>
    <row r="541" ht="26.25" customHeight="1">
      <c r="A541" s="68"/>
      <c r="B541" s="68"/>
      <c r="C541" s="61" t="s">
        <v>129</v>
      </c>
      <c r="D541" s="61" t="s">
        <v>130</v>
      </c>
      <c r="E541" s="68"/>
      <c r="F541" s="68"/>
      <c r="G541" s="68"/>
      <c r="H541" s="68"/>
      <c r="I541" s="68"/>
      <c r="J541" s="7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  <c r="AA541" s="68"/>
      <c r="AB541" s="68"/>
      <c r="AC541" s="68"/>
      <c r="AD541" s="68"/>
      <c r="AE541" s="68"/>
    </row>
    <row r="542" ht="26.25" customHeight="1">
      <c r="A542" s="68"/>
      <c r="B542" s="68"/>
      <c r="C542" s="61" t="s">
        <v>129</v>
      </c>
      <c r="D542" s="61" t="s">
        <v>130</v>
      </c>
      <c r="E542" s="68"/>
      <c r="F542" s="68"/>
      <c r="G542" s="68"/>
      <c r="H542" s="68"/>
      <c r="I542" s="68"/>
      <c r="J542" s="7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  <c r="AA542" s="68"/>
      <c r="AB542" s="68"/>
      <c r="AC542" s="68"/>
      <c r="AD542" s="68"/>
      <c r="AE542" s="68"/>
    </row>
    <row r="543" ht="26.25" customHeight="1">
      <c r="A543" s="68"/>
      <c r="B543" s="68"/>
      <c r="C543" s="61" t="s">
        <v>129</v>
      </c>
      <c r="D543" s="61" t="s">
        <v>130</v>
      </c>
      <c r="E543" s="68"/>
      <c r="F543" s="68"/>
      <c r="G543" s="68"/>
      <c r="H543" s="68"/>
      <c r="I543" s="68"/>
      <c r="J543" s="7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  <c r="AA543" s="68"/>
      <c r="AB543" s="68"/>
      <c r="AC543" s="68"/>
      <c r="AD543" s="68"/>
      <c r="AE543" s="68"/>
    </row>
    <row r="544" ht="26.25" customHeight="1">
      <c r="A544" s="68"/>
      <c r="B544" s="68"/>
      <c r="C544" s="61" t="s">
        <v>129</v>
      </c>
      <c r="D544" s="61" t="s">
        <v>130</v>
      </c>
      <c r="E544" s="68"/>
      <c r="F544" s="68"/>
      <c r="G544" s="68"/>
      <c r="H544" s="68"/>
      <c r="I544" s="68"/>
      <c r="J544" s="7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  <c r="AA544" s="68"/>
      <c r="AB544" s="68"/>
      <c r="AC544" s="68"/>
      <c r="AD544" s="68"/>
      <c r="AE544" s="68"/>
    </row>
    <row r="545" ht="26.25" customHeight="1">
      <c r="A545" s="68"/>
      <c r="B545" s="68"/>
      <c r="C545" s="61" t="s">
        <v>129</v>
      </c>
      <c r="D545" s="61" t="s">
        <v>130</v>
      </c>
      <c r="E545" s="68"/>
      <c r="F545" s="68"/>
      <c r="G545" s="68"/>
      <c r="H545" s="68"/>
      <c r="I545" s="68"/>
      <c r="J545" s="7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  <c r="AA545" s="68"/>
      <c r="AB545" s="68"/>
      <c r="AC545" s="68"/>
      <c r="AD545" s="68"/>
      <c r="AE545" s="68"/>
    </row>
    <row r="546" ht="26.25" customHeight="1">
      <c r="A546" s="68"/>
      <c r="B546" s="68"/>
      <c r="C546" s="61" t="s">
        <v>129</v>
      </c>
      <c r="D546" s="61" t="s">
        <v>130</v>
      </c>
      <c r="E546" s="68"/>
      <c r="F546" s="68"/>
      <c r="G546" s="68"/>
      <c r="H546" s="68"/>
      <c r="I546" s="68"/>
      <c r="J546" s="7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  <c r="AA546" s="68"/>
      <c r="AB546" s="68"/>
      <c r="AC546" s="68"/>
      <c r="AD546" s="68"/>
      <c r="AE546" s="68"/>
    </row>
    <row r="547" ht="26.25" customHeight="1">
      <c r="A547" s="68"/>
      <c r="B547" s="68"/>
      <c r="C547" s="61" t="s">
        <v>129</v>
      </c>
      <c r="D547" s="61" t="s">
        <v>130</v>
      </c>
      <c r="E547" s="68"/>
      <c r="F547" s="68"/>
      <c r="G547" s="68"/>
      <c r="H547" s="68"/>
      <c r="I547" s="68"/>
      <c r="J547" s="7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  <c r="AA547" s="68"/>
      <c r="AB547" s="68"/>
      <c r="AC547" s="68"/>
      <c r="AD547" s="68"/>
      <c r="AE547" s="68"/>
    </row>
    <row r="548" ht="26.25" customHeight="1">
      <c r="A548" s="68"/>
      <c r="B548" s="68"/>
      <c r="C548" s="61" t="s">
        <v>129</v>
      </c>
      <c r="D548" s="61" t="s">
        <v>130</v>
      </c>
      <c r="E548" s="68"/>
      <c r="F548" s="68"/>
      <c r="G548" s="68"/>
      <c r="H548" s="68"/>
      <c r="I548" s="68"/>
      <c r="J548" s="7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  <c r="AA548" s="68"/>
      <c r="AB548" s="68"/>
      <c r="AC548" s="68"/>
      <c r="AD548" s="68"/>
      <c r="AE548" s="68"/>
    </row>
    <row r="549" ht="26.25" customHeight="1">
      <c r="A549" s="68"/>
      <c r="B549" s="68"/>
      <c r="C549" s="61" t="s">
        <v>129</v>
      </c>
      <c r="D549" s="61" t="s">
        <v>130</v>
      </c>
      <c r="E549" s="68"/>
      <c r="F549" s="68"/>
      <c r="G549" s="68"/>
      <c r="H549" s="68"/>
      <c r="I549" s="68"/>
      <c r="J549" s="7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  <c r="AA549" s="68"/>
      <c r="AB549" s="68"/>
      <c r="AC549" s="68"/>
      <c r="AD549" s="68"/>
      <c r="AE549" s="68"/>
    </row>
    <row r="550" ht="26.25" customHeight="1">
      <c r="A550" s="68"/>
      <c r="B550" s="68"/>
      <c r="C550" s="61" t="s">
        <v>129</v>
      </c>
      <c r="D550" s="61" t="s">
        <v>130</v>
      </c>
      <c r="E550" s="68"/>
      <c r="F550" s="68"/>
      <c r="G550" s="68"/>
      <c r="H550" s="68"/>
      <c r="I550" s="68"/>
      <c r="J550" s="7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  <c r="AA550" s="68"/>
      <c r="AB550" s="68"/>
      <c r="AC550" s="68"/>
      <c r="AD550" s="68"/>
      <c r="AE550" s="68"/>
    </row>
    <row r="551" ht="26.25" customHeight="1">
      <c r="A551" s="68"/>
      <c r="B551" s="68"/>
      <c r="C551" s="61" t="s">
        <v>129</v>
      </c>
      <c r="D551" s="61" t="s">
        <v>130</v>
      </c>
      <c r="E551" s="68"/>
      <c r="F551" s="68"/>
      <c r="G551" s="68"/>
      <c r="H551" s="68"/>
      <c r="I551" s="68"/>
      <c r="J551" s="7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  <c r="AA551" s="68"/>
      <c r="AB551" s="68"/>
      <c r="AC551" s="68"/>
      <c r="AD551" s="68"/>
      <c r="AE551" s="68"/>
    </row>
    <row r="552" ht="26.25" customHeight="1">
      <c r="A552" s="68"/>
      <c r="B552" s="68"/>
      <c r="C552" s="61" t="s">
        <v>129</v>
      </c>
      <c r="D552" s="61" t="s">
        <v>130</v>
      </c>
      <c r="E552" s="68"/>
      <c r="F552" s="68"/>
      <c r="G552" s="68"/>
      <c r="H552" s="68"/>
      <c r="I552" s="68"/>
      <c r="J552" s="7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  <c r="AA552" s="68"/>
      <c r="AB552" s="68"/>
      <c r="AC552" s="68"/>
      <c r="AD552" s="68"/>
      <c r="AE552" s="68"/>
    </row>
    <row r="553" ht="26.25" customHeight="1">
      <c r="A553" s="68"/>
      <c r="B553" s="68"/>
      <c r="C553" s="61" t="s">
        <v>129</v>
      </c>
      <c r="D553" s="61" t="s">
        <v>130</v>
      </c>
      <c r="E553" s="68"/>
      <c r="F553" s="68"/>
      <c r="G553" s="68"/>
      <c r="H553" s="68"/>
      <c r="I553" s="68"/>
      <c r="J553" s="7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  <c r="AA553" s="68"/>
      <c r="AB553" s="68"/>
      <c r="AC553" s="68"/>
      <c r="AD553" s="68"/>
      <c r="AE553" s="68"/>
    </row>
    <row r="554" ht="26.25" customHeight="1">
      <c r="A554" s="68"/>
      <c r="B554" s="68"/>
      <c r="C554" s="61" t="s">
        <v>129</v>
      </c>
      <c r="D554" s="61" t="s">
        <v>130</v>
      </c>
      <c r="E554" s="68"/>
      <c r="F554" s="68"/>
      <c r="G554" s="68"/>
      <c r="H554" s="68"/>
      <c r="I554" s="68"/>
      <c r="J554" s="7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  <c r="AA554" s="68"/>
      <c r="AB554" s="68"/>
      <c r="AC554" s="68"/>
      <c r="AD554" s="68"/>
      <c r="AE554" s="68"/>
    </row>
    <row r="555" ht="26.25" customHeight="1">
      <c r="A555" s="68"/>
      <c r="B555" s="68"/>
      <c r="C555" s="61" t="s">
        <v>129</v>
      </c>
      <c r="D555" s="61" t="s">
        <v>130</v>
      </c>
      <c r="E555" s="68"/>
      <c r="F555" s="68"/>
      <c r="G555" s="68"/>
      <c r="H555" s="68"/>
      <c r="I555" s="68"/>
      <c r="J555" s="7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  <c r="AA555" s="68"/>
      <c r="AB555" s="68"/>
      <c r="AC555" s="68"/>
      <c r="AD555" s="68"/>
      <c r="AE555" s="68"/>
    </row>
    <row r="556" ht="26.25" customHeight="1">
      <c r="A556" s="68"/>
      <c r="B556" s="68"/>
      <c r="C556" s="61" t="s">
        <v>129</v>
      </c>
      <c r="D556" s="61" t="s">
        <v>130</v>
      </c>
      <c r="E556" s="68"/>
      <c r="F556" s="68"/>
      <c r="G556" s="68"/>
      <c r="H556" s="68"/>
      <c r="I556" s="68"/>
      <c r="J556" s="7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  <c r="AA556" s="68"/>
      <c r="AB556" s="68"/>
      <c r="AC556" s="68"/>
      <c r="AD556" s="68"/>
      <c r="AE556" s="68"/>
    </row>
    <row r="557" ht="26.25" customHeight="1">
      <c r="A557" s="68"/>
      <c r="B557" s="68"/>
      <c r="C557" s="61" t="s">
        <v>129</v>
      </c>
      <c r="D557" s="61" t="s">
        <v>130</v>
      </c>
      <c r="E557" s="68"/>
      <c r="F557" s="68"/>
      <c r="G557" s="68"/>
      <c r="H557" s="68"/>
      <c r="I557" s="68"/>
      <c r="J557" s="7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  <c r="AA557" s="68"/>
      <c r="AB557" s="68"/>
      <c r="AC557" s="68"/>
      <c r="AD557" s="68"/>
      <c r="AE557" s="68"/>
    </row>
    <row r="558" ht="26.25" customHeight="1">
      <c r="A558" s="68"/>
      <c r="B558" s="68"/>
      <c r="C558" s="61" t="s">
        <v>129</v>
      </c>
      <c r="D558" s="61" t="s">
        <v>130</v>
      </c>
      <c r="E558" s="68"/>
      <c r="F558" s="68"/>
      <c r="G558" s="68"/>
      <c r="H558" s="68"/>
      <c r="I558" s="68"/>
      <c r="J558" s="7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  <c r="AA558" s="68"/>
      <c r="AB558" s="68"/>
      <c r="AC558" s="68"/>
      <c r="AD558" s="68"/>
      <c r="AE558" s="68"/>
    </row>
    <row r="559" ht="26.25" customHeight="1">
      <c r="A559" s="68"/>
      <c r="B559" s="68"/>
      <c r="C559" s="61" t="s">
        <v>129</v>
      </c>
      <c r="D559" s="61" t="s">
        <v>130</v>
      </c>
      <c r="E559" s="68"/>
      <c r="F559" s="68"/>
      <c r="G559" s="68"/>
      <c r="H559" s="68"/>
      <c r="I559" s="68"/>
      <c r="J559" s="7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  <c r="AA559" s="68"/>
      <c r="AB559" s="68"/>
      <c r="AC559" s="68"/>
      <c r="AD559" s="68"/>
      <c r="AE559" s="68"/>
    </row>
    <row r="560" ht="26.25" customHeight="1">
      <c r="A560" s="68"/>
      <c r="B560" s="68"/>
      <c r="C560" s="61" t="s">
        <v>129</v>
      </c>
      <c r="D560" s="61" t="s">
        <v>130</v>
      </c>
      <c r="E560" s="68"/>
      <c r="F560" s="68"/>
      <c r="G560" s="68"/>
      <c r="H560" s="68"/>
      <c r="I560" s="68"/>
      <c r="J560" s="7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  <c r="AA560" s="68"/>
      <c r="AB560" s="68"/>
      <c r="AC560" s="68"/>
      <c r="AD560" s="68"/>
      <c r="AE560" s="68"/>
    </row>
    <row r="561" ht="26.25" customHeight="1">
      <c r="A561" s="68"/>
      <c r="B561" s="68"/>
      <c r="C561" s="61" t="s">
        <v>129</v>
      </c>
      <c r="D561" s="61" t="s">
        <v>130</v>
      </c>
      <c r="E561" s="68"/>
      <c r="F561" s="68"/>
      <c r="G561" s="68"/>
      <c r="H561" s="68"/>
      <c r="I561" s="68"/>
      <c r="J561" s="7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  <c r="AA561" s="68"/>
      <c r="AB561" s="68"/>
      <c r="AC561" s="68"/>
      <c r="AD561" s="68"/>
      <c r="AE561" s="68"/>
    </row>
    <row r="562" ht="26.25" customHeight="1">
      <c r="A562" s="68"/>
      <c r="B562" s="68"/>
      <c r="C562" s="61" t="s">
        <v>129</v>
      </c>
      <c r="D562" s="61" t="s">
        <v>130</v>
      </c>
      <c r="E562" s="68"/>
      <c r="F562" s="68"/>
      <c r="G562" s="68"/>
      <c r="H562" s="68"/>
      <c r="I562" s="68"/>
      <c r="J562" s="7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  <c r="AA562" s="68"/>
      <c r="AB562" s="68"/>
      <c r="AC562" s="68"/>
      <c r="AD562" s="68"/>
      <c r="AE562" s="68"/>
    </row>
    <row r="563" ht="26.25" customHeight="1">
      <c r="A563" s="68"/>
      <c r="B563" s="68"/>
      <c r="C563" s="61" t="s">
        <v>129</v>
      </c>
      <c r="D563" s="61" t="s">
        <v>130</v>
      </c>
      <c r="E563" s="68"/>
      <c r="F563" s="68"/>
      <c r="G563" s="68"/>
      <c r="H563" s="68"/>
      <c r="I563" s="68"/>
      <c r="J563" s="7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  <c r="AA563" s="68"/>
      <c r="AB563" s="68"/>
      <c r="AC563" s="68"/>
      <c r="AD563" s="68"/>
      <c r="AE563" s="68"/>
    </row>
    <row r="564" ht="26.25" customHeight="1">
      <c r="A564" s="68"/>
      <c r="B564" s="68"/>
      <c r="C564" s="61" t="s">
        <v>129</v>
      </c>
      <c r="D564" s="61" t="s">
        <v>130</v>
      </c>
      <c r="E564" s="68"/>
      <c r="F564" s="68"/>
      <c r="G564" s="68"/>
      <c r="H564" s="68"/>
      <c r="I564" s="68"/>
      <c r="J564" s="7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  <c r="AA564" s="68"/>
      <c r="AB564" s="68"/>
      <c r="AC564" s="68"/>
      <c r="AD564" s="68"/>
      <c r="AE564" s="68"/>
    </row>
    <row r="565" ht="26.25" customHeight="1">
      <c r="A565" s="68"/>
      <c r="B565" s="68"/>
      <c r="C565" s="61" t="s">
        <v>129</v>
      </c>
      <c r="D565" s="61" t="s">
        <v>130</v>
      </c>
      <c r="E565" s="68"/>
      <c r="F565" s="68"/>
      <c r="G565" s="68"/>
      <c r="H565" s="68"/>
      <c r="I565" s="68"/>
      <c r="J565" s="7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  <c r="AA565" s="68"/>
      <c r="AB565" s="68"/>
      <c r="AC565" s="68"/>
      <c r="AD565" s="68"/>
      <c r="AE565" s="68"/>
    </row>
    <row r="566" ht="26.25" customHeight="1">
      <c r="A566" s="68"/>
      <c r="B566" s="68"/>
      <c r="C566" s="61" t="s">
        <v>129</v>
      </c>
      <c r="D566" s="61" t="s">
        <v>130</v>
      </c>
      <c r="E566" s="68"/>
      <c r="F566" s="68"/>
      <c r="G566" s="68"/>
      <c r="H566" s="68"/>
      <c r="I566" s="68"/>
      <c r="J566" s="7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  <c r="AA566" s="68"/>
      <c r="AB566" s="68"/>
      <c r="AC566" s="68"/>
      <c r="AD566" s="68"/>
      <c r="AE566" s="68"/>
    </row>
    <row r="567" ht="26.25" customHeight="1">
      <c r="A567" s="68"/>
      <c r="B567" s="68"/>
      <c r="C567" s="61" t="s">
        <v>129</v>
      </c>
      <c r="D567" s="61" t="s">
        <v>130</v>
      </c>
      <c r="E567" s="68"/>
      <c r="F567" s="68"/>
      <c r="G567" s="68"/>
      <c r="H567" s="68"/>
      <c r="I567" s="68"/>
      <c r="J567" s="7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  <c r="AA567" s="68"/>
      <c r="AB567" s="68"/>
      <c r="AC567" s="68"/>
      <c r="AD567" s="68"/>
      <c r="AE567" s="68"/>
    </row>
    <row r="568" ht="26.25" customHeight="1">
      <c r="A568" s="68"/>
      <c r="B568" s="68"/>
      <c r="C568" s="61" t="s">
        <v>129</v>
      </c>
      <c r="D568" s="61" t="s">
        <v>130</v>
      </c>
      <c r="E568" s="68"/>
      <c r="F568" s="68"/>
      <c r="G568" s="68"/>
      <c r="H568" s="68"/>
      <c r="I568" s="68"/>
      <c r="J568" s="7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  <c r="AA568" s="68"/>
      <c r="AB568" s="68"/>
      <c r="AC568" s="68"/>
      <c r="AD568" s="68"/>
      <c r="AE568" s="68"/>
    </row>
    <row r="569" ht="26.25" customHeight="1">
      <c r="A569" s="68"/>
      <c r="B569" s="68"/>
      <c r="C569" s="61" t="s">
        <v>129</v>
      </c>
      <c r="D569" s="61" t="s">
        <v>130</v>
      </c>
      <c r="E569" s="68"/>
      <c r="F569" s="68"/>
      <c r="G569" s="68"/>
      <c r="H569" s="68"/>
      <c r="I569" s="68"/>
      <c r="J569" s="7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  <c r="AA569" s="68"/>
      <c r="AB569" s="68"/>
      <c r="AC569" s="68"/>
      <c r="AD569" s="68"/>
      <c r="AE569" s="68"/>
    </row>
    <row r="570" ht="26.25" customHeight="1">
      <c r="A570" s="68"/>
      <c r="B570" s="68"/>
      <c r="C570" s="61" t="s">
        <v>129</v>
      </c>
      <c r="D570" s="61" t="s">
        <v>130</v>
      </c>
      <c r="E570" s="68"/>
      <c r="F570" s="68"/>
      <c r="G570" s="68"/>
      <c r="H570" s="68"/>
      <c r="I570" s="68"/>
      <c r="J570" s="7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  <c r="AA570" s="68"/>
      <c r="AB570" s="68"/>
      <c r="AC570" s="68"/>
      <c r="AD570" s="68"/>
      <c r="AE570" s="68"/>
    </row>
    <row r="571" ht="26.25" customHeight="1">
      <c r="A571" s="68"/>
      <c r="B571" s="68"/>
      <c r="C571" s="61" t="s">
        <v>129</v>
      </c>
      <c r="D571" s="61" t="s">
        <v>130</v>
      </c>
      <c r="E571" s="68"/>
      <c r="F571" s="68"/>
      <c r="G571" s="68"/>
      <c r="H571" s="68"/>
      <c r="I571" s="68"/>
      <c r="J571" s="7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  <c r="AA571" s="68"/>
      <c r="AB571" s="68"/>
      <c r="AC571" s="68"/>
      <c r="AD571" s="68"/>
      <c r="AE571" s="68"/>
    </row>
    <row r="572" ht="26.25" customHeight="1">
      <c r="A572" s="68"/>
      <c r="B572" s="68"/>
      <c r="C572" s="61" t="s">
        <v>129</v>
      </c>
      <c r="D572" s="61" t="s">
        <v>130</v>
      </c>
      <c r="E572" s="68"/>
      <c r="F572" s="68"/>
      <c r="G572" s="68"/>
      <c r="H572" s="68"/>
      <c r="I572" s="68"/>
      <c r="J572" s="7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  <c r="AA572" s="68"/>
      <c r="AB572" s="68"/>
      <c r="AC572" s="68"/>
      <c r="AD572" s="68"/>
      <c r="AE572" s="68"/>
    </row>
    <row r="573" ht="26.25" customHeight="1">
      <c r="A573" s="68"/>
      <c r="B573" s="68"/>
      <c r="C573" s="61" t="s">
        <v>129</v>
      </c>
      <c r="D573" s="61" t="s">
        <v>130</v>
      </c>
      <c r="E573" s="68"/>
      <c r="F573" s="68"/>
      <c r="G573" s="68"/>
      <c r="H573" s="68"/>
      <c r="I573" s="68"/>
      <c r="J573" s="7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  <c r="AA573" s="68"/>
      <c r="AB573" s="68"/>
      <c r="AC573" s="68"/>
      <c r="AD573" s="68"/>
      <c r="AE573" s="68"/>
    </row>
    <row r="574" ht="26.25" customHeight="1">
      <c r="A574" s="68"/>
      <c r="B574" s="68"/>
      <c r="C574" s="61" t="s">
        <v>129</v>
      </c>
      <c r="D574" s="61" t="s">
        <v>130</v>
      </c>
      <c r="E574" s="68"/>
      <c r="F574" s="68"/>
      <c r="G574" s="68"/>
      <c r="H574" s="68"/>
      <c r="I574" s="68"/>
      <c r="J574" s="7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  <c r="AA574" s="68"/>
      <c r="AB574" s="68"/>
      <c r="AC574" s="68"/>
      <c r="AD574" s="68"/>
      <c r="AE574" s="68"/>
    </row>
    <row r="575" ht="26.25" customHeight="1">
      <c r="A575" s="68"/>
      <c r="B575" s="68"/>
      <c r="C575" s="61" t="s">
        <v>129</v>
      </c>
      <c r="D575" s="61" t="s">
        <v>130</v>
      </c>
      <c r="E575" s="68"/>
      <c r="F575" s="68"/>
      <c r="G575" s="68"/>
      <c r="H575" s="68"/>
      <c r="I575" s="68"/>
      <c r="J575" s="7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  <c r="AA575" s="68"/>
      <c r="AB575" s="68"/>
      <c r="AC575" s="68"/>
      <c r="AD575" s="68"/>
      <c r="AE575" s="68"/>
    </row>
    <row r="576" ht="26.25" customHeight="1">
      <c r="A576" s="68"/>
      <c r="B576" s="68"/>
      <c r="C576" s="61" t="s">
        <v>129</v>
      </c>
      <c r="D576" s="61" t="s">
        <v>130</v>
      </c>
      <c r="E576" s="68"/>
      <c r="F576" s="68"/>
      <c r="G576" s="68"/>
      <c r="H576" s="68"/>
      <c r="I576" s="68"/>
      <c r="J576" s="7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  <c r="AA576" s="68"/>
      <c r="AB576" s="68"/>
      <c r="AC576" s="68"/>
      <c r="AD576" s="68"/>
      <c r="AE576" s="68"/>
    </row>
    <row r="577" ht="26.25" customHeight="1">
      <c r="A577" s="68"/>
      <c r="B577" s="68"/>
      <c r="C577" s="61" t="s">
        <v>129</v>
      </c>
      <c r="D577" s="61" t="s">
        <v>130</v>
      </c>
      <c r="E577" s="68"/>
      <c r="F577" s="68"/>
      <c r="G577" s="68"/>
      <c r="H577" s="68"/>
      <c r="I577" s="68"/>
      <c r="J577" s="7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  <c r="AA577" s="68"/>
      <c r="AB577" s="68"/>
      <c r="AC577" s="68"/>
      <c r="AD577" s="68"/>
      <c r="AE577" s="68"/>
    </row>
    <row r="578" ht="26.25" customHeight="1">
      <c r="A578" s="68"/>
      <c r="B578" s="68"/>
      <c r="C578" s="61" t="s">
        <v>129</v>
      </c>
      <c r="D578" s="61" t="s">
        <v>130</v>
      </c>
      <c r="E578" s="68"/>
      <c r="F578" s="68"/>
      <c r="G578" s="68"/>
      <c r="H578" s="68"/>
      <c r="I578" s="68"/>
      <c r="J578" s="7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  <c r="AA578" s="68"/>
      <c r="AB578" s="68"/>
      <c r="AC578" s="68"/>
      <c r="AD578" s="68"/>
      <c r="AE578" s="68"/>
    </row>
    <row r="579" ht="26.25" customHeight="1">
      <c r="A579" s="68"/>
      <c r="B579" s="68"/>
      <c r="C579" s="61" t="s">
        <v>129</v>
      </c>
      <c r="D579" s="61" t="s">
        <v>130</v>
      </c>
      <c r="E579" s="68"/>
      <c r="F579" s="68"/>
      <c r="G579" s="68"/>
      <c r="H579" s="68"/>
      <c r="I579" s="68"/>
      <c r="J579" s="7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  <c r="AA579" s="68"/>
      <c r="AB579" s="68"/>
      <c r="AC579" s="68"/>
      <c r="AD579" s="68"/>
      <c r="AE579" s="68"/>
    </row>
    <row r="580" ht="26.25" customHeight="1">
      <c r="A580" s="68"/>
      <c r="B580" s="68"/>
      <c r="C580" s="61" t="s">
        <v>129</v>
      </c>
      <c r="D580" s="61" t="s">
        <v>130</v>
      </c>
      <c r="E580" s="68"/>
      <c r="F580" s="68"/>
      <c r="G580" s="68"/>
      <c r="H580" s="68"/>
      <c r="I580" s="68"/>
      <c r="J580" s="7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  <c r="AA580" s="68"/>
      <c r="AB580" s="68"/>
      <c r="AC580" s="68"/>
      <c r="AD580" s="68"/>
      <c r="AE580" s="68"/>
    </row>
    <row r="581" ht="26.25" customHeight="1">
      <c r="A581" s="68"/>
      <c r="B581" s="68"/>
      <c r="C581" s="61" t="s">
        <v>129</v>
      </c>
      <c r="D581" s="61" t="s">
        <v>130</v>
      </c>
      <c r="E581" s="68"/>
      <c r="F581" s="68"/>
      <c r="G581" s="68"/>
      <c r="H581" s="68"/>
      <c r="I581" s="68"/>
      <c r="J581" s="7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  <c r="AA581" s="68"/>
      <c r="AB581" s="68"/>
      <c r="AC581" s="68"/>
      <c r="AD581" s="68"/>
      <c r="AE581" s="68"/>
    </row>
    <row r="582" ht="26.25" customHeight="1">
      <c r="A582" s="68"/>
      <c r="B582" s="68"/>
      <c r="C582" s="61" t="s">
        <v>129</v>
      </c>
      <c r="D582" s="61" t="s">
        <v>130</v>
      </c>
      <c r="E582" s="68"/>
      <c r="F582" s="68"/>
      <c r="G582" s="68"/>
      <c r="H582" s="68"/>
      <c r="I582" s="68"/>
      <c r="J582" s="7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  <c r="AA582" s="68"/>
      <c r="AB582" s="68"/>
      <c r="AC582" s="68"/>
      <c r="AD582" s="68"/>
      <c r="AE582" s="68"/>
    </row>
    <row r="583" ht="26.25" customHeight="1">
      <c r="A583" s="68"/>
      <c r="B583" s="68"/>
      <c r="C583" s="61" t="s">
        <v>129</v>
      </c>
      <c r="D583" s="61" t="s">
        <v>130</v>
      </c>
      <c r="E583" s="68"/>
      <c r="F583" s="68"/>
      <c r="G583" s="68"/>
      <c r="H583" s="68"/>
      <c r="I583" s="68"/>
      <c r="J583" s="7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  <c r="AA583" s="68"/>
      <c r="AB583" s="68"/>
      <c r="AC583" s="68"/>
      <c r="AD583" s="68"/>
      <c r="AE583" s="68"/>
    </row>
    <row r="584" ht="26.25" customHeight="1">
      <c r="A584" s="68"/>
      <c r="B584" s="68"/>
      <c r="C584" s="61" t="s">
        <v>129</v>
      </c>
      <c r="D584" s="61" t="s">
        <v>130</v>
      </c>
      <c r="E584" s="68"/>
      <c r="F584" s="68"/>
      <c r="G584" s="68"/>
      <c r="H584" s="68"/>
      <c r="I584" s="68"/>
      <c r="J584" s="7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  <c r="AA584" s="68"/>
      <c r="AB584" s="68"/>
      <c r="AC584" s="68"/>
      <c r="AD584" s="68"/>
      <c r="AE584" s="68"/>
    </row>
    <row r="585" ht="26.25" customHeight="1">
      <c r="A585" s="68"/>
      <c r="B585" s="68"/>
      <c r="C585" s="61" t="s">
        <v>129</v>
      </c>
      <c r="D585" s="61" t="s">
        <v>130</v>
      </c>
      <c r="E585" s="68"/>
      <c r="F585" s="68"/>
      <c r="G585" s="68"/>
      <c r="H585" s="68"/>
      <c r="I585" s="68"/>
      <c r="J585" s="7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  <c r="AA585" s="68"/>
      <c r="AB585" s="68"/>
      <c r="AC585" s="68"/>
      <c r="AD585" s="68"/>
      <c r="AE585" s="68"/>
    </row>
    <row r="586" ht="26.25" customHeight="1">
      <c r="A586" s="68"/>
      <c r="B586" s="68"/>
      <c r="C586" s="61" t="s">
        <v>129</v>
      </c>
      <c r="D586" s="61" t="s">
        <v>130</v>
      </c>
      <c r="E586" s="68"/>
      <c r="F586" s="68"/>
      <c r="G586" s="68"/>
      <c r="H586" s="68"/>
      <c r="I586" s="68"/>
      <c r="J586" s="7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  <c r="AA586" s="68"/>
      <c r="AB586" s="68"/>
      <c r="AC586" s="68"/>
      <c r="AD586" s="68"/>
      <c r="AE586" s="68"/>
    </row>
    <row r="587" ht="26.25" customHeight="1">
      <c r="A587" s="68"/>
      <c r="B587" s="68"/>
      <c r="C587" s="61" t="s">
        <v>129</v>
      </c>
      <c r="D587" s="61" t="s">
        <v>130</v>
      </c>
      <c r="E587" s="68"/>
      <c r="F587" s="68"/>
      <c r="G587" s="68"/>
      <c r="H587" s="68"/>
      <c r="I587" s="68"/>
      <c r="J587" s="7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  <c r="AA587" s="68"/>
      <c r="AB587" s="68"/>
      <c r="AC587" s="68"/>
      <c r="AD587" s="68"/>
      <c r="AE587" s="68"/>
    </row>
    <row r="588" ht="26.25" customHeight="1">
      <c r="A588" s="68"/>
      <c r="B588" s="68"/>
      <c r="C588" s="61" t="s">
        <v>129</v>
      </c>
      <c r="D588" s="61" t="s">
        <v>130</v>
      </c>
      <c r="E588" s="68"/>
      <c r="F588" s="68"/>
      <c r="G588" s="68"/>
      <c r="H588" s="68"/>
      <c r="I588" s="68"/>
      <c r="J588" s="7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  <c r="AA588" s="68"/>
      <c r="AB588" s="68"/>
      <c r="AC588" s="68"/>
      <c r="AD588" s="68"/>
      <c r="AE588" s="68"/>
    </row>
    <row r="589" ht="26.25" customHeight="1">
      <c r="A589" s="68"/>
      <c r="B589" s="68"/>
      <c r="C589" s="61" t="s">
        <v>129</v>
      </c>
      <c r="D589" s="61" t="s">
        <v>130</v>
      </c>
      <c r="E589" s="68"/>
      <c r="F589" s="68"/>
      <c r="G589" s="68"/>
      <c r="H589" s="68"/>
      <c r="I589" s="68"/>
      <c r="J589" s="7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  <c r="AA589" s="68"/>
      <c r="AB589" s="68"/>
      <c r="AC589" s="68"/>
      <c r="AD589" s="68"/>
      <c r="AE589" s="68"/>
    </row>
    <row r="590" ht="26.25" customHeight="1">
      <c r="A590" s="68"/>
      <c r="B590" s="68"/>
      <c r="C590" s="61" t="s">
        <v>129</v>
      </c>
      <c r="D590" s="61" t="s">
        <v>130</v>
      </c>
      <c r="E590" s="68"/>
      <c r="F590" s="68"/>
      <c r="G590" s="68"/>
      <c r="H590" s="68"/>
      <c r="I590" s="68"/>
      <c r="J590" s="7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  <c r="AA590" s="68"/>
      <c r="AB590" s="68"/>
      <c r="AC590" s="68"/>
      <c r="AD590" s="68"/>
      <c r="AE590" s="68"/>
    </row>
    <row r="591" ht="26.25" customHeight="1">
      <c r="A591" s="68"/>
      <c r="B591" s="68"/>
      <c r="C591" s="61" t="s">
        <v>129</v>
      </c>
      <c r="D591" s="61" t="s">
        <v>130</v>
      </c>
      <c r="E591" s="68"/>
      <c r="F591" s="68"/>
      <c r="G591" s="68"/>
      <c r="H591" s="68"/>
      <c r="I591" s="68"/>
      <c r="J591" s="7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  <c r="AA591" s="68"/>
      <c r="AB591" s="68"/>
      <c r="AC591" s="68"/>
      <c r="AD591" s="68"/>
      <c r="AE591" s="68"/>
    </row>
    <row r="592" ht="26.25" customHeight="1">
      <c r="A592" s="68"/>
      <c r="B592" s="68"/>
      <c r="C592" s="61" t="s">
        <v>129</v>
      </c>
      <c r="D592" s="61" t="s">
        <v>130</v>
      </c>
      <c r="E592" s="68"/>
      <c r="F592" s="68"/>
      <c r="G592" s="68"/>
      <c r="H592" s="68"/>
      <c r="I592" s="68"/>
      <c r="J592" s="7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  <c r="AA592" s="68"/>
      <c r="AB592" s="68"/>
      <c r="AC592" s="68"/>
      <c r="AD592" s="68"/>
      <c r="AE592" s="68"/>
    </row>
    <row r="593" ht="26.25" customHeight="1">
      <c r="A593" s="68"/>
      <c r="B593" s="68"/>
      <c r="C593" s="61" t="s">
        <v>129</v>
      </c>
      <c r="D593" s="61" t="s">
        <v>130</v>
      </c>
      <c r="E593" s="68"/>
      <c r="F593" s="68"/>
      <c r="G593" s="68"/>
      <c r="H593" s="68"/>
      <c r="I593" s="68"/>
      <c r="J593" s="7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  <c r="AA593" s="68"/>
      <c r="AB593" s="68"/>
      <c r="AC593" s="68"/>
      <c r="AD593" s="68"/>
      <c r="AE593" s="68"/>
    </row>
    <row r="594" ht="26.25" customHeight="1">
      <c r="A594" s="68"/>
      <c r="B594" s="68"/>
      <c r="C594" s="61" t="s">
        <v>129</v>
      </c>
      <c r="D594" s="61" t="s">
        <v>130</v>
      </c>
      <c r="E594" s="68"/>
      <c r="F594" s="68"/>
      <c r="G594" s="68"/>
      <c r="H594" s="68"/>
      <c r="I594" s="68"/>
      <c r="J594" s="7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  <c r="AA594" s="68"/>
      <c r="AB594" s="68"/>
      <c r="AC594" s="68"/>
      <c r="AD594" s="68"/>
      <c r="AE594" s="68"/>
    </row>
    <row r="595" ht="26.25" customHeight="1">
      <c r="A595" s="68"/>
      <c r="B595" s="68"/>
      <c r="C595" s="61" t="s">
        <v>129</v>
      </c>
      <c r="D595" s="61" t="s">
        <v>130</v>
      </c>
      <c r="E595" s="68"/>
      <c r="F595" s="68"/>
      <c r="G595" s="68"/>
      <c r="H595" s="68"/>
      <c r="I595" s="68"/>
      <c r="J595" s="7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  <c r="AA595" s="68"/>
      <c r="AB595" s="68"/>
      <c r="AC595" s="68"/>
      <c r="AD595" s="68"/>
      <c r="AE595" s="68"/>
    </row>
    <row r="596" ht="26.25" customHeight="1">
      <c r="A596" s="68"/>
      <c r="B596" s="68"/>
      <c r="C596" s="61" t="s">
        <v>129</v>
      </c>
      <c r="D596" s="61" t="s">
        <v>130</v>
      </c>
      <c r="E596" s="68"/>
      <c r="F596" s="68"/>
      <c r="G596" s="68"/>
      <c r="H596" s="68"/>
      <c r="I596" s="68"/>
      <c r="J596" s="7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  <c r="AA596" s="68"/>
      <c r="AB596" s="68"/>
      <c r="AC596" s="68"/>
      <c r="AD596" s="68"/>
      <c r="AE596" s="68"/>
    </row>
    <row r="597" ht="26.25" customHeight="1">
      <c r="A597" s="68"/>
      <c r="B597" s="68"/>
      <c r="C597" s="61" t="s">
        <v>129</v>
      </c>
      <c r="D597" s="61" t="s">
        <v>130</v>
      </c>
      <c r="E597" s="68"/>
      <c r="F597" s="68"/>
      <c r="G597" s="68"/>
      <c r="H597" s="68"/>
      <c r="I597" s="68"/>
      <c r="J597" s="7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  <c r="AA597" s="68"/>
      <c r="AB597" s="68"/>
      <c r="AC597" s="68"/>
      <c r="AD597" s="68"/>
      <c r="AE597" s="68"/>
    </row>
    <row r="598" ht="26.25" customHeight="1">
      <c r="A598" s="68"/>
      <c r="B598" s="68"/>
      <c r="C598" s="61" t="s">
        <v>129</v>
      </c>
      <c r="D598" s="61" t="s">
        <v>130</v>
      </c>
      <c r="E598" s="68"/>
      <c r="F598" s="68"/>
      <c r="G598" s="68"/>
      <c r="H598" s="68"/>
      <c r="I598" s="68"/>
      <c r="J598" s="7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  <c r="AA598" s="68"/>
      <c r="AB598" s="68"/>
      <c r="AC598" s="68"/>
      <c r="AD598" s="68"/>
      <c r="AE598" s="68"/>
    </row>
    <row r="599" ht="26.25" customHeight="1">
      <c r="A599" s="68"/>
      <c r="B599" s="68"/>
      <c r="C599" s="61" t="s">
        <v>129</v>
      </c>
      <c r="D599" s="61" t="s">
        <v>130</v>
      </c>
      <c r="E599" s="68"/>
      <c r="F599" s="68"/>
      <c r="G599" s="68"/>
      <c r="H599" s="68"/>
      <c r="I599" s="68"/>
      <c r="J599" s="7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  <c r="AA599" s="68"/>
      <c r="AB599" s="68"/>
      <c r="AC599" s="68"/>
      <c r="AD599" s="68"/>
      <c r="AE599" s="68"/>
    </row>
    <row r="600" ht="26.25" customHeight="1">
      <c r="A600" s="68"/>
      <c r="B600" s="68"/>
      <c r="C600" s="61" t="s">
        <v>129</v>
      </c>
      <c r="D600" s="61" t="s">
        <v>130</v>
      </c>
      <c r="E600" s="68"/>
      <c r="F600" s="68"/>
      <c r="G600" s="68"/>
      <c r="H600" s="68"/>
      <c r="I600" s="68"/>
      <c r="J600" s="7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  <c r="AA600" s="68"/>
      <c r="AB600" s="68"/>
      <c r="AC600" s="68"/>
      <c r="AD600" s="68"/>
      <c r="AE600" s="68"/>
    </row>
    <row r="601" ht="26.25" customHeight="1">
      <c r="A601" s="68"/>
      <c r="B601" s="68"/>
      <c r="C601" s="61" t="s">
        <v>129</v>
      </c>
      <c r="D601" s="61" t="s">
        <v>130</v>
      </c>
      <c r="E601" s="68"/>
      <c r="F601" s="68"/>
      <c r="G601" s="68"/>
      <c r="H601" s="68"/>
      <c r="I601" s="68"/>
      <c r="J601" s="7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  <c r="AA601" s="68"/>
      <c r="AB601" s="68"/>
      <c r="AC601" s="68"/>
      <c r="AD601" s="68"/>
      <c r="AE601" s="68"/>
    </row>
    <row r="602" ht="26.25" customHeight="1">
      <c r="A602" s="68"/>
      <c r="B602" s="68"/>
      <c r="C602" s="61" t="s">
        <v>129</v>
      </c>
      <c r="D602" s="61" t="s">
        <v>130</v>
      </c>
      <c r="E602" s="68"/>
      <c r="F602" s="68"/>
      <c r="G602" s="68"/>
      <c r="H602" s="68"/>
      <c r="I602" s="68"/>
      <c r="J602" s="7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  <c r="AA602" s="68"/>
      <c r="AB602" s="68"/>
      <c r="AC602" s="68"/>
      <c r="AD602" s="68"/>
      <c r="AE602" s="68"/>
    </row>
    <row r="603" ht="26.25" customHeight="1">
      <c r="A603" s="68"/>
      <c r="B603" s="68"/>
      <c r="C603" s="61" t="s">
        <v>129</v>
      </c>
      <c r="D603" s="61" t="s">
        <v>130</v>
      </c>
      <c r="E603" s="68"/>
      <c r="F603" s="68"/>
      <c r="G603" s="68"/>
      <c r="H603" s="68"/>
      <c r="I603" s="68"/>
      <c r="J603" s="7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  <c r="AA603" s="68"/>
      <c r="AB603" s="68"/>
      <c r="AC603" s="68"/>
      <c r="AD603" s="68"/>
      <c r="AE603" s="68"/>
    </row>
    <row r="604" ht="26.25" customHeight="1">
      <c r="A604" s="68"/>
      <c r="B604" s="68"/>
      <c r="C604" s="61" t="s">
        <v>129</v>
      </c>
      <c r="D604" s="61" t="s">
        <v>130</v>
      </c>
      <c r="E604" s="68"/>
      <c r="F604" s="68"/>
      <c r="G604" s="68"/>
      <c r="H604" s="68"/>
      <c r="I604" s="68"/>
      <c r="J604" s="7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  <c r="AA604" s="68"/>
      <c r="AB604" s="68"/>
      <c r="AC604" s="68"/>
      <c r="AD604" s="68"/>
      <c r="AE604" s="68"/>
    </row>
    <row r="605" ht="26.25" customHeight="1">
      <c r="A605" s="68"/>
      <c r="B605" s="68"/>
      <c r="C605" s="61" t="s">
        <v>129</v>
      </c>
      <c r="D605" s="61" t="s">
        <v>130</v>
      </c>
      <c r="E605" s="68"/>
      <c r="F605" s="68"/>
      <c r="G605" s="68"/>
      <c r="H605" s="68"/>
      <c r="I605" s="68"/>
      <c r="J605" s="7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  <c r="AA605" s="68"/>
      <c r="AB605" s="68"/>
      <c r="AC605" s="68"/>
      <c r="AD605" s="68"/>
      <c r="AE605" s="68"/>
    </row>
    <row r="606" ht="26.25" customHeight="1">
      <c r="A606" s="68"/>
      <c r="B606" s="68"/>
      <c r="C606" s="61" t="s">
        <v>129</v>
      </c>
      <c r="D606" s="61" t="s">
        <v>130</v>
      </c>
      <c r="E606" s="68"/>
      <c r="F606" s="68"/>
      <c r="G606" s="68"/>
      <c r="H606" s="68"/>
      <c r="I606" s="68"/>
      <c r="J606" s="7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  <c r="AA606" s="68"/>
      <c r="AB606" s="68"/>
      <c r="AC606" s="68"/>
      <c r="AD606" s="68"/>
      <c r="AE606" s="68"/>
    </row>
    <row r="607" ht="26.25" customHeight="1">
      <c r="A607" s="68"/>
      <c r="B607" s="68"/>
      <c r="C607" s="61" t="s">
        <v>129</v>
      </c>
      <c r="D607" s="61" t="s">
        <v>130</v>
      </c>
      <c r="E607" s="68"/>
      <c r="F607" s="68"/>
      <c r="G607" s="68"/>
      <c r="H607" s="68"/>
      <c r="I607" s="68"/>
      <c r="J607" s="7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  <c r="AA607" s="68"/>
      <c r="AB607" s="68"/>
      <c r="AC607" s="68"/>
      <c r="AD607" s="68"/>
      <c r="AE607" s="68"/>
    </row>
    <row r="608" ht="26.25" customHeight="1">
      <c r="A608" s="68"/>
      <c r="B608" s="68"/>
      <c r="C608" s="61" t="s">
        <v>129</v>
      </c>
      <c r="D608" s="61" t="s">
        <v>130</v>
      </c>
      <c r="E608" s="68"/>
      <c r="F608" s="68"/>
      <c r="G608" s="68"/>
      <c r="H608" s="68"/>
      <c r="I608" s="68"/>
      <c r="J608" s="7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  <c r="AA608" s="68"/>
      <c r="AB608" s="68"/>
      <c r="AC608" s="68"/>
      <c r="AD608" s="68"/>
      <c r="AE608" s="68"/>
    </row>
    <row r="609" ht="26.25" customHeight="1">
      <c r="A609" s="68"/>
      <c r="B609" s="68"/>
      <c r="C609" s="61" t="s">
        <v>129</v>
      </c>
      <c r="D609" s="61" t="s">
        <v>130</v>
      </c>
      <c r="E609" s="68"/>
      <c r="F609" s="68"/>
      <c r="G609" s="68"/>
      <c r="H609" s="68"/>
      <c r="I609" s="68"/>
      <c r="J609" s="7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  <c r="AA609" s="68"/>
      <c r="AB609" s="68"/>
      <c r="AC609" s="68"/>
      <c r="AD609" s="68"/>
      <c r="AE609" s="68"/>
    </row>
    <row r="610" ht="26.25" customHeight="1">
      <c r="A610" s="68"/>
      <c r="B610" s="68"/>
      <c r="C610" s="61" t="s">
        <v>129</v>
      </c>
      <c r="D610" s="61" t="s">
        <v>130</v>
      </c>
      <c r="E610" s="68"/>
      <c r="F610" s="68"/>
      <c r="G610" s="68"/>
      <c r="H610" s="68"/>
      <c r="I610" s="68"/>
      <c r="J610" s="7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  <c r="AA610" s="68"/>
      <c r="AB610" s="68"/>
      <c r="AC610" s="68"/>
      <c r="AD610" s="68"/>
      <c r="AE610" s="68"/>
    </row>
    <row r="611" ht="26.25" customHeight="1">
      <c r="A611" s="68"/>
      <c r="B611" s="68"/>
      <c r="C611" s="61" t="s">
        <v>129</v>
      </c>
      <c r="D611" s="61" t="s">
        <v>130</v>
      </c>
      <c r="E611" s="68"/>
      <c r="F611" s="68"/>
      <c r="G611" s="68"/>
      <c r="H611" s="68"/>
      <c r="I611" s="68"/>
      <c r="J611" s="7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  <c r="AA611" s="68"/>
      <c r="AB611" s="68"/>
      <c r="AC611" s="68"/>
      <c r="AD611" s="68"/>
      <c r="AE611" s="68"/>
    </row>
    <row r="612" ht="26.25" customHeight="1">
      <c r="A612" s="68"/>
      <c r="B612" s="68"/>
      <c r="C612" s="61" t="s">
        <v>129</v>
      </c>
      <c r="D612" s="61" t="s">
        <v>130</v>
      </c>
      <c r="E612" s="68"/>
      <c r="F612" s="68"/>
      <c r="G612" s="68"/>
      <c r="H612" s="68"/>
      <c r="I612" s="68"/>
      <c r="J612" s="7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  <c r="AA612" s="68"/>
      <c r="AB612" s="68"/>
      <c r="AC612" s="68"/>
      <c r="AD612" s="68"/>
      <c r="AE612" s="68"/>
    </row>
    <row r="613" ht="26.25" customHeight="1">
      <c r="A613" s="68"/>
      <c r="B613" s="68"/>
      <c r="C613" s="61" t="s">
        <v>129</v>
      </c>
      <c r="D613" s="61" t="s">
        <v>130</v>
      </c>
      <c r="E613" s="68"/>
      <c r="F613" s="68"/>
      <c r="G613" s="68"/>
      <c r="H613" s="68"/>
      <c r="I613" s="68"/>
      <c r="J613" s="7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  <c r="AA613" s="68"/>
      <c r="AB613" s="68"/>
      <c r="AC613" s="68"/>
      <c r="AD613" s="68"/>
      <c r="AE613" s="68"/>
    </row>
    <row r="614" ht="26.25" customHeight="1">
      <c r="A614" s="68"/>
      <c r="B614" s="68"/>
      <c r="C614" s="61" t="s">
        <v>129</v>
      </c>
      <c r="D614" s="61" t="s">
        <v>130</v>
      </c>
      <c r="E614" s="68"/>
      <c r="F614" s="68"/>
      <c r="G614" s="68"/>
      <c r="H614" s="68"/>
      <c r="I614" s="68"/>
      <c r="J614" s="7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  <c r="AA614" s="68"/>
      <c r="AB614" s="68"/>
      <c r="AC614" s="68"/>
      <c r="AD614" s="68"/>
      <c r="AE614" s="68"/>
    </row>
    <row r="615" ht="26.25" customHeight="1">
      <c r="A615" s="68"/>
      <c r="B615" s="68"/>
      <c r="C615" s="61" t="s">
        <v>129</v>
      </c>
      <c r="D615" s="61" t="s">
        <v>130</v>
      </c>
      <c r="E615" s="68"/>
      <c r="F615" s="68"/>
      <c r="G615" s="68"/>
      <c r="H615" s="68"/>
      <c r="I615" s="68"/>
      <c r="J615" s="7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  <c r="AA615" s="68"/>
      <c r="AB615" s="68"/>
      <c r="AC615" s="68"/>
      <c r="AD615" s="68"/>
      <c r="AE615" s="68"/>
    </row>
    <row r="616" ht="26.25" customHeight="1">
      <c r="A616" s="68"/>
      <c r="B616" s="68"/>
      <c r="C616" s="61" t="s">
        <v>129</v>
      </c>
      <c r="D616" s="61" t="s">
        <v>130</v>
      </c>
      <c r="E616" s="68"/>
      <c r="F616" s="68"/>
      <c r="G616" s="68"/>
      <c r="H616" s="68"/>
      <c r="I616" s="68"/>
      <c r="J616" s="7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  <c r="AA616" s="68"/>
      <c r="AB616" s="68"/>
      <c r="AC616" s="68"/>
      <c r="AD616" s="68"/>
      <c r="AE616" s="68"/>
    </row>
    <row r="617" ht="26.25" customHeight="1">
      <c r="A617" s="68"/>
      <c r="B617" s="68"/>
      <c r="C617" s="61" t="s">
        <v>129</v>
      </c>
      <c r="D617" s="61" t="s">
        <v>130</v>
      </c>
      <c r="E617" s="68"/>
      <c r="F617" s="68"/>
      <c r="G617" s="68"/>
      <c r="H617" s="68"/>
      <c r="I617" s="68"/>
      <c r="J617" s="7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  <c r="AA617" s="68"/>
      <c r="AB617" s="68"/>
      <c r="AC617" s="68"/>
      <c r="AD617" s="68"/>
      <c r="AE617" s="68"/>
    </row>
    <row r="618" ht="26.25" customHeight="1">
      <c r="A618" s="68"/>
      <c r="B618" s="68"/>
      <c r="C618" s="61" t="s">
        <v>129</v>
      </c>
      <c r="D618" s="61" t="s">
        <v>130</v>
      </c>
      <c r="E618" s="68"/>
      <c r="F618" s="68"/>
      <c r="G618" s="68"/>
      <c r="H618" s="68"/>
      <c r="I618" s="68"/>
      <c r="J618" s="7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  <c r="AA618" s="68"/>
      <c r="AB618" s="68"/>
      <c r="AC618" s="68"/>
      <c r="AD618" s="68"/>
      <c r="AE618" s="68"/>
    </row>
    <row r="619" ht="26.25" customHeight="1">
      <c r="A619" s="68"/>
      <c r="B619" s="68"/>
      <c r="C619" s="61" t="s">
        <v>129</v>
      </c>
      <c r="D619" s="61" t="s">
        <v>130</v>
      </c>
      <c r="E619" s="68"/>
      <c r="F619" s="68"/>
      <c r="G619" s="68"/>
      <c r="H619" s="68"/>
      <c r="I619" s="68"/>
      <c r="J619" s="7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  <c r="AA619" s="68"/>
      <c r="AB619" s="68"/>
      <c r="AC619" s="68"/>
      <c r="AD619" s="68"/>
      <c r="AE619" s="68"/>
    </row>
    <row r="620" ht="26.25" customHeight="1">
      <c r="A620" s="68"/>
      <c r="B620" s="68"/>
      <c r="C620" s="61" t="s">
        <v>129</v>
      </c>
      <c r="D620" s="61" t="s">
        <v>130</v>
      </c>
      <c r="E620" s="68"/>
      <c r="F620" s="68"/>
      <c r="G620" s="68"/>
      <c r="H620" s="68"/>
      <c r="I620" s="68"/>
      <c r="J620" s="7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  <c r="AA620" s="68"/>
      <c r="AB620" s="68"/>
      <c r="AC620" s="68"/>
      <c r="AD620" s="68"/>
      <c r="AE620" s="68"/>
    </row>
    <row r="621" ht="26.25" customHeight="1">
      <c r="A621" s="68"/>
      <c r="B621" s="68"/>
      <c r="C621" s="61" t="s">
        <v>129</v>
      </c>
      <c r="D621" s="61" t="s">
        <v>130</v>
      </c>
      <c r="E621" s="68"/>
      <c r="F621" s="68"/>
      <c r="G621" s="68"/>
      <c r="H621" s="68"/>
      <c r="I621" s="68"/>
      <c r="J621" s="7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  <c r="AA621" s="68"/>
      <c r="AB621" s="68"/>
      <c r="AC621" s="68"/>
      <c r="AD621" s="68"/>
      <c r="AE621" s="68"/>
    </row>
    <row r="622" ht="26.25" customHeight="1">
      <c r="A622" s="68"/>
      <c r="B622" s="68"/>
      <c r="C622" s="61" t="s">
        <v>129</v>
      </c>
      <c r="D622" s="61" t="s">
        <v>130</v>
      </c>
      <c r="E622" s="68"/>
      <c r="F622" s="68"/>
      <c r="G622" s="68"/>
      <c r="H622" s="68"/>
      <c r="I622" s="68"/>
      <c r="J622" s="7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  <c r="AA622" s="68"/>
      <c r="AB622" s="68"/>
      <c r="AC622" s="68"/>
      <c r="AD622" s="68"/>
      <c r="AE622" s="68"/>
    </row>
    <row r="623" ht="26.25" customHeight="1">
      <c r="A623" s="68"/>
      <c r="B623" s="68"/>
      <c r="C623" s="61" t="s">
        <v>129</v>
      </c>
      <c r="D623" s="61" t="s">
        <v>130</v>
      </c>
      <c r="E623" s="68"/>
      <c r="F623" s="68"/>
      <c r="G623" s="68"/>
      <c r="H623" s="68"/>
      <c r="I623" s="68"/>
      <c r="J623" s="7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  <c r="AA623" s="68"/>
      <c r="AB623" s="68"/>
      <c r="AC623" s="68"/>
      <c r="AD623" s="68"/>
      <c r="AE623" s="68"/>
    </row>
    <row r="624" ht="26.25" customHeight="1">
      <c r="A624" s="68"/>
      <c r="B624" s="68"/>
      <c r="C624" s="61" t="s">
        <v>129</v>
      </c>
      <c r="D624" s="61" t="s">
        <v>130</v>
      </c>
      <c r="E624" s="68"/>
      <c r="F624" s="68"/>
      <c r="G624" s="68"/>
      <c r="H624" s="68"/>
      <c r="I624" s="68"/>
      <c r="J624" s="7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  <c r="AA624" s="68"/>
      <c r="AB624" s="68"/>
      <c r="AC624" s="68"/>
      <c r="AD624" s="68"/>
      <c r="AE624" s="68"/>
    </row>
    <row r="625" ht="26.25" customHeight="1">
      <c r="A625" s="68"/>
      <c r="B625" s="68"/>
      <c r="C625" s="61" t="s">
        <v>129</v>
      </c>
      <c r="D625" s="61" t="s">
        <v>130</v>
      </c>
      <c r="E625" s="68"/>
      <c r="F625" s="68"/>
      <c r="G625" s="68"/>
      <c r="H625" s="68"/>
      <c r="I625" s="68"/>
      <c r="J625" s="7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  <c r="AA625" s="68"/>
      <c r="AB625" s="68"/>
      <c r="AC625" s="68"/>
      <c r="AD625" s="68"/>
      <c r="AE625" s="68"/>
    </row>
    <row r="626" ht="26.25" customHeight="1">
      <c r="A626" s="68"/>
      <c r="B626" s="68"/>
      <c r="C626" s="61" t="s">
        <v>129</v>
      </c>
      <c r="D626" s="61" t="s">
        <v>130</v>
      </c>
      <c r="E626" s="68"/>
      <c r="F626" s="68"/>
      <c r="G626" s="68"/>
      <c r="H626" s="68"/>
      <c r="I626" s="68"/>
      <c r="J626" s="7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  <c r="AA626" s="68"/>
      <c r="AB626" s="68"/>
      <c r="AC626" s="68"/>
      <c r="AD626" s="68"/>
      <c r="AE626" s="68"/>
    </row>
    <row r="627" ht="26.25" customHeight="1">
      <c r="A627" s="68"/>
      <c r="B627" s="68"/>
      <c r="C627" s="61" t="s">
        <v>129</v>
      </c>
      <c r="D627" s="61" t="s">
        <v>130</v>
      </c>
      <c r="E627" s="68"/>
      <c r="F627" s="68"/>
      <c r="G627" s="68"/>
      <c r="H627" s="68"/>
      <c r="I627" s="68"/>
      <c r="J627" s="7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  <c r="AA627" s="68"/>
      <c r="AB627" s="68"/>
      <c r="AC627" s="68"/>
      <c r="AD627" s="68"/>
      <c r="AE627" s="68"/>
    </row>
    <row r="628" ht="26.25" customHeight="1">
      <c r="A628" s="68"/>
      <c r="B628" s="68"/>
      <c r="C628" s="61" t="s">
        <v>129</v>
      </c>
      <c r="D628" s="61" t="s">
        <v>130</v>
      </c>
      <c r="E628" s="68"/>
      <c r="F628" s="68"/>
      <c r="G628" s="68"/>
      <c r="H628" s="68"/>
      <c r="I628" s="68"/>
      <c r="J628" s="7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  <c r="AA628" s="68"/>
      <c r="AB628" s="68"/>
      <c r="AC628" s="68"/>
      <c r="AD628" s="68"/>
      <c r="AE628" s="68"/>
    </row>
    <row r="629" ht="26.25" customHeight="1">
      <c r="A629" s="68"/>
      <c r="B629" s="68"/>
      <c r="C629" s="61" t="s">
        <v>129</v>
      </c>
      <c r="D629" s="61" t="s">
        <v>130</v>
      </c>
      <c r="E629" s="68"/>
      <c r="F629" s="68"/>
      <c r="G629" s="68"/>
      <c r="H629" s="68"/>
      <c r="I629" s="68"/>
      <c r="J629" s="7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  <c r="AA629" s="68"/>
      <c r="AB629" s="68"/>
      <c r="AC629" s="68"/>
      <c r="AD629" s="68"/>
      <c r="AE629" s="68"/>
    </row>
    <row r="630" ht="26.25" customHeight="1">
      <c r="A630" s="68"/>
      <c r="B630" s="68"/>
      <c r="C630" s="61" t="s">
        <v>129</v>
      </c>
      <c r="D630" s="61" t="s">
        <v>130</v>
      </c>
      <c r="E630" s="68"/>
      <c r="F630" s="68"/>
      <c r="G630" s="68"/>
      <c r="H630" s="68"/>
      <c r="I630" s="68"/>
      <c r="J630" s="7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  <c r="AA630" s="68"/>
      <c r="AB630" s="68"/>
      <c r="AC630" s="68"/>
      <c r="AD630" s="68"/>
      <c r="AE630" s="68"/>
    </row>
    <row r="631" ht="26.25" customHeight="1">
      <c r="A631" s="68"/>
      <c r="B631" s="68"/>
      <c r="C631" s="61" t="s">
        <v>129</v>
      </c>
      <c r="D631" s="61" t="s">
        <v>130</v>
      </c>
      <c r="E631" s="68"/>
      <c r="F631" s="68"/>
      <c r="G631" s="68"/>
      <c r="H631" s="68"/>
      <c r="I631" s="68"/>
      <c r="J631" s="7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  <c r="AA631" s="68"/>
      <c r="AB631" s="68"/>
      <c r="AC631" s="68"/>
      <c r="AD631" s="68"/>
      <c r="AE631" s="68"/>
    </row>
    <row r="632" ht="26.25" customHeight="1">
      <c r="A632" s="68"/>
      <c r="B632" s="68"/>
      <c r="C632" s="61" t="s">
        <v>129</v>
      </c>
      <c r="D632" s="61" t="s">
        <v>130</v>
      </c>
      <c r="E632" s="68"/>
      <c r="F632" s="68"/>
      <c r="G632" s="68"/>
      <c r="H632" s="68"/>
      <c r="I632" s="68"/>
      <c r="J632" s="7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  <c r="AA632" s="68"/>
      <c r="AB632" s="68"/>
      <c r="AC632" s="68"/>
      <c r="AD632" s="68"/>
      <c r="AE632" s="68"/>
    </row>
    <row r="633" ht="26.25" customHeight="1">
      <c r="A633" s="68"/>
      <c r="B633" s="68"/>
      <c r="C633" s="61" t="s">
        <v>129</v>
      </c>
      <c r="D633" s="61" t="s">
        <v>130</v>
      </c>
      <c r="E633" s="68"/>
      <c r="F633" s="68"/>
      <c r="G633" s="68"/>
      <c r="H633" s="68"/>
      <c r="I633" s="68"/>
      <c r="J633" s="7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  <c r="AA633" s="68"/>
      <c r="AB633" s="68"/>
      <c r="AC633" s="68"/>
      <c r="AD633" s="68"/>
      <c r="AE633" s="68"/>
    </row>
    <row r="634" ht="26.25" customHeight="1">
      <c r="A634" s="68"/>
      <c r="B634" s="68"/>
      <c r="C634" s="61" t="s">
        <v>129</v>
      </c>
      <c r="D634" s="61" t="s">
        <v>130</v>
      </c>
      <c r="E634" s="68"/>
      <c r="F634" s="68"/>
      <c r="G634" s="68"/>
      <c r="H634" s="68"/>
      <c r="I634" s="68"/>
      <c r="J634" s="7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  <c r="AA634" s="68"/>
      <c r="AB634" s="68"/>
      <c r="AC634" s="68"/>
      <c r="AD634" s="68"/>
      <c r="AE634" s="68"/>
    </row>
    <row r="635" ht="26.25" customHeight="1">
      <c r="A635" s="68"/>
      <c r="B635" s="68"/>
      <c r="C635" s="61" t="s">
        <v>129</v>
      </c>
      <c r="D635" s="61" t="s">
        <v>130</v>
      </c>
      <c r="E635" s="68"/>
      <c r="F635" s="68"/>
      <c r="G635" s="68"/>
      <c r="H635" s="68"/>
      <c r="I635" s="68"/>
      <c r="J635" s="7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  <c r="AA635" s="68"/>
      <c r="AB635" s="68"/>
      <c r="AC635" s="68"/>
      <c r="AD635" s="68"/>
      <c r="AE635" s="68"/>
    </row>
    <row r="636" ht="26.25" customHeight="1">
      <c r="A636" s="68"/>
      <c r="B636" s="68"/>
      <c r="C636" s="61" t="s">
        <v>129</v>
      </c>
      <c r="D636" s="61" t="s">
        <v>130</v>
      </c>
      <c r="E636" s="68"/>
      <c r="F636" s="68"/>
      <c r="G636" s="68"/>
      <c r="H636" s="68"/>
      <c r="I636" s="68"/>
      <c r="J636" s="7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  <c r="AA636" s="68"/>
      <c r="AB636" s="68"/>
      <c r="AC636" s="68"/>
      <c r="AD636" s="68"/>
      <c r="AE636" s="68"/>
    </row>
    <row r="637" ht="26.25" customHeight="1">
      <c r="A637" s="68"/>
      <c r="B637" s="68"/>
      <c r="C637" s="61" t="s">
        <v>129</v>
      </c>
      <c r="D637" s="61" t="s">
        <v>130</v>
      </c>
      <c r="E637" s="68"/>
      <c r="F637" s="68"/>
      <c r="G637" s="68"/>
      <c r="H637" s="68"/>
      <c r="I637" s="68"/>
      <c r="J637" s="7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  <c r="AA637" s="68"/>
      <c r="AB637" s="68"/>
      <c r="AC637" s="68"/>
      <c r="AD637" s="68"/>
      <c r="AE637" s="68"/>
    </row>
    <row r="638" ht="26.25" customHeight="1">
      <c r="A638" s="68"/>
      <c r="B638" s="68"/>
      <c r="C638" s="61" t="s">
        <v>129</v>
      </c>
      <c r="D638" s="61" t="s">
        <v>130</v>
      </c>
      <c r="E638" s="68"/>
      <c r="F638" s="68"/>
      <c r="G638" s="68"/>
      <c r="H638" s="68"/>
      <c r="I638" s="68"/>
      <c r="J638" s="7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  <c r="AA638" s="68"/>
      <c r="AB638" s="68"/>
      <c r="AC638" s="68"/>
      <c r="AD638" s="68"/>
      <c r="AE638" s="68"/>
    </row>
    <row r="639" ht="26.25" customHeight="1">
      <c r="A639" s="68"/>
      <c r="B639" s="68"/>
      <c r="C639" s="61" t="s">
        <v>129</v>
      </c>
      <c r="D639" s="61" t="s">
        <v>130</v>
      </c>
      <c r="E639" s="68"/>
      <c r="F639" s="68"/>
      <c r="G639" s="68"/>
      <c r="H639" s="68"/>
      <c r="I639" s="68"/>
      <c r="J639" s="7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  <c r="AA639" s="68"/>
      <c r="AB639" s="68"/>
      <c r="AC639" s="68"/>
      <c r="AD639" s="68"/>
      <c r="AE639" s="68"/>
    </row>
    <row r="640" ht="26.25" customHeight="1">
      <c r="A640" s="68"/>
      <c r="B640" s="68"/>
      <c r="C640" s="61" t="s">
        <v>129</v>
      </c>
      <c r="D640" s="61" t="s">
        <v>130</v>
      </c>
      <c r="E640" s="68"/>
      <c r="F640" s="68"/>
      <c r="G640" s="68"/>
      <c r="H640" s="68"/>
      <c r="I640" s="68"/>
      <c r="J640" s="7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  <c r="AA640" s="68"/>
      <c r="AB640" s="68"/>
      <c r="AC640" s="68"/>
      <c r="AD640" s="68"/>
      <c r="AE640" s="68"/>
    </row>
    <row r="641" ht="26.25" customHeight="1">
      <c r="A641" s="68"/>
      <c r="B641" s="68"/>
      <c r="C641" s="61" t="s">
        <v>129</v>
      </c>
      <c r="D641" s="61" t="s">
        <v>130</v>
      </c>
      <c r="E641" s="68"/>
      <c r="F641" s="68"/>
      <c r="G641" s="68"/>
      <c r="H641" s="68"/>
      <c r="I641" s="68"/>
      <c r="J641" s="7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  <c r="AA641" s="68"/>
      <c r="AB641" s="68"/>
      <c r="AC641" s="68"/>
      <c r="AD641" s="68"/>
      <c r="AE641" s="68"/>
    </row>
    <row r="642" ht="26.25" customHeight="1">
      <c r="A642" s="68"/>
      <c r="B642" s="68"/>
      <c r="C642" s="61" t="s">
        <v>129</v>
      </c>
      <c r="D642" s="61" t="s">
        <v>130</v>
      </c>
      <c r="E642" s="68"/>
      <c r="F642" s="68"/>
      <c r="G642" s="68"/>
      <c r="H642" s="68"/>
      <c r="I642" s="68"/>
      <c r="J642" s="7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  <c r="AA642" s="68"/>
      <c r="AB642" s="68"/>
      <c r="AC642" s="68"/>
      <c r="AD642" s="68"/>
      <c r="AE642" s="68"/>
    </row>
    <row r="643" ht="26.25" customHeight="1">
      <c r="A643" s="68"/>
      <c r="B643" s="68"/>
      <c r="C643" s="61" t="s">
        <v>129</v>
      </c>
      <c r="D643" s="61" t="s">
        <v>130</v>
      </c>
      <c r="E643" s="68"/>
      <c r="F643" s="68"/>
      <c r="G643" s="68"/>
      <c r="H643" s="68"/>
      <c r="I643" s="68"/>
      <c r="J643" s="7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  <c r="AA643" s="68"/>
      <c r="AB643" s="68"/>
      <c r="AC643" s="68"/>
      <c r="AD643" s="68"/>
      <c r="AE643" s="68"/>
    </row>
    <row r="644" ht="26.25" customHeight="1">
      <c r="A644" s="68"/>
      <c r="B644" s="68"/>
      <c r="C644" s="61" t="s">
        <v>129</v>
      </c>
      <c r="D644" s="61" t="s">
        <v>130</v>
      </c>
      <c r="E644" s="68"/>
      <c r="F644" s="68"/>
      <c r="G644" s="68"/>
      <c r="H644" s="68"/>
      <c r="I644" s="68"/>
      <c r="J644" s="7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  <c r="AA644" s="68"/>
      <c r="AB644" s="68"/>
      <c r="AC644" s="68"/>
      <c r="AD644" s="68"/>
      <c r="AE644" s="68"/>
    </row>
    <row r="645" ht="26.25" customHeight="1">
      <c r="A645" s="68"/>
      <c r="B645" s="68"/>
      <c r="C645" s="61" t="s">
        <v>129</v>
      </c>
      <c r="D645" s="61" t="s">
        <v>130</v>
      </c>
      <c r="E645" s="68"/>
      <c r="F645" s="68"/>
      <c r="G645" s="68"/>
      <c r="H645" s="68"/>
      <c r="I645" s="68"/>
      <c r="J645" s="7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  <c r="AA645" s="68"/>
      <c r="AB645" s="68"/>
      <c r="AC645" s="68"/>
      <c r="AD645" s="68"/>
      <c r="AE645" s="68"/>
    </row>
    <row r="646" ht="26.25" customHeight="1">
      <c r="A646" s="68"/>
      <c r="B646" s="68"/>
      <c r="C646" s="61" t="s">
        <v>129</v>
      </c>
      <c r="D646" s="61" t="s">
        <v>130</v>
      </c>
      <c r="E646" s="68"/>
      <c r="F646" s="68"/>
      <c r="G646" s="68"/>
      <c r="H646" s="68"/>
      <c r="I646" s="68"/>
      <c r="J646" s="7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  <c r="AA646" s="68"/>
      <c r="AB646" s="68"/>
      <c r="AC646" s="68"/>
      <c r="AD646" s="68"/>
      <c r="AE646" s="68"/>
    </row>
    <row r="647" ht="26.25" customHeight="1">
      <c r="A647" s="68"/>
      <c r="B647" s="68"/>
      <c r="C647" s="61" t="s">
        <v>129</v>
      </c>
      <c r="D647" s="61" t="s">
        <v>130</v>
      </c>
      <c r="E647" s="68"/>
      <c r="F647" s="68"/>
      <c r="G647" s="68"/>
      <c r="H647" s="68"/>
      <c r="I647" s="68"/>
      <c r="J647" s="7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  <c r="AA647" s="68"/>
      <c r="AB647" s="68"/>
      <c r="AC647" s="68"/>
      <c r="AD647" s="68"/>
      <c r="AE647" s="68"/>
    </row>
    <row r="648" ht="26.25" customHeight="1">
      <c r="A648" s="68"/>
      <c r="B648" s="68"/>
      <c r="C648" s="61" t="s">
        <v>129</v>
      </c>
      <c r="D648" s="61" t="s">
        <v>130</v>
      </c>
      <c r="E648" s="68"/>
      <c r="F648" s="68"/>
      <c r="G648" s="68"/>
      <c r="H648" s="68"/>
      <c r="I648" s="68"/>
      <c r="J648" s="7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  <c r="AA648" s="68"/>
      <c r="AB648" s="68"/>
      <c r="AC648" s="68"/>
      <c r="AD648" s="68"/>
      <c r="AE648" s="68"/>
    </row>
    <row r="649" ht="26.25" customHeight="1">
      <c r="A649" s="68"/>
      <c r="B649" s="68"/>
      <c r="C649" s="61" t="s">
        <v>129</v>
      </c>
      <c r="D649" s="61" t="s">
        <v>130</v>
      </c>
      <c r="E649" s="68"/>
      <c r="F649" s="68"/>
      <c r="G649" s="68"/>
      <c r="H649" s="68"/>
      <c r="I649" s="68"/>
      <c r="J649" s="7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  <c r="AA649" s="68"/>
      <c r="AB649" s="68"/>
      <c r="AC649" s="68"/>
      <c r="AD649" s="68"/>
      <c r="AE649" s="68"/>
    </row>
    <row r="650" ht="26.25" customHeight="1">
      <c r="A650" s="68"/>
      <c r="B650" s="68"/>
      <c r="C650" s="61" t="s">
        <v>129</v>
      </c>
      <c r="D650" s="61" t="s">
        <v>130</v>
      </c>
      <c r="E650" s="68"/>
      <c r="F650" s="68"/>
      <c r="G650" s="68"/>
      <c r="H650" s="68"/>
      <c r="I650" s="68"/>
      <c r="J650" s="7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  <c r="AA650" s="68"/>
      <c r="AB650" s="68"/>
      <c r="AC650" s="68"/>
      <c r="AD650" s="68"/>
      <c r="AE650" s="68"/>
    </row>
    <row r="651" ht="26.25" customHeight="1">
      <c r="A651" s="68"/>
      <c r="B651" s="68"/>
      <c r="C651" s="61" t="s">
        <v>129</v>
      </c>
      <c r="D651" s="61" t="s">
        <v>130</v>
      </c>
      <c r="E651" s="68"/>
      <c r="F651" s="68"/>
      <c r="G651" s="68"/>
      <c r="H651" s="68"/>
      <c r="I651" s="68"/>
      <c r="J651" s="7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  <c r="AA651" s="68"/>
      <c r="AB651" s="68"/>
      <c r="AC651" s="68"/>
      <c r="AD651" s="68"/>
      <c r="AE651" s="68"/>
    </row>
    <row r="652" ht="26.25" customHeight="1">
      <c r="A652" s="68"/>
      <c r="B652" s="68"/>
      <c r="C652" s="61" t="s">
        <v>129</v>
      </c>
      <c r="D652" s="61" t="s">
        <v>130</v>
      </c>
      <c r="E652" s="68"/>
      <c r="F652" s="68"/>
      <c r="G652" s="68"/>
      <c r="H652" s="68"/>
      <c r="I652" s="68"/>
      <c r="J652" s="7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  <c r="AA652" s="68"/>
      <c r="AB652" s="68"/>
      <c r="AC652" s="68"/>
      <c r="AD652" s="68"/>
      <c r="AE652" s="68"/>
    </row>
    <row r="653" ht="26.25" customHeight="1">
      <c r="A653" s="68"/>
      <c r="B653" s="68"/>
      <c r="C653" s="61" t="s">
        <v>129</v>
      </c>
      <c r="D653" s="61" t="s">
        <v>130</v>
      </c>
      <c r="E653" s="68"/>
      <c r="F653" s="68"/>
      <c r="G653" s="68"/>
      <c r="H653" s="68"/>
      <c r="I653" s="68"/>
      <c r="J653" s="7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  <c r="AA653" s="68"/>
      <c r="AB653" s="68"/>
      <c r="AC653" s="68"/>
      <c r="AD653" s="68"/>
      <c r="AE653" s="68"/>
    </row>
    <row r="654" ht="26.25" customHeight="1">
      <c r="A654" s="68"/>
      <c r="B654" s="68"/>
      <c r="C654" s="61" t="s">
        <v>129</v>
      </c>
      <c r="D654" s="61" t="s">
        <v>130</v>
      </c>
      <c r="E654" s="68"/>
      <c r="F654" s="68"/>
      <c r="G654" s="68"/>
      <c r="H654" s="68"/>
      <c r="I654" s="68"/>
      <c r="J654" s="7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  <c r="AA654" s="68"/>
      <c r="AB654" s="68"/>
      <c r="AC654" s="68"/>
      <c r="AD654" s="68"/>
      <c r="AE654" s="68"/>
    </row>
    <row r="655" ht="26.25" customHeight="1">
      <c r="A655" s="68"/>
      <c r="B655" s="68"/>
      <c r="C655" s="61" t="s">
        <v>129</v>
      </c>
      <c r="D655" s="61" t="s">
        <v>130</v>
      </c>
      <c r="E655" s="68"/>
      <c r="F655" s="68"/>
      <c r="G655" s="68"/>
      <c r="H655" s="68"/>
      <c r="I655" s="68"/>
      <c r="J655" s="7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  <c r="AA655" s="68"/>
      <c r="AB655" s="68"/>
      <c r="AC655" s="68"/>
      <c r="AD655" s="68"/>
      <c r="AE655" s="68"/>
    </row>
    <row r="656" ht="26.25" customHeight="1">
      <c r="A656" s="68"/>
      <c r="B656" s="68"/>
      <c r="C656" s="61" t="s">
        <v>129</v>
      </c>
      <c r="D656" s="61" t="s">
        <v>130</v>
      </c>
      <c r="E656" s="68"/>
      <c r="F656" s="68"/>
      <c r="G656" s="68"/>
      <c r="H656" s="68"/>
      <c r="I656" s="68"/>
      <c r="J656" s="7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  <c r="AA656" s="68"/>
      <c r="AB656" s="68"/>
      <c r="AC656" s="68"/>
      <c r="AD656" s="68"/>
      <c r="AE656" s="68"/>
    </row>
    <row r="657" ht="26.25" customHeight="1">
      <c r="A657" s="68"/>
      <c r="B657" s="68"/>
      <c r="C657" s="61" t="s">
        <v>129</v>
      </c>
      <c r="D657" s="61" t="s">
        <v>130</v>
      </c>
      <c r="E657" s="68"/>
      <c r="F657" s="68"/>
      <c r="G657" s="68"/>
      <c r="H657" s="68"/>
      <c r="I657" s="68"/>
      <c r="J657" s="7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  <c r="AA657" s="68"/>
      <c r="AB657" s="68"/>
      <c r="AC657" s="68"/>
      <c r="AD657" s="68"/>
      <c r="AE657" s="68"/>
    </row>
    <row r="658" ht="26.25" customHeight="1">
      <c r="A658" s="68"/>
      <c r="B658" s="68"/>
      <c r="C658" s="61" t="s">
        <v>129</v>
      </c>
      <c r="D658" s="61" t="s">
        <v>130</v>
      </c>
      <c r="E658" s="68"/>
      <c r="F658" s="68"/>
      <c r="G658" s="68"/>
      <c r="H658" s="68"/>
      <c r="I658" s="68"/>
      <c r="J658" s="7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  <c r="AA658" s="68"/>
      <c r="AB658" s="68"/>
      <c r="AC658" s="68"/>
      <c r="AD658" s="68"/>
      <c r="AE658" s="68"/>
    </row>
    <row r="659" ht="26.25" customHeight="1">
      <c r="A659" s="68"/>
      <c r="B659" s="68"/>
      <c r="C659" s="61" t="s">
        <v>129</v>
      </c>
      <c r="D659" s="61" t="s">
        <v>130</v>
      </c>
      <c r="E659" s="68"/>
      <c r="F659" s="68"/>
      <c r="G659" s="68"/>
      <c r="H659" s="68"/>
      <c r="I659" s="68"/>
      <c r="J659" s="7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  <c r="AA659" s="68"/>
      <c r="AB659" s="68"/>
      <c r="AC659" s="68"/>
      <c r="AD659" s="68"/>
      <c r="AE659" s="68"/>
    </row>
    <row r="660" ht="26.25" customHeight="1">
      <c r="A660" s="68"/>
      <c r="B660" s="68"/>
      <c r="C660" s="61" t="s">
        <v>129</v>
      </c>
      <c r="D660" s="61" t="s">
        <v>130</v>
      </c>
      <c r="E660" s="68"/>
      <c r="F660" s="68"/>
      <c r="G660" s="68"/>
      <c r="H660" s="68"/>
      <c r="I660" s="68"/>
      <c r="J660" s="7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  <c r="AA660" s="68"/>
      <c r="AB660" s="68"/>
      <c r="AC660" s="68"/>
      <c r="AD660" s="68"/>
      <c r="AE660" s="68"/>
    </row>
    <row r="661" ht="26.25" customHeight="1">
      <c r="A661" s="68"/>
      <c r="B661" s="68"/>
      <c r="C661" s="61" t="s">
        <v>129</v>
      </c>
      <c r="D661" s="61" t="s">
        <v>130</v>
      </c>
      <c r="E661" s="68"/>
      <c r="F661" s="68"/>
      <c r="G661" s="68"/>
      <c r="H661" s="68"/>
      <c r="I661" s="68"/>
      <c r="J661" s="7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  <c r="AA661" s="68"/>
      <c r="AB661" s="68"/>
      <c r="AC661" s="68"/>
      <c r="AD661" s="68"/>
      <c r="AE661" s="68"/>
    </row>
    <row r="662" ht="26.25" customHeight="1">
      <c r="A662" s="68"/>
      <c r="B662" s="68"/>
      <c r="C662" s="61" t="s">
        <v>129</v>
      </c>
      <c r="D662" s="61" t="s">
        <v>130</v>
      </c>
      <c r="E662" s="68"/>
      <c r="F662" s="68"/>
      <c r="G662" s="68"/>
      <c r="H662" s="68"/>
      <c r="I662" s="68"/>
      <c r="J662" s="7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  <c r="AA662" s="68"/>
      <c r="AB662" s="68"/>
      <c r="AC662" s="68"/>
      <c r="AD662" s="68"/>
      <c r="AE662" s="68"/>
    </row>
    <row r="663" ht="26.25" customHeight="1">
      <c r="A663" s="68"/>
      <c r="B663" s="68"/>
      <c r="C663" s="61" t="s">
        <v>129</v>
      </c>
      <c r="D663" s="61" t="s">
        <v>130</v>
      </c>
      <c r="E663" s="68"/>
      <c r="F663" s="68"/>
      <c r="G663" s="68"/>
      <c r="H663" s="68"/>
      <c r="I663" s="68"/>
      <c r="J663" s="7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  <c r="AA663" s="68"/>
      <c r="AB663" s="68"/>
      <c r="AC663" s="68"/>
      <c r="AD663" s="68"/>
      <c r="AE663" s="68"/>
    </row>
    <row r="664" ht="26.25" customHeight="1">
      <c r="A664" s="68"/>
      <c r="B664" s="68"/>
      <c r="C664" s="61" t="s">
        <v>129</v>
      </c>
      <c r="D664" s="61" t="s">
        <v>130</v>
      </c>
      <c r="E664" s="68"/>
      <c r="F664" s="68"/>
      <c r="G664" s="68"/>
      <c r="H664" s="68"/>
      <c r="I664" s="68"/>
      <c r="J664" s="7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  <c r="AA664" s="68"/>
      <c r="AB664" s="68"/>
      <c r="AC664" s="68"/>
      <c r="AD664" s="68"/>
      <c r="AE664" s="68"/>
    </row>
    <row r="665" ht="26.25" customHeight="1">
      <c r="A665" s="68"/>
      <c r="B665" s="68"/>
      <c r="C665" s="61" t="s">
        <v>129</v>
      </c>
      <c r="D665" s="61" t="s">
        <v>130</v>
      </c>
      <c r="E665" s="68"/>
      <c r="F665" s="68"/>
      <c r="G665" s="68"/>
      <c r="H665" s="68"/>
      <c r="I665" s="68"/>
      <c r="J665" s="7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  <c r="AA665" s="68"/>
      <c r="AB665" s="68"/>
      <c r="AC665" s="68"/>
      <c r="AD665" s="68"/>
      <c r="AE665" s="68"/>
    </row>
    <row r="666" ht="26.25" customHeight="1">
      <c r="A666" s="68"/>
      <c r="B666" s="68"/>
      <c r="C666" s="61" t="s">
        <v>129</v>
      </c>
      <c r="D666" s="61" t="s">
        <v>130</v>
      </c>
      <c r="E666" s="68"/>
      <c r="F666" s="68"/>
      <c r="G666" s="68"/>
      <c r="H666" s="68"/>
      <c r="I666" s="68"/>
      <c r="J666" s="7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  <c r="AA666" s="68"/>
      <c r="AB666" s="68"/>
      <c r="AC666" s="68"/>
      <c r="AD666" s="68"/>
      <c r="AE666" s="68"/>
    </row>
    <row r="667" ht="26.25" customHeight="1">
      <c r="A667" s="68"/>
      <c r="B667" s="68"/>
      <c r="C667" s="61" t="s">
        <v>129</v>
      </c>
      <c r="D667" s="61" t="s">
        <v>130</v>
      </c>
      <c r="E667" s="68"/>
      <c r="F667" s="68"/>
      <c r="G667" s="68"/>
      <c r="H667" s="68"/>
      <c r="I667" s="68"/>
      <c r="J667" s="7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  <c r="AA667" s="68"/>
      <c r="AB667" s="68"/>
      <c r="AC667" s="68"/>
      <c r="AD667" s="68"/>
      <c r="AE667" s="68"/>
    </row>
    <row r="668" ht="26.25" customHeight="1">
      <c r="A668" s="68"/>
      <c r="B668" s="68"/>
      <c r="C668" s="61" t="s">
        <v>129</v>
      </c>
      <c r="D668" s="61" t="s">
        <v>130</v>
      </c>
      <c r="E668" s="68"/>
      <c r="F668" s="68"/>
      <c r="G668" s="68"/>
      <c r="H668" s="68"/>
      <c r="I668" s="68"/>
      <c r="J668" s="7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  <c r="AA668" s="68"/>
      <c r="AB668" s="68"/>
      <c r="AC668" s="68"/>
      <c r="AD668" s="68"/>
      <c r="AE668" s="68"/>
    </row>
    <row r="669" ht="26.25" customHeight="1">
      <c r="A669" s="68"/>
      <c r="B669" s="68"/>
      <c r="C669" s="61" t="s">
        <v>129</v>
      </c>
      <c r="D669" s="61" t="s">
        <v>130</v>
      </c>
      <c r="E669" s="68"/>
      <c r="F669" s="68"/>
      <c r="G669" s="68"/>
      <c r="H669" s="68"/>
      <c r="I669" s="68"/>
      <c r="J669" s="7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  <c r="AA669" s="68"/>
      <c r="AB669" s="68"/>
      <c r="AC669" s="68"/>
      <c r="AD669" s="68"/>
      <c r="AE669" s="68"/>
    </row>
    <row r="670" ht="26.25" customHeight="1">
      <c r="A670" s="68"/>
      <c r="B670" s="68"/>
      <c r="C670" s="61" t="s">
        <v>129</v>
      </c>
      <c r="D670" s="61" t="s">
        <v>130</v>
      </c>
      <c r="E670" s="68"/>
      <c r="F670" s="68"/>
      <c r="G670" s="68"/>
      <c r="H670" s="68"/>
      <c r="I670" s="68"/>
      <c r="J670" s="7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  <c r="AA670" s="68"/>
      <c r="AB670" s="68"/>
      <c r="AC670" s="68"/>
      <c r="AD670" s="68"/>
      <c r="AE670" s="68"/>
    </row>
    <row r="671" ht="26.25" customHeight="1">
      <c r="A671" s="68"/>
      <c r="B671" s="68"/>
      <c r="C671" s="61" t="s">
        <v>129</v>
      </c>
      <c r="D671" s="61" t="s">
        <v>130</v>
      </c>
      <c r="E671" s="68"/>
      <c r="F671" s="68"/>
      <c r="G671" s="68"/>
      <c r="H671" s="68"/>
      <c r="I671" s="68"/>
      <c r="J671" s="7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  <c r="AA671" s="68"/>
      <c r="AB671" s="68"/>
      <c r="AC671" s="68"/>
      <c r="AD671" s="68"/>
      <c r="AE671" s="68"/>
    </row>
    <row r="672" ht="26.25" customHeight="1">
      <c r="A672" s="68"/>
      <c r="B672" s="68"/>
      <c r="C672" s="61" t="s">
        <v>129</v>
      </c>
      <c r="D672" s="61" t="s">
        <v>130</v>
      </c>
      <c r="E672" s="68"/>
      <c r="F672" s="68"/>
      <c r="G672" s="68"/>
      <c r="H672" s="68"/>
      <c r="I672" s="68"/>
      <c r="J672" s="7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  <c r="AA672" s="68"/>
      <c r="AB672" s="68"/>
      <c r="AC672" s="68"/>
      <c r="AD672" s="68"/>
      <c r="AE672" s="68"/>
    </row>
    <row r="673" ht="26.25" customHeight="1">
      <c r="A673" s="68"/>
      <c r="B673" s="68"/>
      <c r="C673" s="61" t="s">
        <v>129</v>
      </c>
      <c r="D673" s="61" t="s">
        <v>130</v>
      </c>
      <c r="E673" s="68"/>
      <c r="F673" s="68"/>
      <c r="G673" s="68"/>
      <c r="H673" s="68"/>
      <c r="I673" s="68"/>
      <c r="J673" s="7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  <c r="AA673" s="68"/>
      <c r="AB673" s="68"/>
      <c r="AC673" s="68"/>
      <c r="AD673" s="68"/>
      <c r="AE673" s="68"/>
    </row>
    <row r="674" ht="26.25" customHeight="1">
      <c r="A674" s="68"/>
      <c r="B674" s="68"/>
      <c r="C674" s="61" t="s">
        <v>129</v>
      </c>
      <c r="D674" s="61" t="s">
        <v>130</v>
      </c>
      <c r="E674" s="68"/>
      <c r="F674" s="68"/>
      <c r="G674" s="68"/>
      <c r="H674" s="68"/>
      <c r="I674" s="68"/>
      <c r="J674" s="7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  <c r="AA674" s="68"/>
      <c r="AB674" s="68"/>
      <c r="AC674" s="68"/>
      <c r="AD674" s="68"/>
      <c r="AE674" s="68"/>
    </row>
    <row r="675" ht="26.25" customHeight="1">
      <c r="A675" s="68"/>
      <c r="B675" s="68"/>
      <c r="C675" s="61" t="s">
        <v>129</v>
      </c>
      <c r="D675" s="61" t="s">
        <v>130</v>
      </c>
      <c r="E675" s="68"/>
      <c r="F675" s="68"/>
      <c r="G675" s="68"/>
      <c r="H675" s="68"/>
      <c r="I675" s="68"/>
      <c r="J675" s="7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  <c r="AA675" s="68"/>
      <c r="AB675" s="68"/>
      <c r="AC675" s="68"/>
      <c r="AD675" s="68"/>
      <c r="AE675" s="68"/>
    </row>
    <row r="676" ht="26.25" customHeight="1">
      <c r="A676" s="68"/>
      <c r="B676" s="68"/>
      <c r="C676" s="61" t="s">
        <v>129</v>
      </c>
      <c r="D676" s="61" t="s">
        <v>130</v>
      </c>
      <c r="E676" s="68"/>
      <c r="F676" s="68"/>
      <c r="G676" s="68"/>
      <c r="H676" s="68"/>
      <c r="I676" s="68"/>
      <c r="J676" s="7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  <c r="AA676" s="68"/>
      <c r="AB676" s="68"/>
      <c r="AC676" s="68"/>
      <c r="AD676" s="68"/>
      <c r="AE676" s="68"/>
    </row>
    <row r="677" ht="26.25" customHeight="1">
      <c r="A677" s="68"/>
      <c r="B677" s="68"/>
      <c r="C677" s="61" t="s">
        <v>129</v>
      </c>
      <c r="D677" s="61" t="s">
        <v>130</v>
      </c>
      <c r="E677" s="68"/>
      <c r="F677" s="68"/>
      <c r="G677" s="68"/>
      <c r="H677" s="68"/>
      <c r="I677" s="68"/>
      <c r="J677" s="7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  <c r="AA677" s="68"/>
      <c r="AB677" s="68"/>
      <c r="AC677" s="68"/>
      <c r="AD677" s="68"/>
      <c r="AE677" s="68"/>
    </row>
    <row r="678" ht="26.25" customHeight="1">
      <c r="A678" s="68"/>
      <c r="B678" s="68"/>
      <c r="C678" s="61" t="s">
        <v>129</v>
      </c>
      <c r="D678" s="61" t="s">
        <v>130</v>
      </c>
      <c r="E678" s="68"/>
      <c r="F678" s="68"/>
      <c r="G678" s="68"/>
      <c r="H678" s="68"/>
      <c r="I678" s="68"/>
      <c r="J678" s="7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  <c r="AA678" s="68"/>
      <c r="AB678" s="68"/>
      <c r="AC678" s="68"/>
      <c r="AD678" s="68"/>
      <c r="AE678" s="68"/>
    </row>
    <row r="679" ht="26.25" customHeight="1">
      <c r="A679" s="68"/>
      <c r="B679" s="68"/>
      <c r="C679" s="61" t="s">
        <v>129</v>
      </c>
      <c r="D679" s="61" t="s">
        <v>130</v>
      </c>
      <c r="E679" s="68"/>
      <c r="F679" s="68"/>
      <c r="G679" s="68"/>
      <c r="H679" s="68"/>
      <c r="I679" s="68"/>
      <c r="J679" s="7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  <c r="AA679" s="68"/>
      <c r="AB679" s="68"/>
      <c r="AC679" s="68"/>
      <c r="AD679" s="68"/>
      <c r="AE679" s="68"/>
    </row>
    <row r="680" ht="26.25" customHeight="1">
      <c r="A680" s="68"/>
      <c r="B680" s="68"/>
      <c r="C680" s="61" t="s">
        <v>129</v>
      </c>
      <c r="D680" s="61" t="s">
        <v>130</v>
      </c>
      <c r="E680" s="68"/>
      <c r="F680" s="68"/>
      <c r="G680" s="68"/>
      <c r="H680" s="68"/>
      <c r="I680" s="68"/>
      <c r="J680" s="7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  <c r="AA680" s="68"/>
      <c r="AB680" s="68"/>
      <c r="AC680" s="68"/>
      <c r="AD680" s="68"/>
      <c r="AE680" s="68"/>
    </row>
    <row r="681" ht="26.25" customHeight="1">
      <c r="A681" s="68"/>
      <c r="B681" s="68"/>
      <c r="C681" s="61" t="s">
        <v>129</v>
      </c>
      <c r="D681" s="61" t="s">
        <v>130</v>
      </c>
      <c r="E681" s="68"/>
      <c r="F681" s="68"/>
      <c r="G681" s="68"/>
      <c r="H681" s="68"/>
      <c r="I681" s="68"/>
      <c r="J681" s="7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  <c r="AA681" s="68"/>
      <c r="AB681" s="68"/>
      <c r="AC681" s="68"/>
      <c r="AD681" s="68"/>
      <c r="AE681" s="68"/>
    </row>
    <row r="682" ht="26.25" customHeight="1">
      <c r="A682" s="68"/>
      <c r="B682" s="68"/>
      <c r="C682" s="61" t="s">
        <v>129</v>
      </c>
      <c r="D682" s="61" t="s">
        <v>130</v>
      </c>
      <c r="E682" s="68"/>
      <c r="F682" s="68"/>
      <c r="G682" s="68"/>
      <c r="H682" s="68"/>
      <c r="I682" s="68"/>
      <c r="J682" s="7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  <c r="AA682" s="68"/>
      <c r="AB682" s="68"/>
      <c r="AC682" s="68"/>
      <c r="AD682" s="68"/>
      <c r="AE682" s="68"/>
    </row>
    <row r="683" ht="26.25" customHeight="1">
      <c r="A683" s="68"/>
      <c r="B683" s="68"/>
      <c r="C683" s="61" t="s">
        <v>129</v>
      </c>
      <c r="D683" s="61" t="s">
        <v>130</v>
      </c>
      <c r="E683" s="68"/>
      <c r="F683" s="68"/>
      <c r="G683" s="68"/>
      <c r="H683" s="68"/>
      <c r="I683" s="68"/>
      <c r="J683" s="7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  <c r="AA683" s="68"/>
      <c r="AB683" s="68"/>
      <c r="AC683" s="68"/>
      <c r="AD683" s="68"/>
      <c r="AE683" s="68"/>
    </row>
    <row r="684" ht="26.25" customHeight="1">
      <c r="A684" s="68"/>
      <c r="B684" s="68"/>
      <c r="C684" s="61" t="s">
        <v>129</v>
      </c>
      <c r="D684" s="61" t="s">
        <v>130</v>
      </c>
      <c r="E684" s="68"/>
      <c r="F684" s="68"/>
      <c r="G684" s="68"/>
      <c r="H684" s="68"/>
      <c r="I684" s="68"/>
      <c r="J684" s="7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  <c r="AA684" s="68"/>
      <c r="AB684" s="68"/>
      <c r="AC684" s="68"/>
      <c r="AD684" s="68"/>
      <c r="AE684" s="68"/>
    </row>
    <row r="685" ht="26.25" customHeight="1">
      <c r="A685" s="68"/>
      <c r="B685" s="68"/>
      <c r="C685" s="61" t="s">
        <v>129</v>
      </c>
      <c r="D685" s="61" t="s">
        <v>130</v>
      </c>
      <c r="E685" s="68"/>
      <c r="F685" s="68"/>
      <c r="G685" s="68"/>
      <c r="H685" s="68"/>
      <c r="I685" s="68"/>
      <c r="J685" s="7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  <c r="AA685" s="68"/>
      <c r="AB685" s="68"/>
      <c r="AC685" s="68"/>
      <c r="AD685" s="68"/>
      <c r="AE685" s="68"/>
    </row>
    <row r="686" ht="26.25" customHeight="1">
      <c r="A686" s="68"/>
      <c r="B686" s="68"/>
      <c r="C686" s="61" t="s">
        <v>129</v>
      </c>
      <c r="D686" s="61" t="s">
        <v>130</v>
      </c>
      <c r="E686" s="68"/>
      <c r="F686" s="68"/>
      <c r="G686" s="68"/>
      <c r="H686" s="68"/>
      <c r="I686" s="68"/>
      <c r="J686" s="7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  <c r="AA686" s="68"/>
      <c r="AB686" s="68"/>
      <c r="AC686" s="68"/>
      <c r="AD686" s="68"/>
      <c r="AE686" s="68"/>
    </row>
    <row r="687" ht="26.25" customHeight="1">
      <c r="A687" s="68"/>
      <c r="B687" s="68"/>
      <c r="C687" s="61" t="s">
        <v>129</v>
      </c>
      <c r="D687" s="61" t="s">
        <v>130</v>
      </c>
      <c r="E687" s="68"/>
      <c r="F687" s="68"/>
      <c r="G687" s="68"/>
      <c r="H687" s="68"/>
      <c r="I687" s="68"/>
      <c r="J687" s="7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  <c r="AA687" s="68"/>
      <c r="AB687" s="68"/>
      <c r="AC687" s="68"/>
      <c r="AD687" s="68"/>
      <c r="AE687" s="68"/>
    </row>
    <row r="688" ht="26.25" customHeight="1">
      <c r="A688" s="68"/>
      <c r="B688" s="68"/>
      <c r="C688" s="61" t="s">
        <v>129</v>
      </c>
      <c r="D688" s="61" t="s">
        <v>130</v>
      </c>
      <c r="E688" s="68"/>
      <c r="F688" s="68"/>
      <c r="G688" s="68"/>
      <c r="H688" s="68"/>
      <c r="I688" s="68"/>
      <c r="J688" s="7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  <c r="AA688" s="68"/>
      <c r="AB688" s="68"/>
      <c r="AC688" s="68"/>
      <c r="AD688" s="68"/>
      <c r="AE688" s="68"/>
    </row>
    <row r="689" ht="26.25" customHeight="1">
      <c r="A689" s="68"/>
      <c r="B689" s="68"/>
      <c r="C689" s="61" t="s">
        <v>129</v>
      </c>
      <c r="D689" s="61" t="s">
        <v>130</v>
      </c>
      <c r="E689" s="68"/>
      <c r="F689" s="68"/>
      <c r="G689" s="68"/>
      <c r="H689" s="68"/>
      <c r="I689" s="68"/>
      <c r="J689" s="7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  <c r="AA689" s="68"/>
      <c r="AB689" s="68"/>
      <c r="AC689" s="68"/>
      <c r="AD689" s="68"/>
      <c r="AE689" s="68"/>
    </row>
    <row r="690" ht="26.25" customHeight="1">
      <c r="A690" s="68"/>
      <c r="B690" s="68"/>
      <c r="C690" s="61" t="s">
        <v>129</v>
      </c>
      <c r="D690" s="61" t="s">
        <v>130</v>
      </c>
      <c r="E690" s="68"/>
      <c r="F690" s="68"/>
      <c r="G690" s="68"/>
      <c r="H690" s="68"/>
      <c r="I690" s="68"/>
      <c r="J690" s="7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  <c r="AA690" s="68"/>
      <c r="AB690" s="68"/>
      <c r="AC690" s="68"/>
      <c r="AD690" s="68"/>
      <c r="AE690" s="68"/>
    </row>
    <row r="691" ht="26.25" customHeight="1">
      <c r="A691" s="68"/>
      <c r="B691" s="68"/>
      <c r="C691" s="61" t="s">
        <v>129</v>
      </c>
      <c r="D691" s="61" t="s">
        <v>130</v>
      </c>
      <c r="E691" s="68"/>
      <c r="F691" s="68"/>
      <c r="G691" s="68"/>
      <c r="H691" s="68"/>
      <c r="I691" s="68"/>
      <c r="J691" s="7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  <c r="AA691" s="68"/>
      <c r="AB691" s="68"/>
      <c r="AC691" s="68"/>
      <c r="AD691" s="68"/>
      <c r="AE691" s="68"/>
    </row>
    <row r="692" ht="26.25" customHeight="1">
      <c r="A692" s="68"/>
      <c r="B692" s="68"/>
      <c r="C692" s="61" t="s">
        <v>129</v>
      </c>
      <c r="D692" s="61" t="s">
        <v>130</v>
      </c>
      <c r="E692" s="68"/>
      <c r="F692" s="68"/>
      <c r="G692" s="68"/>
      <c r="H692" s="68"/>
      <c r="I692" s="68"/>
      <c r="J692" s="7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  <c r="AA692" s="68"/>
      <c r="AB692" s="68"/>
      <c r="AC692" s="68"/>
      <c r="AD692" s="68"/>
      <c r="AE692" s="68"/>
    </row>
    <row r="693" ht="26.25" customHeight="1">
      <c r="A693" s="68"/>
      <c r="B693" s="68"/>
      <c r="C693" s="61" t="s">
        <v>129</v>
      </c>
      <c r="D693" s="61" t="s">
        <v>130</v>
      </c>
      <c r="E693" s="68"/>
      <c r="F693" s="68"/>
      <c r="G693" s="68"/>
      <c r="H693" s="68"/>
      <c r="I693" s="68"/>
      <c r="J693" s="7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  <c r="AA693" s="68"/>
      <c r="AB693" s="68"/>
      <c r="AC693" s="68"/>
      <c r="AD693" s="68"/>
      <c r="AE693" s="68"/>
    </row>
    <row r="694" ht="26.25" customHeight="1">
      <c r="A694" s="68"/>
      <c r="B694" s="68"/>
      <c r="C694" s="61" t="s">
        <v>129</v>
      </c>
      <c r="D694" s="61" t="s">
        <v>130</v>
      </c>
      <c r="E694" s="68"/>
      <c r="F694" s="68"/>
      <c r="G694" s="68"/>
      <c r="H694" s="68"/>
      <c r="I694" s="68"/>
      <c r="J694" s="7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  <c r="AA694" s="68"/>
      <c r="AB694" s="68"/>
      <c r="AC694" s="68"/>
      <c r="AD694" s="68"/>
      <c r="AE694" s="68"/>
    </row>
    <row r="695" ht="26.25" customHeight="1">
      <c r="A695" s="68"/>
      <c r="B695" s="68"/>
      <c r="C695" s="61" t="s">
        <v>129</v>
      </c>
      <c r="D695" s="61" t="s">
        <v>130</v>
      </c>
      <c r="E695" s="68"/>
      <c r="F695" s="68"/>
      <c r="G695" s="68"/>
      <c r="H695" s="68"/>
      <c r="I695" s="68"/>
      <c r="J695" s="7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  <c r="AA695" s="68"/>
      <c r="AB695" s="68"/>
      <c r="AC695" s="68"/>
      <c r="AD695" s="68"/>
      <c r="AE695" s="68"/>
    </row>
    <row r="696" ht="26.25" customHeight="1">
      <c r="A696" s="68"/>
      <c r="B696" s="68"/>
      <c r="C696" s="61" t="s">
        <v>129</v>
      </c>
      <c r="D696" s="61" t="s">
        <v>130</v>
      </c>
      <c r="E696" s="68"/>
      <c r="F696" s="68"/>
      <c r="G696" s="68"/>
      <c r="H696" s="68"/>
      <c r="I696" s="68"/>
      <c r="J696" s="7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  <c r="AA696" s="68"/>
      <c r="AB696" s="68"/>
      <c r="AC696" s="68"/>
      <c r="AD696" s="68"/>
      <c r="AE696" s="68"/>
    </row>
    <row r="697" ht="26.25" customHeight="1">
      <c r="A697" s="68"/>
      <c r="B697" s="68"/>
      <c r="C697" s="61" t="s">
        <v>129</v>
      </c>
      <c r="D697" s="61" t="s">
        <v>130</v>
      </c>
      <c r="E697" s="68"/>
      <c r="F697" s="68"/>
      <c r="G697" s="68"/>
      <c r="H697" s="68"/>
      <c r="I697" s="68"/>
      <c r="J697" s="7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  <c r="AA697" s="68"/>
      <c r="AB697" s="68"/>
      <c r="AC697" s="68"/>
      <c r="AD697" s="68"/>
      <c r="AE697" s="68"/>
    </row>
    <row r="698" ht="26.25" customHeight="1">
      <c r="A698" s="68"/>
      <c r="B698" s="68"/>
      <c r="C698" s="61" t="s">
        <v>129</v>
      </c>
      <c r="D698" s="61" t="s">
        <v>130</v>
      </c>
      <c r="E698" s="68"/>
      <c r="F698" s="68"/>
      <c r="G698" s="68"/>
      <c r="H698" s="68"/>
      <c r="I698" s="68"/>
      <c r="J698" s="7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  <c r="AA698" s="68"/>
      <c r="AB698" s="68"/>
      <c r="AC698" s="68"/>
      <c r="AD698" s="68"/>
      <c r="AE698" s="68"/>
    </row>
    <row r="699" ht="26.25" customHeight="1">
      <c r="A699" s="68"/>
      <c r="B699" s="68"/>
      <c r="C699" s="61" t="s">
        <v>129</v>
      </c>
      <c r="D699" s="61" t="s">
        <v>130</v>
      </c>
      <c r="E699" s="68"/>
      <c r="F699" s="68"/>
      <c r="G699" s="68"/>
      <c r="H699" s="68"/>
      <c r="I699" s="68"/>
      <c r="J699" s="7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  <c r="AA699" s="68"/>
      <c r="AB699" s="68"/>
      <c r="AC699" s="68"/>
      <c r="AD699" s="68"/>
      <c r="AE699" s="68"/>
    </row>
    <row r="700" ht="26.25" customHeight="1">
      <c r="A700" s="68"/>
      <c r="B700" s="68"/>
      <c r="C700" s="61" t="s">
        <v>129</v>
      </c>
      <c r="D700" s="61" t="s">
        <v>130</v>
      </c>
      <c r="E700" s="68"/>
      <c r="F700" s="68"/>
      <c r="G700" s="68"/>
      <c r="H700" s="68"/>
      <c r="I700" s="68"/>
      <c r="J700" s="7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  <c r="AA700" s="68"/>
      <c r="AB700" s="68"/>
      <c r="AC700" s="68"/>
      <c r="AD700" s="68"/>
      <c r="AE700" s="68"/>
    </row>
    <row r="701" ht="26.25" customHeight="1">
      <c r="A701" s="68"/>
      <c r="B701" s="68"/>
      <c r="C701" s="61" t="s">
        <v>129</v>
      </c>
      <c r="D701" s="61" t="s">
        <v>130</v>
      </c>
      <c r="E701" s="68"/>
      <c r="F701" s="68"/>
      <c r="G701" s="68"/>
      <c r="H701" s="68"/>
      <c r="I701" s="68"/>
      <c r="J701" s="7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  <c r="AA701" s="68"/>
      <c r="AB701" s="68"/>
      <c r="AC701" s="68"/>
      <c r="AD701" s="68"/>
      <c r="AE701" s="68"/>
    </row>
    <row r="702" ht="26.25" customHeight="1">
      <c r="A702" s="68"/>
      <c r="B702" s="68"/>
      <c r="C702" s="61" t="s">
        <v>129</v>
      </c>
      <c r="D702" s="61" t="s">
        <v>130</v>
      </c>
      <c r="E702" s="68"/>
      <c r="F702" s="68"/>
      <c r="G702" s="68"/>
      <c r="H702" s="68"/>
      <c r="I702" s="68"/>
      <c r="J702" s="7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  <c r="AA702" s="68"/>
      <c r="AB702" s="68"/>
      <c r="AC702" s="68"/>
      <c r="AD702" s="68"/>
      <c r="AE702" s="68"/>
    </row>
    <row r="703" ht="26.25" customHeight="1">
      <c r="A703" s="68"/>
      <c r="B703" s="68"/>
      <c r="C703" s="61" t="s">
        <v>129</v>
      </c>
      <c r="D703" s="61" t="s">
        <v>130</v>
      </c>
      <c r="E703" s="68"/>
      <c r="F703" s="68"/>
      <c r="G703" s="68"/>
      <c r="H703" s="68"/>
      <c r="I703" s="68"/>
      <c r="J703" s="7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  <c r="AA703" s="68"/>
      <c r="AB703" s="68"/>
      <c r="AC703" s="68"/>
      <c r="AD703" s="68"/>
      <c r="AE703" s="68"/>
    </row>
    <row r="704" ht="26.25" customHeight="1">
      <c r="A704" s="68"/>
      <c r="B704" s="68"/>
      <c r="C704" s="61" t="s">
        <v>129</v>
      </c>
      <c r="D704" s="61" t="s">
        <v>130</v>
      </c>
      <c r="E704" s="68"/>
      <c r="F704" s="68"/>
      <c r="G704" s="68"/>
      <c r="H704" s="68"/>
      <c r="I704" s="68"/>
      <c r="J704" s="7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  <c r="AA704" s="68"/>
      <c r="AB704" s="68"/>
      <c r="AC704" s="68"/>
      <c r="AD704" s="68"/>
      <c r="AE704" s="68"/>
    </row>
    <row r="705" ht="26.25" customHeight="1">
      <c r="A705" s="68"/>
      <c r="B705" s="68"/>
      <c r="C705" s="61" t="s">
        <v>129</v>
      </c>
      <c r="D705" s="61" t="s">
        <v>130</v>
      </c>
      <c r="E705" s="68"/>
      <c r="F705" s="68"/>
      <c r="G705" s="68"/>
      <c r="H705" s="68"/>
      <c r="I705" s="68"/>
      <c r="J705" s="7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  <c r="AA705" s="68"/>
      <c r="AB705" s="68"/>
      <c r="AC705" s="68"/>
      <c r="AD705" s="68"/>
      <c r="AE705" s="68"/>
    </row>
    <row r="706" ht="26.25" customHeight="1">
      <c r="A706" s="68"/>
      <c r="B706" s="68"/>
      <c r="C706" s="61" t="s">
        <v>129</v>
      </c>
      <c r="D706" s="61" t="s">
        <v>130</v>
      </c>
      <c r="E706" s="68"/>
      <c r="F706" s="68"/>
      <c r="G706" s="68"/>
      <c r="H706" s="68"/>
      <c r="I706" s="68"/>
      <c r="J706" s="7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  <c r="AA706" s="68"/>
      <c r="AB706" s="68"/>
      <c r="AC706" s="68"/>
      <c r="AD706" s="68"/>
      <c r="AE706" s="68"/>
    </row>
    <row r="707" ht="26.25" customHeight="1">
      <c r="A707" s="68"/>
      <c r="B707" s="68"/>
      <c r="C707" s="61" t="s">
        <v>129</v>
      </c>
      <c r="D707" s="61" t="s">
        <v>130</v>
      </c>
      <c r="E707" s="68"/>
      <c r="F707" s="68"/>
      <c r="G707" s="68"/>
      <c r="H707" s="68"/>
      <c r="I707" s="68"/>
      <c r="J707" s="7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  <c r="AA707" s="68"/>
      <c r="AB707" s="68"/>
      <c r="AC707" s="68"/>
      <c r="AD707" s="68"/>
      <c r="AE707" s="68"/>
    </row>
    <row r="708" ht="26.25" customHeight="1">
      <c r="A708" s="68"/>
      <c r="B708" s="68"/>
      <c r="C708" s="61" t="s">
        <v>129</v>
      </c>
      <c r="D708" s="61" t="s">
        <v>130</v>
      </c>
      <c r="E708" s="68"/>
      <c r="F708" s="68"/>
      <c r="G708" s="68"/>
      <c r="H708" s="68"/>
      <c r="I708" s="68"/>
      <c r="J708" s="7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  <c r="AA708" s="68"/>
      <c r="AB708" s="68"/>
      <c r="AC708" s="68"/>
      <c r="AD708" s="68"/>
      <c r="AE708" s="68"/>
    </row>
    <row r="709" ht="26.25" customHeight="1">
      <c r="A709" s="68"/>
      <c r="B709" s="68"/>
      <c r="C709" s="61" t="s">
        <v>129</v>
      </c>
      <c r="D709" s="61" t="s">
        <v>130</v>
      </c>
      <c r="E709" s="68"/>
      <c r="F709" s="68"/>
      <c r="G709" s="68"/>
      <c r="H709" s="68"/>
      <c r="I709" s="68"/>
      <c r="J709" s="7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  <c r="AA709" s="68"/>
      <c r="AB709" s="68"/>
      <c r="AC709" s="68"/>
      <c r="AD709" s="68"/>
      <c r="AE709" s="68"/>
    </row>
    <row r="710" ht="26.25" customHeight="1">
      <c r="A710" s="68"/>
      <c r="B710" s="68"/>
      <c r="C710" s="61" t="s">
        <v>129</v>
      </c>
      <c r="D710" s="61" t="s">
        <v>130</v>
      </c>
      <c r="E710" s="68"/>
      <c r="F710" s="68"/>
      <c r="G710" s="68"/>
      <c r="H710" s="68"/>
      <c r="I710" s="68"/>
      <c r="J710" s="7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  <c r="AA710" s="68"/>
      <c r="AB710" s="68"/>
      <c r="AC710" s="68"/>
      <c r="AD710" s="68"/>
      <c r="AE710" s="68"/>
    </row>
    <row r="711" ht="26.25" customHeight="1">
      <c r="A711" s="68"/>
      <c r="B711" s="68"/>
      <c r="C711" s="61" t="s">
        <v>129</v>
      </c>
      <c r="D711" s="61" t="s">
        <v>130</v>
      </c>
      <c r="E711" s="68"/>
      <c r="F711" s="68"/>
      <c r="G711" s="68"/>
      <c r="H711" s="68"/>
      <c r="I711" s="68"/>
      <c r="J711" s="7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  <c r="AA711" s="68"/>
      <c r="AB711" s="68"/>
      <c r="AC711" s="68"/>
      <c r="AD711" s="68"/>
      <c r="AE711" s="68"/>
    </row>
    <row r="712" ht="26.25" customHeight="1">
      <c r="A712" s="68"/>
      <c r="B712" s="68"/>
      <c r="C712" s="61" t="s">
        <v>129</v>
      </c>
      <c r="D712" s="61" t="s">
        <v>130</v>
      </c>
      <c r="E712" s="68"/>
      <c r="F712" s="68"/>
      <c r="G712" s="68"/>
      <c r="H712" s="68"/>
      <c r="I712" s="68"/>
      <c r="J712" s="7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  <c r="AA712" s="68"/>
      <c r="AB712" s="68"/>
      <c r="AC712" s="68"/>
      <c r="AD712" s="68"/>
      <c r="AE712" s="68"/>
    </row>
    <row r="713" ht="26.25" customHeight="1">
      <c r="A713" s="68"/>
      <c r="B713" s="68"/>
      <c r="C713" s="61" t="s">
        <v>129</v>
      </c>
      <c r="D713" s="61" t="s">
        <v>130</v>
      </c>
      <c r="E713" s="68"/>
      <c r="F713" s="68"/>
      <c r="G713" s="68"/>
      <c r="H713" s="68"/>
      <c r="I713" s="68"/>
      <c r="J713" s="7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  <c r="AA713" s="68"/>
      <c r="AB713" s="68"/>
      <c r="AC713" s="68"/>
      <c r="AD713" s="68"/>
      <c r="AE713" s="68"/>
    </row>
    <row r="714" ht="26.25" customHeight="1">
      <c r="A714" s="68"/>
      <c r="B714" s="68"/>
      <c r="C714" s="61" t="s">
        <v>129</v>
      </c>
      <c r="D714" s="61" t="s">
        <v>130</v>
      </c>
      <c r="E714" s="68"/>
      <c r="F714" s="68"/>
      <c r="G714" s="68"/>
      <c r="H714" s="68"/>
      <c r="I714" s="68"/>
      <c r="J714" s="7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  <c r="AA714" s="68"/>
      <c r="AB714" s="68"/>
      <c r="AC714" s="68"/>
      <c r="AD714" s="68"/>
      <c r="AE714" s="68"/>
    </row>
    <row r="715" ht="26.25" customHeight="1">
      <c r="A715" s="68"/>
      <c r="B715" s="68"/>
      <c r="C715" s="61" t="s">
        <v>129</v>
      </c>
      <c r="D715" s="61" t="s">
        <v>130</v>
      </c>
      <c r="E715" s="68"/>
      <c r="F715" s="68"/>
      <c r="G715" s="68"/>
      <c r="H715" s="68"/>
      <c r="I715" s="68"/>
      <c r="J715" s="7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  <c r="AA715" s="68"/>
      <c r="AB715" s="68"/>
      <c r="AC715" s="68"/>
      <c r="AD715" s="68"/>
      <c r="AE715" s="68"/>
    </row>
    <row r="716" ht="26.25" customHeight="1">
      <c r="A716" s="68"/>
      <c r="B716" s="68"/>
      <c r="C716" s="61" t="s">
        <v>129</v>
      </c>
      <c r="D716" s="61" t="s">
        <v>130</v>
      </c>
      <c r="E716" s="68"/>
      <c r="F716" s="68"/>
      <c r="G716" s="68"/>
      <c r="H716" s="68"/>
      <c r="I716" s="68"/>
      <c r="J716" s="7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  <c r="AA716" s="68"/>
      <c r="AB716" s="68"/>
      <c r="AC716" s="68"/>
      <c r="AD716" s="68"/>
      <c r="AE716" s="68"/>
    </row>
    <row r="717" ht="26.25" customHeight="1">
      <c r="A717" s="68"/>
      <c r="B717" s="68"/>
      <c r="C717" s="61" t="s">
        <v>129</v>
      </c>
      <c r="D717" s="61" t="s">
        <v>130</v>
      </c>
      <c r="E717" s="68"/>
      <c r="F717" s="68"/>
      <c r="G717" s="68"/>
      <c r="H717" s="68"/>
      <c r="I717" s="68"/>
      <c r="J717" s="7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  <c r="AA717" s="68"/>
      <c r="AB717" s="68"/>
      <c r="AC717" s="68"/>
      <c r="AD717" s="68"/>
      <c r="AE717" s="68"/>
    </row>
    <row r="718" ht="26.25" customHeight="1">
      <c r="A718" s="68"/>
      <c r="B718" s="68"/>
      <c r="C718" s="61" t="s">
        <v>129</v>
      </c>
      <c r="D718" s="61" t="s">
        <v>130</v>
      </c>
      <c r="E718" s="68"/>
      <c r="F718" s="68"/>
      <c r="G718" s="68"/>
      <c r="H718" s="68"/>
      <c r="I718" s="68"/>
      <c r="J718" s="7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  <c r="AA718" s="68"/>
      <c r="AB718" s="68"/>
      <c r="AC718" s="68"/>
      <c r="AD718" s="68"/>
      <c r="AE718" s="68"/>
    </row>
    <row r="719" ht="26.25" customHeight="1">
      <c r="A719" s="68"/>
      <c r="B719" s="68"/>
      <c r="C719" s="61" t="s">
        <v>129</v>
      </c>
      <c r="D719" s="61" t="s">
        <v>130</v>
      </c>
      <c r="E719" s="68"/>
      <c r="F719" s="68"/>
      <c r="G719" s="68"/>
      <c r="H719" s="68"/>
      <c r="I719" s="68"/>
      <c r="J719" s="7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  <c r="AA719" s="68"/>
      <c r="AB719" s="68"/>
      <c r="AC719" s="68"/>
      <c r="AD719" s="68"/>
      <c r="AE719" s="68"/>
    </row>
    <row r="720" ht="26.25" customHeight="1">
      <c r="A720" s="68"/>
      <c r="B720" s="68"/>
      <c r="C720" s="61" t="s">
        <v>129</v>
      </c>
      <c r="D720" s="61" t="s">
        <v>130</v>
      </c>
      <c r="E720" s="68"/>
      <c r="F720" s="68"/>
      <c r="G720" s="68"/>
      <c r="H720" s="68"/>
      <c r="I720" s="68"/>
      <c r="J720" s="7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  <c r="AA720" s="68"/>
      <c r="AB720" s="68"/>
      <c r="AC720" s="68"/>
      <c r="AD720" s="68"/>
      <c r="AE720" s="68"/>
    </row>
    <row r="721" ht="26.25" customHeight="1">
      <c r="A721" s="68"/>
      <c r="B721" s="68"/>
      <c r="C721" s="61" t="s">
        <v>129</v>
      </c>
      <c r="D721" s="61" t="s">
        <v>130</v>
      </c>
      <c r="E721" s="68"/>
      <c r="F721" s="68"/>
      <c r="G721" s="68"/>
      <c r="H721" s="68"/>
      <c r="I721" s="68"/>
      <c r="J721" s="7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  <c r="AA721" s="68"/>
      <c r="AB721" s="68"/>
      <c r="AC721" s="68"/>
      <c r="AD721" s="68"/>
      <c r="AE721" s="68"/>
    </row>
    <row r="722" ht="26.25" customHeight="1">
      <c r="A722" s="68"/>
      <c r="B722" s="68"/>
      <c r="C722" s="61" t="s">
        <v>129</v>
      </c>
      <c r="D722" s="61" t="s">
        <v>130</v>
      </c>
      <c r="E722" s="68"/>
      <c r="F722" s="68"/>
      <c r="G722" s="68"/>
      <c r="H722" s="68"/>
      <c r="I722" s="68"/>
      <c r="J722" s="7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  <c r="AA722" s="68"/>
      <c r="AB722" s="68"/>
      <c r="AC722" s="68"/>
      <c r="AD722" s="68"/>
      <c r="AE722" s="68"/>
    </row>
    <row r="723" ht="26.25" customHeight="1">
      <c r="A723" s="68"/>
      <c r="B723" s="68"/>
      <c r="C723" s="61" t="s">
        <v>129</v>
      </c>
      <c r="D723" s="61" t="s">
        <v>130</v>
      </c>
      <c r="E723" s="68"/>
      <c r="F723" s="68"/>
      <c r="G723" s="68"/>
      <c r="H723" s="68"/>
      <c r="I723" s="68"/>
      <c r="J723" s="7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  <c r="AA723" s="68"/>
      <c r="AB723" s="68"/>
      <c r="AC723" s="68"/>
      <c r="AD723" s="68"/>
      <c r="AE723" s="68"/>
    </row>
    <row r="724" ht="26.25" customHeight="1">
      <c r="A724" s="68"/>
      <c r="B724" s="68"/>
      <c r="C724" s="61" t="s">
        <v>129</v>
      </c>
      <c r="D724" s="61" t="s">
        <v>130</v>
      </c>
      <c r="E724" s="68"/>
      <c r="F724" s="68"/>
      <c r="G724" s="68"/>
      <c r="H724" s="68"/>
      <c r="I724" s="68"/>
      <c r="J724" s="7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  <c r="AA724" s="68"/>
      <c r="AB724" s="68"/>
      <c r="AC724" s="68"/>
      <c r="AD724" s="68"/>
      <c r="AE724" s="68"/>
    </row>
    <row r="725" ht="26.25" customHeight="1">
      <c r="A725" s="68"/>
      <c r="B725" s="68"/>
      <c r="C725" s="61" t="s">
        <v>129</v>
      </c>
      <c r="D725" s="61" t="s">
        <v>130</v>
      </c>
      <c r="E725" s="68"/>
      <c r="F725" s="68"/>
      <c r="G725" s="68"/>
      <c r="H725" s="68"/>
      <c r="I725" s="68"/>
      <c r="J725" s="7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  <c r="AA725" s="68"/>
      <c r="AB725" s="68"/>
      <c r="AC725" s="68"/>
      <c r="AD725" s="68"/>
      <c r="AE725" s="68"/>
    </row>
    <row r="726" ht="26.25" customHeight="1">
      <c r="A726" s="68"/>
      <c r="B726" s="68"/>
      <c r="C726" s="61" t="s">
        <v>129</v>
      </c>
      <c r="D726" s="61" t="s">
        <v>130</v>
      </c>
      <c r="E726" s="68"/>
      <c r="F726" s="68"/>
      <c r="G726" s="68"/>
      <c r="H726" s="68"/>
      <c r="I726" s="68"/>
      <c r="J726" s="7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  <c r="AA726" s="68"/>
      <c r="AB726" s="68"/>
      <c r="AC726" s="68"/>
      <c r="AD726" s="68"/>
      <c r="AE726" s="68"/>
    </row>
    <row r="727" ht="26.25" customHeight="1">
      <c r="A727" s="68"/>
      <c r="B727" s="68"/>
      <c r="C727" s="61" t="s">
        <v>129</v>
      </c>
      <c r="D727" s="61" t="s">
        <v>130</v>
      </c>
      <c r="E727" s="68"/>
      <c r="F727" s="68"/>
      <c r="G727" s="68"/>
      <c r="H727" s="68"/>
      <c r="I727" s="68"/>
      <c r="J727" s="7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  <c r="AA727" s="68"/>
      <c r="AB727" s="68"/>
      <c r="AC727" s="68"/>
      <c r="AD727" s="68"/>
      <c r="AE727" s="68"/>
    </row>
    <row r="728" ht="26.25" customHeight="1">
      <c r="A728" s="68"/>
      <c r="B728" s="68"/>
      <c r="C728" s="61" t="s">
        <v>129</v>
      </c>
      <c r="D728" s="61" t="s">
        <v>130</v>
      </c>
      <c r="E728" s="68"/>
      <c r="F728" s="68"/>
      <c r="G728" s="68"/>
      <c r="H728" s="68"/>
      <c r="I728" s="68"/>
      <c r="J728" s="7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  <c r="AA728" s="68"/>
      <c r="AB728" s="68"/>
      <c r="AC728" s="68"/>
      <c r="AD728" s="68"/>
      <c r="AE728" s="68"/>
    </row>
    <row r="729" ht="26.25" customHeight="1">
      <c r="A729" s="68"/>
      <c r="B729" s="68"/>
      <c r="C729" s="61" t="s">
        <v>129</v>
      </c>
      <c r="D729" s="61" t="s">
        <v>130</v>
      </c>
      <c r="E729" s="68"/>
      <c r="F729" s="68"/>
      <c r="G729" s="68"/>
      <c r="H729" s="68"/>
      <c r="I729" s="68"/>
      <c r="J729" s="7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  <c r="AA729" s="68"/>
      <c r="AB729" s="68"/>
      <c r="AC729" s="68"/>
      <c r="AD729" s="68"/>
      <c r="AE729" s="68"/>
    </row>
    <row r="730" ht="26.25" customHeight="1">
      <c r="A730" s="68"/>
      <c r="B730" s="68"/>
      <c r="C730" s="61" t="s">
        <v>129</v>
      </c>
      <c r="D730" s="61" t="s">
        <v>130</v>
      </c>
      <c r="E730" s="68"/>
      <c r="F730" s="68"/>
      <c r="G730" s="68"/>
      <c r="H730" s="68"/>
      <c r="I730" s="68"/>
      <c r="J730" s="7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  <c r="AA730" s="68"/>
      <c r="AB730" s="68"/>
      <c r="AC730" s="68"/>
      <c r="AD730" s="68"/>
      <c r="AE730" s="68"/>
    </row>
    <row r="731" ht="26.25" customHeight="1">
      <c r="A731" s="68"/>
      <c r="B731" s="68"/>
      <c r="C731" s="61" t="s">
        <v>129</v>
      </c>
      <c r="D731" s="61" t="s">
        <v>130</v>
      </c>
      <c r="E731" s="68"/>
      <c r="F731" s="68"/>
      <c r="G731" s="68"/>
      <c r="H731" s="68"/>
      <c r="I731" s="68"/>
      <c r="J731" s="7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  <c r="AA731" s="68"/>
      <c r="AB731" s="68"/>
      <c r="AC731" s="68"/>
      <c r="AD731" s="68"/>
      <c r="AE731" s="68"/>
    </row>
    <row r="732" ht="26.25" customHeight="1">
      <c r="A732" s="68"/>
      <c r="B732" s="68"/>
      <c r="C732" s="61" t="s">
        <v>129</v>
      </c>
      <c r="D732" s="61" t="s">
        <v>130</v>
      </c>
      <c r="E732" s="68"/>
      <c r="F732" s="68"/>
      <c r="G732" s="68"/>
      <c r="H732" s="68"/>
      <c r="I732" s="68"/>
      <c r="J732" s="7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  <c r="AA732" s="68"/>
      <c r="AB732" s="68"/>
      <c r="AC732" s="68"/>
      <c r="AD732" s="68"/>
      <c r="AE732" s="68"/>
    </row>
    <row r="733" ht="26.25" customHeight="1">
      <c r="A733" s="68"/>
      <c r="B733" s="68"/>
      <c r="C733" s="61" t="s">
        <v>129</v>
      </c>
      <c r="D733" s="61" t="s">
        <v>130</v>
      </c>
      <c r="E733" s="68"/>
      <c r="F733" s="68"/>
      <c r="G733" s="68"/>
      <c r="H733" s="68"/>
      <c r="I733" s="68"/>
      <c r="J733" s="7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  <c r="AA733" s="68"/>
      <c r="AB733" s="68"/>
      <c r="AC733" s="68"/>
      <c r="AD733" s="68"/>
      <c r="AE733" s="68"/>
    </row>
    <row r="734" ht="26.25" customHeight="1">
      <c r="A734" s="68"/>
      <c r="B734" s="68"/>
      <c r="C734" s="61" t="s">
        <v>129</v>
      </c>
      <c r="D734" s="61" t="s">
        <v>130</v>
      </c>
      <c r="E734" s="68"/>
      <c r="F734" s="68"/>
      <c r="G734" s="68"/>
      <c r="H734" s="68"/>
      <c r="I734" s="68"/>
      <c r="J734" s="7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  <c r="Z734" s="68"/>
      <c r="AA734" s="68"/>
      <c r="AB734" s="68"/>
      <c r="AC734" s="68"/>
      <c r="AD734" s="68"/>
      <c r="AE734" s="68"/>
    </row>
    <row r="735" ht="26.25" customHeight="1">
      <c r="A735" s="68"/>
      <c r="B735" s="68"/>
      <c r="C735" s="61" t="s">
        <v>129</v>
      </c>
      <c r="D735" s="61" t="s">
        <v>130</v>
      </c>
      <c r="E735" s="68"/>
      <c r="F735" s="68"/>
      <c r="G735" s="68"/>
      <c r="H735" s="68"/>
      <c r="I735" s="68"/>
      <c r="J735" s="7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  <c r="AA735" s="68"/>
      <c r="AB735" s="68"/>
      <c r="AC735" s="68"/>
      <c r="AD735" s="68"/>
      <c r="AE735" s="68"/>
    </row>
    <row r="736" ht="26.25" customHeight="1">
      <c r="A736" s="68"/>
      <c r="B736" s="68"/>
      <c r="C736" s="61" t="s">
        <v>129</v>
      </c>
      <c r="D736" s="61" t="s">
        <v>130</v>
      </c>
      <c r="E736" s="68"/>
      <c r="F736" s="68"/>
      <c r="G736" s="68"/>
      <c r="H736" s="68"/>
      <c r="I736" s="68"/>
      <c r="J736" s="7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  <c r="AA736" s="68"/>
      <c r="AB736" s="68"/>
      <c r="AC736" s="68"/>
      <c r="AD736" s="68"/>
      <c r="AE736" s="68"/>
    </row>
    <row r="737" ht="26.25" customHeight="1">
      <c r="A737" s="68"/>
      <c r="B737" s="68"/>
      <c r="C737" s="61" t="s">
        <v>129</v>
      </c>
      <c r="D737" s="61" t="s">
        <v>130</v>
      </c>
      <c r="E737" s="68"/>
      <c r="F737" s="68"/>
      <c r="G737" s="68"/>
      <c r="H737" s="68"/>
      <c r="I737" s="68"/>
      <c r="J737" s="7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  <c r="AA737" s="68"/>
      <c r="AB737" s="68"/>
      <c r="AC737" s="68"/>
      <c r="AD737" s="68"/>
      <c r="AE737" s="68"/>
    </row>
    <row r="738" ht="26.25" customHeight="1">
      <c r="A738" s="68"/>
      <c r="B738" s="68"/>
      <c r="C738" s="61" t="s">
        <v>129</v>
      </c>
      <c r="D738" s="61" t="s">
        <v>130</v>
      </c>
      <c r="E738" s="68"/>
      <c r="F738" s="68"/>
      <c r="G738" s="68"/>
      <c r="H738" s="68"/>
      <c r="I738" s="68"/>
      <c r="J738" s="7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  <c r="AA738" s="68"/>
      <c r="AB738" s="68"/>
      <c r="AC738" s="68"/>
      <c r="AD738" s="68"/>
      <c r="AE738" s="68"/>
    </row>
    <row r="739" ht="26.25" customHeight="1">
      <c r="A739" s="68"/>
      <c r="B739" s="68"/>
      <c r="C739" s="61" t="s">
        <v>129</v>
      </c>
      <c r="D739" s="61" t="s">
        <v>130</v>
      </c>
      <c r="E739" s="68"/>
      <c r="F739" s="68"/>
      <c r="G739" s="68"/>
      <c r="H739" s="68"/>
      <c r="I739" s="68"/>
      <c r="J739" s="7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  <c r="AA739" s="68"/>
      <c r="AB739" s="68"/>
      <c r="AC739" s="68"/>
      <c r="AD739" s="68"/>
      <c r="AE739" s="68"/>
    </row>
    <row r="740" ht="26.25" customHeight="1">
      <c r="A740" s="68"/>
      <c r="B740" s="68"/>
      <c r="C740" s="61" t="s">
        <v>129</v>
      </c>
      <c r="D740" s="61" t="s">
        <v>130</v>
      </c>
      <c r="E740" s="68"/>
      <c r="F740" s="68"/>
      <c r="G740" s="68"/>
      <c r="H740" s="68"/>
      <c r="I740" s="68"/>
      <c r="J740" s="7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  <c r="Z740" s="68"/>
      <c r="AA740" s="68"/>
      <c r="AB740" s="68"/>
      <c r="AC740" s="68"/>
      <c r="AD740" s="68"/>
      <c r="AE740" s="68"/>
    </row>
    <row r="741" ht="26.25" customHeight="1">
      <c r="A741" s="68"/>
      <c r="B741" s="68"/>
      <c r="C741" s="61" t="s">
        <v>129</v>
      </c>
      <c r="D741" s="61" t="s">
        <v>130</v>
      </c>
      <c r="E741" s="68"/>
      <c r="F741" s="68"/>
      <c r="G741" s="68"/>
      <c r="H741" s="68"/>
      <c r="I741" s="68"/>
      <c r="J741" s="7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  <c r="Z741" s="68"/>
      <c r="AA741" s="68"/>
      <c r="AB741" s="68"/>
      <c r="AC741" s="68"/>
      <c r="AD741" s="68"/>
      <c r="AE741" s="68"/>
    </row>
    <row r="742" ht="26.25" customHeight="1">
      <c r="A742" s="68"/>
      <c r="B742" s="68"/>
      <c r="C742" s="61" t="s">
        <v>129</v>
      </c>
      <c r="D742" s="61" t="s">
        <v>130</v>
      </c>
      <c r="E742" s="68"/>
      <c r="F742" s="68"/>
      <c r="G742" s="68"/>
      <c r="H742" s="68"/>
      <c r="I742" s="68"/>
      <c r="J742" s="7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  <c r="AA742" s="68"/>
      <c r="AB742" s="68"/>
      <c r="AC742" s="68"/>
      <c r="AD742" s="68"/>
      <c r="AE742" s="68"/>
    </row>
    <row r="743" ht="26.25" customHeight="1">
      <c r="A743" s="68"/>
      <c r="B743" s="68"/>
      <c r="C743" s="61" t="s">
        <v>129</v>
      </c>
      <c r="D743" s="61" t="s">
        <v>130</v>
      </c>
      <c r="E743" s="68"/>
      <c r="F743" s="68"/>
      <c r="G743" s="68"/>
      <c r="H743" s="68"/>
      <c r="I743" s="68"/>
      <c r="J743" s="7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  <c r="AA743" s="68"/>
      <c r="AB743" s="68"/>
      <c r="AC743" s="68"/>
      <c r="AD743" s="68"/>
      <c r="AE743" s="68"/>
    </row>
    <row r="744" ht="26.25" customHeight="1">
      <c r="A744" s="68"/>
      <c r="B744" s="68"/>
      <c r="C744" s="61" t="s">
        <v>129</v>
      </c>
      <c r="D744" s="61" t="s">
        <v>130</v>
      </c>
      <c r="E744" s="68"/>
      <c r="F744" s="68"/>
      <c r="G744" s="68"/>
      <c r="H744" s="68"/>
      <c r="I744" s="68"/>
      <c r="J744" s="7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  <c r="Z744" s="68"/>
      <c r="AA744" s="68"/>
      <c r="AB744" s="68"/>
      <c r="AC744" s="68"/>
      <c r="AD744" s="68"/>
      <c r="AE744" s="68"/>
    </row>
    <row r="745" ht="26.25" customHeight="1">
      <c r="A745" s="68"/>
      <c r="B745" s="68"/>
      <c r="C745" s="61" t="s">
        <v>129</v>
      </c>
      <c r="D745" s="61" t="s">
        <v>130</v>
      </c>
      <c r="E745" s="68"/>
      <c r="F745" s="68"/>
      <c r="G745" s="68"/>
      <c r="H745" s="68"/>
      <c r="I745" s="68"/>
      <c r="J745" s="7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  <c r="AA745" s="68"/>
      <c r="AB745" s="68"/>
      <c r="AC745" s="68"/>
      <c r="AD745" s="68"/>
      <c r="AE745" s="68"/>
    </row>
    <row r="746" ht="26.25" customHeight="1">
      <c r="A746" s="68"/>
      <c r="B746" s="68"/>
      <c r="C746" s="61" t="s">
        <v>129</v>
      </c>
      <c r="D746" s="61" t="s">
        <v>130</v>
      </c>
      <c r="E746" s="68"/>
      <c r="F746" s="68"/>
      <c r="G746" s="68"/>
      <c r="H746" s="68"/>
      <c r="I746" s="68"/>
      <c r="J746" s="7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  <c r="Z746" s="68"/>
      <c r="AA746" s="68"/>
      <c r="AB746" s="68"/>
      <c r="AC746" s="68"/>
      <c r="AD746" s="68"/>
      <c r="AE746" s="68"/>
    </row>
    <row r="747" ht="26.25" customHeight="1">
      <c r="A747" s="68"/>
      <c r="B747" s="68"/>
      <c r="C747" s="61" t="s">
        <v>129</v>
      </c>
      <c r="D747" s="61" t="s">
        <v>130</v>
      </c>
      <c r="E747" s="68"/>
      <c r="F747" s="68"/>
      <c r="G747" s="68"/>
      <c r="H747" s="68"/>
      <c r="I747" s="68"/>
      <c r="J747" s="7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  <c r="Z747" s="68"/>
      <c r="AA747" s="68"/>
      <c r="AB747" s="68"/>
      <c r="AC747" s="68"/>
      <c r="AD747" s="68"/>
      <c r="AE747" s="68"/>
    </row>
    <row r="748" ht="26.25" customHeight="1">
      <c r="A748" s="68"/>
      <c r="B748" s="68"/>
      <c r="C748" s="61" t="s">
        <v>129</v>
      </c>
      <c r="D748" s="61" t="s">
        <v>130</v>
      </c>
      <c r="E748" s="68"/>
      <c r="F748" s="68"/>
      <c r="G748" s="68"/>
      <c r="H748" s="68"/>
      <c r="I748" s="68"/>
      <c r="J748" s="7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  <c r="Z748" s="68"/>
      <c r="AA748" s="68"/>
      <c r="AB748" s="68"/>
      <c r="AC748" s="68"/>
      <c r="AD748" s="68"/>
      <c r="AE748" s="68"/>
    </row>
    <row r="749" ht="26.25" customHeight="1">
      <c r="A749" s="68"/>
      <c r="B749" s="68"/>
      <c r="C749" s="61" t="s">
        <v>129</v>
      </c>
      <c r="D749" s="61" t="s">
        <v>130</v>
      </c>
      <c r="E749" s="68"/>
      <c r="F749" s="68"/>
      <c r="G749" s="68"/>
      <c r="H749" s="68"/>
      <c r="I749" s="68"/>
      <c r="J749" s="7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  <c r="Z749" s="68"/>
      <c r="AA749" s="68"/>
      <c r="AB749" s="68"/>
      <c r="AC749" s="68"/>
      <c r="AD749" s="68"/>
      <c r="AE749" s="68"/>
    </row>
    <row r="750" ht="26.25" customHeight="1">
      <c r="A750" s="68"/>
      <c r="B750" s="68"/>
      <c r="C750" s="61" t="s">
        <v>129</v>
      </c>
      <c r="D750" s="61" t="s">
        <v>130</v>
      </c>
      <c r="E750" s="68"/>
      <c r="F750" s="68"/>
      <c r="G750" s="68"/>
      <c r="H750" s="68"/>
      <c r="I750" s="68"/>
      <c r="J750" s="7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  <c r="AA750" s="68"/>
      <c r="AB750" s="68"/>
      <c r="AC750" s="68"/>
      <c r="AD750" s="68"/>
      <c r="AE750" s="68"/>
    </row>
    <row r="751" ht="26.25" customHeight="1">
      <c r="A751" s="68"/>
      <c r="B751" s="68"/>
      <c r="C751" s="61" t="s">
        <v>129</v>
      </c>
      <c r="D751" s="61" t="s">
        <v>130</v>
      </c>
      <c r="E751" s="68"/>
      <c r="F751" s="68"/>
      <c r="G751" s="68"/>
      <c r="H751" s="68"/>
      <c r="I751" s="68"/>
      <c r="J751" s="7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  <c r="AA751" s="68"/>
      <c r="AB751" s="68"/>
      <c r="AC751" s="68"/>
      <c r="AD751" s="68"/>
      <c r="AE751" s="68"/>
    </row>
    <row r="752" ht="26.25" customHeight="1">
      <c r="A752" s="68"/>
      <c r="B752" s="68"/>
      <c r="C752" s="61" t="s">
        <v>129</v>
      </c>
      <c r="D752" s="61" t="s">
        <v>130</v>
      </c>
      <c r="E752" s="68"/>
      <c r="F752" s="68"/>
      <c r="G752" s="68"/>
      <c r="H752" s="68"/>
      <c r="I752" s="68"/>
      <c r="J752" s="7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  <c r="AA752" s="68"/>
      <c r="AB752" s="68"/>
      <c r="AC752" s="68"/>
      <c r="AD752" s="68"/>
      <c r="AE752" s="68"/>
    </row>
    <row r="753" ht="26.25" customHeight="1">
      <c r="A753" s="68"/>
      <c r="B753" s="68"/>
      <c r="C753" s="61" t="s">
        <v>129</v>
      </c>
      <c r="D753" s="61" t="s">
        <v>130</v>
      </c>
      <c r="E753" s="68"/>
      <c r="F753" s="68"/>
      <c r="G753" s="68"/>
      <c r="H753" s="68"/>
      <c r="I753" s="68"/>
      <c r="J753" s="7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  <c r="AA753" s="68"/>
      <c r="AB753" s="68"/>
      <c r="AC753" s="68"/>
      <c r="AD753" s="68"/>
      <c r="AE753" s="68"/>
    </row>
    <row r="754" ht="26.25" customHeight="1">
      <c r="A754" s="68"/>
      <c r="B754" s="68"/>
      <c r="C754" s="61" t="s">
        <v>129</v>
      </c>
      <c r="D754" s="61" t="s">
        <v>130</v>
      </c>
      <c r="E754" s="68"/>
      <c r="F754" s="68"/>
      <c r="G754" s="68"/>
      <c r="H754" s="68"/>
      <c r="I754" s="68"/>
      <c r="J754" s="7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  <c r="Z754" s="68"/>
      <c r="AA754" s="68"/>
      <c r="AB754" s="68"/>
      <c r="AC754" s="68"/>
      <c r="AD754" s="68"/>
      <c r="AE754" s="68"/>
    </row>
    <row r="755" ht="26.25" customHeight="1">
      <c r="A755" s="68"/>
      <c r="B755" s="68"/>
      <c r="C755" s="61" t="s">
        <v>129</v>
      </c>
      <c r="D755" s="61" t="s">
        <v>130</v>
      </c>
      <c r="E755" s="68"/>
      <c r="F755" s="68"/>
      <c r="G755" s="68"/>
      <c r="H755" s="68"/>
      <c r="I755" s="68"/>
      <c r="J755" s="7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  <c r="Z755" s="68"/>
      <c r="AA755" s="68"/>
      <c r="AB755" s="68"/>
      <c r="AC755" s="68"/>
      <c r="AD755" s="68"/>
      <c r="AE755" s="68"/>
    </row>
    <row r="756" ht="26.25" customHeight="1">
      <c r="A756" s="68"/>
      <c r="B756" s="68"/>
      <c r="C756" s="61" t="s">
        <v>129</v>
      </c>
      <c r="D756" s="61" t="s">
        <v>130</v>
      </c>
      <c r="E756" s="68"/>
      <c r="F756" s="68"/>
      <c r="G756" s="68"/>
      <c r="H756" s="68"/>
      <c r="I756" s="68"/>
      <c r="J756" s="7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  <c r="Z756" s="68"/>
      <c r="AA756" s="68"/>
      <c r="AB756" s="68"/>
      <c r="AC756" s="68"/>
      <c r="AD756" s="68"/>
      <c r="AE756" s="68"/>
    </row>
    <row r="757" ht="26.25" customHeight="1">
      <c r="A757" s="68"/>
      <c r="B757" s="68"/>
      <c r="C757" s="61" t="s">
        <v>129</v>
      </c>
      <c r="D757" s="61" t="s">
        <v>130</v>
      </c>
      <c r="E757" s="68"/>
      <c r="F757" s="68"/>
      <c r="G757" s="68"/>
      <c r="H757" s="68"/>
      <c r="I757" s="68"/>
      <c r="J757" s="7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  <c r="Z757" s="68"/>
      <c r="AA757" s="68"/>
      <c r="AB757" s="68"/>
      <c r="AC757" s="68"/>
      <c r="AD757" s="68"/>
      <c r="AE757" s="68"/>
    </row>
    <row r="758" ht="26.25" customHeight="1">
      <c r="A758" s="68"/>
      <c r="B758" s="68"/>
      <c r="C758" s="61" t="s">
        <v>129</v>
      </c>
      <c r="D758" s="61" t="s">
        <v>130</v>
      </c>
      <c r="E758" s="68"/>
      <c r="F758" s="68"/>
      <c r="G758" s="68"/>
      <c r="H758" s="68"/>
      <c r="I758" s="68"/>
      <c r="J758" s="7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  <c r="Z758" s="68"/>
      <c r="AA758" s="68"/>
      <c r="AB758" s="68"/>
      <c r="AC758" s="68"/>
      <c r="AD758" s="68"/>
      <c r="AE758" s="68"/>
    </row>
    <row r="759" ht="26.25" customHeight="1">
      <c r="A759" s="68"/>
      <c r="B759" s="68"/>
      <c r="C759" s="61" t="s">
        <v>129</v>
      </c>
      <c r="D759" s="61" t="s">
        <v>130</v>
      </c>
      <c r="E759" s="68"/>
      <c r="F759" s="68"/>
      <c r="G759" s="68"/>
      <c r="H759" s="68"/>
      <c r="I759" s="68"/>
      <c r="J759" s="7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  <c r="Z759" s="68"/>
      <c r="AA759" s="68"/>
      <c r="AB759" s="68"/>
      <c r="AC759" s="68"/>
      <c r="AD759" s="68"/>
      <c r="AE759" s="68"/>
    </row>
    <row r="760" ht="26.25" customHeight="1">
      <c r="A760" s="68"/>
      <c r="B760" s="68"/>
      <c r="C760" s="61" t="s">
        <v>129</v>
      </c>
      <c r="D760" s="61" t="s">
        <v>130</v>
      </c>
      <c r="E760" s="68"/>
      <c r="F760" s="68"/>
      <c r="G760" s="68"/>
      <c r="H760" s="68"/>
      <c r="I760" s="68"/>
      <c r="J760" s="7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  <c r="Z760" s="68"/>
      <c r="AA760" s="68"/>
      <c r="AB760" s="68"/>
      <c r="AC760" s="68"/>
      <c r="AD760" s="68"/>
      <c r="AE760" s="68"/>
    </row>
    <row r="761" ht="26.25" customHeight="1">
      <c r="A761" s="68"/>
      <c r="B761" s="68"/>
      <c r="C761" s="61" t="s">
        <v>129</v>
      </c>
      <c r="D761" s="61" t="s">
        <v>130</v>
      </c>
      <c r="E761" s="68"/>
      <c r="F761" s="68"/>
      <c r="G761" s="68"/>
      <c r="H761" s="68"/>
      <c r="I761" s="68"/>
      <c r="J761" s="7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  <c r="Z761" s="68"/>
      <c r="AA761" s="68"/>
      <c r="AB761" s="68"/>
      <c r="AC761" s="68"/>
      <c r="AD761" s="68"/>
      <c r="AE761" s="68"/>
    </row>
    <row r="762" ht="26.25" customHeight="1">
      <c r="A762" s="68"/>
      <c r="B762" s="68"/>
      <c r="C762" s="61" t="s">
        <v>129</v>
      </c>
      <c r="D762" s="61" t="s">
        <v>130</v>
      </c>
      <c r="E762" s="68"/>
      <c r="F762" s="68"/>
      <c r="G762" s="68"/>
      <c r="H762" s="68"/>
      <c r="I762" s="68"/>
      <c r="J762" s="7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  <c r="Z762" s="68"/>
      <c r="AA762" s="68"/>
      <c r="AB762" s="68"/>
      <c r="AC762" s="68"/>
      <c r="AD762" s="68"/>
      <c r="AE762" s="68"/>
    </row>
    <row r="763" ht="26.25" customHeight="1">
      <c r="A763" s="68"/>
      <c r="B763" s="68"/>
      <c r="C763" s="61" t="s">
        <v>129</v>
      </c>
      <c r="D763" s="61" t="s">
        <v>130</v>
      </c>
      <c r="E763" s="68"/>
      <c r="F763" s="68"/>
      <c r="G763" s="68"/>
      <c r="H763" s="68"/>
      <c r="I763" s="68"/>
      <c r="J763" s="7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  <c r="AA763" s="68"/>
      <c r="AB763" s="68"/>
      <c r="AC763" s="68"/>
      <c r="AD763" s="68"/>
      <c r="AE763" s="68"/>
    </row>
    <row r="764" ht="26.25" customHeight="1">
      <c r="A764" s="68"/>
      <c r="B764" s="68"/>
      <c r="C764" s="61" t="s">
        <v>129</v>
      </c>
      <c r="D764" s="61" t="s">
        <v>130</v>
      </c>
      <c r="E764" s="68"/>
      <c r="F764" s="68"/>
      <c r="G764" s="68"/>
      <c r="H764" s="68"/>
      <c r="I764" s="68"/>
      <c r="J764" s="7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  <c r="AA764" s="68"/>
      <c r="AB764" s="68"/>
      <c r="AC764" s="68"/>
      <c r="AD764" s="68"/>
      <c r="AE764" s="68"/>
    </row>
    <row r="765" ht="26.25" customHeight="1">
      <c r="A765" s="68"/>
      <c r="B765" s="68"/>
      <c r="C765" s="61" t="s">
        <v>129</v>
      </c>
      <c r="D765" s="61" t="s">
        <v>130</v>
      </c>
      <c r="E765" s="68"/>
      <c r="F765" s="68"/>
      <c r="G765" s="68"/>
      <c r="H765" s="68"/>
      <c r="I765" s="68"/>
      <c r="J765" s="7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  <c r="AA765" s="68"/>
      <c r="AB765" s="68"/>
      <c r="AC765" s="68"/>
      <c r="AD765" s="68"/>
      <c r="AE765" s="68"/>
    </row>
    <row r="766" ht="26.25" customHeight="1">
      <c r="A766" s="68"/>
      <c r="B766" s="68"/>
      <c r="C766" s="61" t="s">
        <v>129</v>
      </c>
      <c r="D766" s="61" t="s">
        <v>130</v>
      </c>
      <c r="E766" s="68"/>
      <c r="F766" s="68"/>
      <c r="G766" s="68"/>
      <c r="H766" s="68"/>
      <c r="I766" s="68"/>
      <c r="J766" s="7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  <c r="AA766" s="68"/>
      <c r="AB766" s="68"/>
      <c r="AC766" s="68"/>
      <c r="AD766" s="68"/>
      <c r="AE766" s="68"/>
    </row>
    <row r="767" ht="26.25" customHeight="1">
      <c r="A767" s="68"/>
      <c r="B767" s="68"/>
      <c r="C767" s="61" t="s">
        <v>129</v>
      </c>
      <c r="D767" s="61" t="s">
        <v>130</v>
      </c>
      <c r="E767" s="68"/>
      <c r="F767" s="68"/>
      <c r="G767" s="68"/>
      <c r="H767" s="68"/>
      <c r="I767" s="68"/>
      <c r="J767" s="7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  <c r="AA767" s="68"/>
      <c r="AB767" s="68"/>
      <c r="AC767" s="68"/>
      <c r="AD767" s="68"/>
      <c r="AE767" s="68"/>
    </row>
    <row r="768" ht="26.25" customHeight="1">
      <c r="A768" s="68"/>
      <c r="B768" s="68"/>
      <c r="C768" s="61" t="s">
        <v>129</v>
      </c>
      <c r="D768" s="61" t="s">
        <v>130</v>
      </c>
      <c r="E768" s="68"/>
      <c r="F768" s="68"/>
      <c r="G768" s="68"/>
      <c r="H768" s="68"/>
      <c r="I768" s="68"/>
      <c r="J768" s="7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  <c r="AA768" s="68"/>
      <c r="AB768" s="68"/>
      <c r="AC768" s="68"/>
      <c r="AD768" s="68"/>
      <c r="AE768" s="68"/>
    </row>
    <row r="769" ht="26.25" customHeight="1">
      <c r="A769" s="68"/>
      <c r="B769" s="68"/>
      <c r="C769" s="61" t="s">
        <v>129</v>
      </c>
      <c r="D769" s="61" t="s">
        <v>130</v>
      </c>
      <c r="E769" s="68"/>
      <c r="F769" s="68"/>
      <c r="G769" s="68"/>
      <c r="H769" s="68"/>
      <c r="I769" s="68"/>
      <c r="J769" s="7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  <c r="Z769" s="68"/>
      <c r="AA769" s="68"/>
      <c r="AB769" s="68"/>
      <c r="AC769" s="68"/>
      <c r="AD769" s="68"/>
      <c r="AE769" s="68"/>
    </row>
    <row r="770" ht="26.25" customHeight="1">
      <c r="A770" s="68"/>
      <c r="B770" s="68"/>
      <c r="C770" s="61" t="s">
        <v>129</v>
      </c>
      <c r="D770" s="61" t="s">
        <v>130</v>
      </c>
      <c r="E770" s="68"/>
      <c r="F770" s="68"/>
      <c r="G770" s="68"/>
      <c r="H770" s="68"/>
      <c r="I770" s="68"/>
      <c r="J770" s="7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  <c r="Z770" s="68"/>
      <c r="AA770" s="68"/>
      <c r="AB770" s="68"/>
      <c r="AC770" s="68"/>
      <c r="AD770" s="68"/>
      <c r="AE770" s="68"/>
    </row>
    <row r="771" ht="26.25" customHeight="1">
      <c r="A771" s="68"/>
      <c r="B771" s="68"/>
      <c r="C771" s="61" t="s">
        <v>129</v>
      </c>
      <c r="D771" s="61" t="s">
        <v>130</v>
      </c>
      <c r="E771" s="68"/>
      <c r="F771" s="68"/>
      <c r="G771" s="68"/>
      <c r="H771" s="68"/>
      <c r="I771" s="68"/>
      <c r="J771" s="7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  <c r="Z771" s="68"/>
      <c r="AA771" s="68"/>
      <c r="AB771" s="68"/>
      <c r="AC771" s="68"/>
      <c r="AD771" s="68"/>
      <c r="AE771" s="68"/>
    </row>
    <row r="772" ht="26.25" customHeight="1">
      <c r="A772" s="68"/>
      <c r="B772" s="68"/>
      <c r="C772" s="61" t="s">
        <v>129</v>
      </c>
      <c r="D772" s="61" t="s">
        <v>130</v>
      </c>
      <c r="E772" s="68"/>
      <c r="F772" s="68"/>
      <c r="G772" s="68"/>
      <c r="H772" s="68"/>
      <c r="I772" s="68"/>
      <c r="J772" s="7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  <c r="Z772" s="68"/>
      <c r="AA772" s="68"/>
      <c r="AB772" s="68"/>
      <c r="AC772" s="68"/>
      <c r="AD772" s="68"/>
      <c r="AE772" s="68"/>
    </row>
    <row r="773" ht="26.25" customHeight="1">
      <c r="A773" s="68"/>
      <c r="B773" s="68"/>
      <c r="C773" s="61" t="s">
        <v>129</v>
      </c>
      <c r="D773" s="61" t="s">
        <v>130</v>
      </c>
      <c r="E773" s="68"/>
      <c r="F773" s="68"/>
      <c r="G773" s="68"/>
      <c r="H773" s="68"/>
      <c r="I773" s="68"/>
      <c r="J773" s="7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  <c r="Z773" s="68"/>
      <c r="AA773" s="68"/>
      <c r="AB773" s="68"/>
      <c r="AC773" s="68"/>
      <c r="AD773" s="68"/>
      <c r="AE773" s="68"/>
    </row>
    <row r="774" ht="26.25" customHeight="1">
      <c r="A774" s="68"/>
      <c r="B774" s="68"/>
      <c r="C774" s="61" t="s">
        <v>129</v>
      </c>
      <c r="D774" s="61" t="s">
        <v>130</v>
      </c>
      <c r="E774" s="68"/>
      <c r="F774" s="68"/>
      <c r="G774" s="68"/>
      <c r="H774" s="68"/>
      <c r="I774" s="68"/>
      <c r="J774" s="7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  <c r="Z774" s="68"/>
      <c r="AA774" s="68"/>
      <c r="AB774" s="68"/>
      <c r="AC774" s="68"/>
      <c r="AD774" s="68"/>
      <c r="AE774" s="68"/>
    </row>
    <row r="775" ht="26.25" customHeight="1">
      <c r="A775" s="68"/>
      <c r="B775" s="68"/>
      <c r="C775" s="61" t="s">
        <v>129</v>
      </c>
      <c r="D775" s="61" t="s">
        <v>130</v>
      </c>
      <c r="E775" s="68"/>
      <c r="F775" s="68"/>
      <c r="G775" s="68"/>
      <c r="H775" s="68"/>
      <c r="I775" s="68"/>
      <c r="J775" s="7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  <c r="Z775" s="68"/>
      <c r="AA775" s="68"/>
      <c r="AB775" s="68"/>
      <c r="AC775" s="68"/>
      <c r="AD775" s="68"/>
      <c r="AE775" s="68"/>
    </row>
    <row r="776" ht="26.25" customHeight="1">
      <c r="A776" s="68"/>
      <c r="B776" s="68"/>
      <c r="C776" s="61" t="s">
        <v>129</v>
      </c>
      <c r="D776" s="61" t="s">
        <v>130</v>
      </c>
      <c r="E776" s="68"/>
      <c r="F776" s="68"/>
      <c r="G776" s="68"/>
      <c r="H776" s="68"/>
      <c r="I776" s="68"/>
      <c r="J776" s="7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  <c r="Z776" s="68"/>
      <c r="AA776" s="68"/>
      <c r="AB776" s="68"/>
      <c r="AC776" s="68"/>
      <c r="AD776" s="68"/>
      <c r="AE776" s="68"/>
    </row>
    <row r="777" ht="26.25" customHeight="1">
      <c r="A777" s="68"/>
      <c r="B777" s="68"/>
      <c r="C777" s="61" t="s">
        <v>129</v>
      </c>
      <c r="D777" s="61" t="s">
        <v>130</v>
      </c>
      <c r="E777" s="68"/>
      <c r="F777" s="68"/>
      <c r="G777" s="68"/>
      <c r="H777" s="68"/>
      <c r="I777" s="68"/>
      <c r="J777" s="7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  <c r="Z777" s="68"/>
      <c r="AA777" s="68"/>
      <c r="AB777" s="68"/>
      <c r="AC777" s="68"/>
      <c r="AD777" s="68"/>
      <c r="AE777" s="68"/>
    </row>
    <row r="778" ht="26.25" customHeight="1">
      <c r="A778" s="68"/>
      <c r="B778" s="68"/>
      <c r="C778" s="61" t="s">
        <v>129</v>
      </c>
      <c r="D778" s="61" t="s">
        <v>130</v>
      </c>
      <c r="E778" s="68"/>
      <c r="F778" s="68"/>
      <c r="G778" s="68"/>
      <c r="H778" s="68"/>
      <c r="I778" s="68"/>
      <c r="J778" s="7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  <c r="AA778" s="68"/>
      <c r="AB778" s="68"/>
      <c r="AC778" s="68"/>
      <c r="AD778" s="68"/>
      <c r="AE778" s="68"/>
    </row>
    <row r="779" ht="26.25" customHeight="1">
      <c r="A779" s="68"/>
      <c r="B779" s="68"/>
      <c r="C779" s="61" t="s">
        <v>129</v>
      </c>
      <c r="D779" s="61" t="s">
        <v>130</v>
      </c>
      <c r="E779" s="68"/>
      <c r="F779" s="68"/>
      <c r="G779" s="68"/>
      <c r="H779" s="68"/>
      <c r="I779" s="68"/>
      <c r="J779" s="7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  <c r="AA779" s="68"/>
      <c r="AB779" s="68"/>
      <c r="AC779" s="68"/>
      <c r="AD779" s="68"/>
      <c r="AE779" s="68"/>
    </row>
    <row r="780" ht="26.25" customHeight="1">
      <c r="A780" s="68"/>
      <c r="B780" s="68"/>
      <c r="C780" s="61" t="s">
        <v>129</v>
      </c>
      <c r="D780" s="61" t="s">
        <v>130</v>
      </c>
      <c r="E780" s="68"/>
      <c r="F780" s="68"/>
      <c r="G780" s="68"/>
      <c r="H780" s="68"/>
      <c r="I780" s="68"/>
      <c r="J780" s="7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  <c r="AA780" s="68"/>
      <c r="AB780" s="68"/>
      <c r="AC780" s="68"/>
      <c r="AD780" s="68"/>
      <c r="AE780" s="68"/>
    </row>
    <row r="781" ht="26.25" customHeight="1">
      <c r="A781" s="68"/>
      <c r="B781" s="68"/>
      <c r="C781" s="61" t="s">
        <v>129</v>
      </c>
      <c r="D781" s="61" t="s">
        <v>130</v>
      </c>
      <c r="E781" s="68"/>
      <c r="F781" s="68"/>
      <c r="G781" s="68"/>
      <c r="H781" s="68"/>
      <c r="I781" s="68"/>
      <c r="J781" s="7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  <c r="AA781" s="68"/>
      <c r="AB781" s="68"/>
      <c r="AC781" s="68"/>
      <c r="AD781" s="68"/>
      <c r="AE781" s="68"/>
    </row>
    <row r="782" ht="26.25" customHeight="1">
      <c r="A782" s="68"/>
      <c r="B782" s="68"/>
      <c r="C782" s="61" t="s">
        <v>129</v>
      </c>
      <c r="D782" s="61" t="s">
        <v>130</v>
      </c>
      <c r="E782" s="68"/>
      <c r="F782" s="68"/>
      <c r="G782" s="68"/>
      <c r="H782" s="68"/>
      <c r="I782" s="68"/>
      <c r="J782" s="7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  <c r="Z782" s="68"/>
      <c r="AA782" s="68"/>
      <c r="AB782" s="68"/>
      <c r="AC782" s="68"/>
      <c r="AD782" s="68"/>
      <c r="AE782" s="68"/>
    </row>
    <row r="783" ht="26.25" customHeight="1">
      <c r="A783" s="68"/>
      <c r="B783" s="68"/>
      <c r="C783" s="61" t="s">
        <v>129</v>
      </c>
      <c r="D783" s="61" t="s">
        <v>130</v>
      </c>
      <c r="E783" s="68"/>
      <c r="F783" s="68"/>
      <c r="G783" s="68"/>
      <c r="H783" s="68"/>
      <c r="I783" s="68"/>
      <c r="J783" s="7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  <c r="Z783" s="68"/>
      <c r="AA783" s="68"/>
      <c r="AB783" s="68"/>
      <c r="AC783" s="68"/>
      <c r="AD783" s="68"/>
      <c r="AE783" s="68"/>
    </row>
    <row r="784" ht="26.25" customHeight="1">
      <c r="A784" s="68"/>
      <c r="B784" s="68"/>
      <c r="C784" s="61" t="s">
        <v>129</v>
      </c>
      <c r="D784" s="61" t="s">
        <v>130</v>
      </c>
      <c r="E784" s="68"/>
      <c r="F784" s="68"/>
      <c r="G784" s="68"/>
      <c r="H784" s="68"/>
      <c r="I784" s="68"/>
      <c r="J784" s="7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  <c r="Z784" s="68"/>
      <c r="AA784" s="68"/>
      <c r="AB784" s="68"/>
      <c r="AC784" s="68"/>
      <c r="AD784" s="68"/>
      <c r="AE784" s="68"/>
    </row>
    <row r="785" ht="26.25" customHeight="1">
      <c r="A785" s="68"/>
      <c r="B785" s="68"/>
      <c r="C785" s="61" t="s">
        <v>129</v>
      </c>
      <c r="D785" s="61" t="s">
        <v>130</v>
      </c>
      <c r="E785" s="68"/>
      <c r="F785" s="68"/>
      <c r="G785" s="68"/>
      <c r="H785" s="68"/>
      <c r="I785" s="68"/>
      <c r="J785" s="7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  <c r="Z785" s="68"/>
      <c r="AA785" s="68"/>
      <c r="AB785" s="68"/>
      <c r="AC785" s="68"/>
      <c r="AD785" s="68"/>
      <c r="AE785" s="68"/>
    </row>
    <row r="786" ht="26.25" customHeight="1">
      <c r="A786" s="68"/>
      <c r="B786" s="68"/>
      <c r="C786" s="61" t="s">
        <v>129</v>
      </c>
      <c r="D786" s="61" t="s">
        <v>130</v>
      </c>
      <c r="E786" s="68"/>
      <c r="F786" s="68"/>
      <c r="G786" s="68"/>
      <c r="H786" s="68"/>
      <c r="I786" s="68"/>
      <c r="J786" s="7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  <c r="Z786" s="68"/>
      <c r="AA786" s="68"/>
      <c r="AB786" s="68"/>
      <c r="AC786" s="68"/>
      <c r="AD786" s="68"/>
      <c r="AE786" s="68"/>
    </row>
    <row r="787" ht="26.25" customHeight="1">
      <c r="A787" s="68"/>
      <c r="B787" s="68"/>
      <c r="C787" s="61" t="s">
        <v>129</v>
      </c>
      <c r="D787" s="61" t="s">
        <v>130</v>
      </c>
      <c r="E787" s="68"/>
      <c r="F787" s="68"/>
      <c r="G787" s="68"/>
      <c r="H787" s="68"/>
      <c r="I787" s="68"/>
      <c r="J787" s="7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  <c r="Z787" s="68"/>
      <c r="AA787" s="68"/>
      <c r="AB787" s="68"/>
      <c r="AC787" s="68"/>
      <c r="AD787" s="68"/>
      <c r="AE787" s="68"/>
    </row>
    <row r="788" ht="26.25" customHeight="1">
      <c r="A788" s="68"/>
      <c r="B788" s="68"/>
      <c r="C788" s="61" t="s">
        <v>129</v>
      </c>
      <c r="D788" s="61" t="s">
        <v>130</v>
      </c>
      <c r="E788" s="68"/>
      <c r="F788" s="68"/>
      <c r="G788" s="68"/>
      <c r="H788" s="68"/>
      <c r="I788" s="68"/>
      <c r="J788" s="7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  <c r="Z788" s="68"/>
      <c r="AA788" s="68"/>
      <c r="AB788" s="68"/>
      <c r="AC788" s="68"/>
      <c r="AD788" s="68"/>
      <c r="AE788" s="68"/>
    </row>
    <row r="789" ht="26.25" customHeight="1">
      <c r="A789" s="68"/>
      <c r="B789" s="68"/>
      <c r="C789" s="61" t="s">
        <v>129</v>
      </c>
      <c r="D789" s="61" t="s">
        <v>130</v>
      </c>
      <c r="E789" s="68"/>
      <c r="F789" s="68"/>
      <c r="G789" s="68"/>
      <c r="H789" s="68"/>
      <c r="I789" s="68"/>
      <c r="J789" s="7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  <c r="Z789" s="68"/>
      <c r="AA789" s="68"/>
      <c r="AB789" s="68"/>
      <c r="AC789" s="68"/>
      <c r="AD789" s="68"/>
      <c r="AE789" s="68"/>
    </row>
    <row r="790" ht="26.25" customHeight="1">
      <c r="A790" s="68"/>
      <c r="B790" s="68"/>
      <c r="C790" s="61" t="s">
        <v>129</v>
      </c>
      <c r="D790" s="61" t="s">
        <v>130</v>
      </c>
      <c r="E790" s="68"/>
      <c r="F790" s="68"/>
      <c r="G790" s="68"/>
      <c r="H790" s="68"/>
      <c r="I790" s="68"/>
      <c r="J790" s="7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  <c r="Z790" s="68"/>
      <c r="AA790" s="68"/>
      <c r="AB790" s="68"/>
      <c r="AC790" s="68"/>
      <c r="AD790" s="68"/>
      <c r="AE790" s="68"/>
    </row>
    <row r="791" ht="26.25" customHeight="1">
      <c r="A791" s="68"/>
      <c r="B791" s="68"/>
      <c r="C791" s="61" t="s">
        <v>129</v>
      </c>
      <c r="D791" s="61" t="s">
        <v>130</v>
      </c>
      <c r="E791" s="68"/>
      <c r="F791" s="68"/>
      <c r="G791" s="68"/>
      <c r="H791" s="68"/>
      <c r="I791" s="68"/>
      <c r="J791" s="7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  <c r="Z791" s="68"/>
      <c r="AA791" s="68"/>
      <c r="AB791" s="68"/>
      <c r="AC791" s="68"/>
      <c r="AD791" s="68"/>
      <c r="AE791" s="68"/>
    </row>
    <row r="792" ht="26.25" customHeight="1">
      <c r="A792" s="68"/>
      <c r="B792" s="68"/>
      <c r="C792" s="61" t="s">
        <v>129</v>
      </c>
      <c r="D792" s="61" t="s">
        <v>130</v>
      </c>
      <c r="E792" s="68"/>
      <c r="F792" s="68"/>
      <c r="G792" s="68"/>
      <c r="H792" s="68"/>
      <c r="I792" s="68"/>
      <c r="J792" s="7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  <c r="Z792" s="68"/>
      <c r="AA792" s="68"/>
      <c r="AB792" s="68"/>
      <c r="AC792" s="68"/>
      <c r="AD792" s="68"/>
      <c r="AE792" s="68"/>
    </row>
    <row r="793" ht="26.25" customHeight="1">
      <c r="A793" s="68"/>
      <c r="B793" s="68"/>
      <c r="C793" s="61" t="s">
        <v>129</v>
      </c>
      <c r="D793" s="61" t="s">
        <v>130</v>
      </c>
      <c r="E793" s="68"/>
      <c r="F793" s="68"/>
      <c r="G793" s="68"/>
      <c r="H793" s="68"/>
      <c r="I793" s="68"/>
      <c r="J793" s="7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  <c r="Z793" s="68"/>
      <c r="AA793" s="68"/>
      <c r="AB793" s="68"/>
      <c r="AC793" s="68"/>
      <c r="AD793" s="68"/>
      <c r="AE793" s="68"/>
    </row>
    <row r="794" ht="26.25" customHeight="1">
      <c r="A794" s="68"/>
      <c r="B794" s="68"/>
      <c r="C794" s="61" t="s">
        <v>129</v>
      </c>
      <c r="D794" s="61" t="s">
        <v>130</v>
      </c>
      <c r="E794" s="68"/>
      <c r="F794" s="68"/>
      <c r="G794" s="68"/>
      <c r="H794" s="68"/>
      <c r="I794" s="68"/>
      <c r="J794" s="7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  <c r="Z794" s="68"/>
      <c r="AA794" s="68"/>
      <c r="AB794" s="68"/>
      <c r="AC794" s="68"/>
      <c r="AD794" s="68"/>
      <c r="AE794" s="68"/>
    </row>
    <row r="795" ht="26.25" customHeight="1">
      <c r="A795" s="68"/>
      <c r="B795" s="68"/>
      <c r="C795" s="61" t="s">
        <v>129</v>
      </c>
      <c r="D795" s="61" t="s">
        <v>130</v>
      </c>
      <c r="E795" s="68"/>
      <c r="F795" s="68"/>
      <c r="G795" s="68"/>
      <c r="H795" s="68"/>
      <c r="I795" s="68"/>
      <c r="J795" s="7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  <c r="Z795" s="68"/>
      <c r="AA795" s="68"/>
      <c r="AB795" s="68"/>
      <c r="AC795" s="68"/>
      <c r="AD795" s="68"/>
      <c r="AE795" s="68"/>
    </row>
    <row r="796" ht="26.25" customHeight="1">
      <c r="A796" s="68"/>
      <c r="B796" s="68"/>
      <c r="C796" s="61" t="s">
        <v>129</v>
      </c>
      <c r="D796" s="61" t="s">
        <v>130</v>
      </c>
      <c r="E796" s="68"/>
      <c r="F796" s="68"/>
      <c r="G796" s="68"/>
      <c r="H796" s="68"/>
      <c r="I796" s="68"/>
      <c r="J796" s="7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  <c r="Z796" s="68"/>
      <c r="AA796" s="68"/>
      <c r="AB796" s="68"/>
      <c r="AC796" s="68"/>
      <c r="AD796" s="68"/>
      <c r="AE796" s="68"/>
    </row>
    <row r="797" ht="26.25" customHeight="1">
      <c r="A797" s="68"/>
      <c r="B797" s="68"/>
      <c r="C797" s="61" t="s">
        <v>129</v>
      </c>
      <c r="D797" s="61" t="s">
        <v>130</v>
      </c>
      <c r="E797" s="68"/>
      <c r="F797" s="68"/>
      <c r="G797" s="68"/>
      <c r="H797" s="68"/>
      <c r="I797" s="68"/>
      <c r="J797" s="7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  <c r="Z797" s="68"/>
      <c r="AA797" s="68"/>
      <c r="AB797" s="68"/>
      <c r="AC797" s="68"/>
      <c r="AD797" s="68"/>
      <c r="AE797" s="68"/>
    </row>
    <row r="798" ht="26.25" customHeight="1">
      <c r="A798" s="68"/>
      <c r="B798" s="68"/>
      <c r="C798" s="61" t="s">
        <v>129</v>
      </c>
      <c r="D798" s="61" t="s">
        <v>130</v>
      </c>
      <c r="E798" s="68"/>
      <c r="F798" s="68"/>
      <c r="G798" s="68"/>
      <c r="H798" s="68"/>
      <c r="I798" s="68"/>
      <c r="J798" s="7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  <c r="Z798" s="68"/>
      <c r="AA798" s="68"/>
      <c r="AB798" s="68"/>
      <c r="AC798" s="68"/>
      <c r="AD798" s="68"/>
      <c r="AE798" s="68"/>
    </row>
    <row r="799" ht="26.25" customHeight="1">
      <c r="A799" s="68"/>
      <c r="B799" s="68"/>
      <c r="C799" s="61" t="s">
        <v>129</v>
      </c>
      <c r="D799" s="61" t="s">
        <v>130</v>
      </c>
      <c r="E799" s="68"/>
      <c r="F799" s="68"/>
      <c r="G799" s="68"/>
      <c r="H799" s="68"/>
      <c r="I799" s="68"/>
      <c r="J799" s="7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  <c r="Z799" s="68"/>
      <c r="AA799" s="68"/>
      <c r="AB799" s="68"/>
      <c r="AC799" s="68"/>
      <c r="AD799" s="68"/>
      <c r="AE799" s="68"/>
    </row>
    <row r="800" ht="26.25" customHeight="1">
      <c r="A800" s="68"/>
      <c r="B800" s="68"/>
      <c r="C800" s="61" t="s">
        <v>129</v>
      </c>
      <c r="D800" s="61" t="s">
        <v>130</v>
      </c>
      <c r="E800" s="68"/>
      <c r="F800" s="68"/>
      <c r="G800" s="68"/>
      <c r="H800" s="68"/>
      <c r="I800" s="68"/>
      <c r="J800" s="7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  <c r="Z800" s="68"/>
      <c r="AA800" s="68"/>
      <c r="AB800" s="68"/>
      <c r="AC800" s="68"/>
      <c r="AD800" s="68"/>
      <c r="AE800" s="68"/>
    </row>
    <row r="801" ht="26.25" customHeight="1">
      <c r="A801" s="68"/>
      <c r="B801" s="68"/>
      <c r="C801" s="61" t="s">
        <v>129</v>
      </c>
      <c r="D801" s="61" t="s">
        <v>130</v>
      </c>
      <c r="E801" s="68"/>
      <c r="F801" s="68"/>
      <c r="G801" s="68"/>
      <c r="H801" s="68"/>
      <c r="I801" s="68"/>
      <c r="J801" s="7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  <c r="AA801" s="68"/>
      <c r="AB801" s="68"/>
      <c r="AC801" s="68"/>
      <c r="AD801" s="68"/>
      <c r="AE801" s="68"/>
    </row>
    <row r="802" ht="26.25" customHeight="1">
      <c r="A802" s="68"/>
      <c r="B802" s="68"/>
      <c r="C802" s="61" t="s">
        <v>129</v>
      </c>
      <c r="D802" s="61" t="s">
        <v>130</v>
      </c>
      <c r="E802" s="68"/>
      <c r="F802" s="68"/>
      <c r="G802" s="68"/>
      <c r="H802" s="68"/>
      <c r="I802" s="68"/>
      <c r="J802" s="7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  <c r="Z802" s="68"/>
      <c r="AA802" s="68"/>
      <c r="AB802" s="68"/>
      <c r="AC802" s="68"/>
      <c r="AD802" s="68"/>
      <c r="AE802" s="68"/>
    </row>
    <row r="803" ht="26.25" customHeight="1">
      <c r="A803" s="68"/>
      <c r="B803" s="68"/>
      <c r="C803" s="61" t="s">
        <v>129</v>
      </c>
      <c r="D803" s="61" t="s">
        <v>130</v>
      </c>
      <c r="E803" s="68"/>
      <c r="F803" s="68"/>
      <c r="G803" s="68"/>
      <c r="H803" s="68"/>
      <c r="I803" s="68"/>
      <c r="J803" s="7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  <c r="Z803" s="68"/>
      <c r="AA803" s="68"/>
      <c r="AB803" s="68"/>
      <c r="AC803" s="68"/>
      <c r="AD803" s="68"/>
      <c r="AE803" s="68"/>
    </row>
    <row r="804" ht="26.25" customHeight="1">
      <c r="A804" s="68"/>
      <c r="B804" s="68"/>
      <c r="C804" s="61" t="s">
        <v>129</v>
      </c>
      <c r="D804" s="61" t="s">
        <v>130</v>
      </c>
      <c r="E804" s="68"/>
      <c r="F804" s="68"/>
      <c r="G804" s="68"/>
      <c r="H804" s="68"/>
      <c r="I804" s="68"/>
      <c r="J804" s="7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  <c r="Z804" s="68"/>
      <c r="AA804" s="68"/>
      <c r="AB804" s="68"/>
      <c r="AC804" s="68"/>
      <c r="AD804" s="68"/>
      <c r="AE804" s="68"/>
    </row>
    <row r="805" ht="26.25" customHeight="1">
      <c r="A805" s="68"/>
      <c r="B805" s="68"/>
      <c r="C805" s="61" t="s">
        <v>129</v>
      </c>
      <c r="D805" s="61" t="s">
        <v>130</v>
      </c>
      <c r="E805" s="68"/>
      <c r="F805" s="68"/>
      <c r="G805" s="68"/>
      <c r="H805" s="68"/>
      <c r="I805" s="68"/>
      <c r="J805" s="7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  <c r="Z805" s="68"/>
      <c r="AA805" s="68"/>
      <c r="AB805" s="68"/>
      <c r="AC805" s="68"/>
      <c r="AD805" s="68"/>
      <c r="AE805" s="68"/>
    </row>
    <row r="806" ht="26.25" customHeight="1">
      <c r="A806" s="68"/>
      <c r="B806" s="68"/>
      <c r="C806" s="61" t="s">
        <v>129</v>
      </c>
      <c r="D806" s="61" t="s">
        <v>130</v>
      </c>
      <c r="E806" s="68"/>
      <c r="F806" s="68"/>
      <c r="G806" s="68"/>
      <c r="H806" s="68"/>
      <c r="I806" s="68"/>
      <c r="J806" s="7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  <c r="Z806" s="68"/>
      <c r="AA806" s="68"/>
      <c r="AB806" s="68"/>
      <c r="AC806" s="68"/>
      <c r="AD806" s="68"/>
      <c r="AE806" s="68"/>
    </row>
    <row r="807" ht="26.25" customHeight="1">
      <c r="A807" s="68"/>
      <c r="B807" s="68"/>
      <c r="C807" s="61" t="s">
        <v>129</v>
      </c>
      <c r="D807" s="61" t="s">
        <v>130</v>
      </c>
      <c r="E807" s="68"/>
      <c r="F807" s="68"/>
      <c r="G807" s="68"/>
      <c r="H807" s="68"/>
      <c r="I807" s="68"/>
      <c r="J807" s="7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  <c r="Z807" s="68"/>
      <c r="AA807" s="68"/>
      <c r="AB807" s="68"/>
      <c r="AC807" s="68"/>
      <c r="AD807" s="68"/>
      <c r="AE807" s="68"/>
    </row>
    <row r="808" ht="26.25" customHeight="1">
      <c r="A808" s="68"/>
      <c r="B808" s="68"/>
      <c r="C808" s="61" t="s">
        <v>129</v>
      </c>
      <c r="D808" s="61" t="s">
        <v>130</v>
      </c>
      <c r="E808" s="68"/>
      <c r="F808" s="68"/>
      <c r="G808" s="68"/>
      <c r="H808" s="68"/>
      <c r="I808" s="68"/>
      <c r="J808" s="7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  <c r="Z808" s="68"/>
      <c r="AA808" s="68"/>
      <c r="AB808" s="68"/>
      <c r="AC808" s="68"/>
      <c r="AD808" s="68"/>
      <c r="AE808" s="68"/>
    </row>
    <row r="809" ht="26.25" customHeight="1">
      <c r="A809" s="68"/>
      <c r="B809" s="68"/>
      <c r="C809" s="61" t="s">
        <v>129</v>
      </c>
      <c r="D809" s="61" t="s">
        <v>130</v>
      </c>
      <c r="E809" s="68"/>
      <c r="F809" s="68"/>
      <c r="G809" s="68"/>
      <c r="H809" s="68"/>
      <c r="I809" s="68"/>
      <c r="J809" s="7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  <c r="Z809" s="68"/>
      <c r="AA809" s="68"/>
      <c r="AB809" s="68"/>
      <c r="AC809" s="68"/>
      <c r="AD809" s="68"/>
      <c r="AE809" s="68"/>
    </row>
    <row r="810" ht="26.25" customHeight="1">
      <c r="A810" s="68"/>
      <c r="B810" s="68"/>
      <c r="C810" s="61" t="s">
        <v>129</v>
      </c>
      <c r="D810" s="61" t="s">
        <v>130</v>
      </c>
      <c r="E810" s="68"/>
      <c r="F810" s="68"/>
      <c r="G810" s="68"/>
      <c r="H810" s="68"/>
      <c r="I810" s="68"/>
      <c r="J810" s="7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  <c r="Z810" s="68"/>
      <c r="AA810" s="68"/>
      <c r="AB810" s="68"/>
      <c r="AC810" s="68"/>
      <c r="AD810" s="68"/>
      <c r="AE810" s="68"/>
    </row>
    <row r="811" ht="26.25" customHeight="1">
      <c r="A811" s="68"/>
      <c r="B811" s="68"/>
      <c r="C811" s="61" t="s">
        <v>129</v>
      </c>
      <c r="D811" s="61" t="s">
        <v>130</v>
      </c>
      <c r="E811" s="68"/>
      <c r="F811" s="68"/>
      <c r="G811" s="68"/>
      <c r="H811" s="68"/>
      <c r="I811" s="68"/>
      <c r="J811" s="78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  <c r="Y811" s="68"/>
      <c r="Z811" s="68"/>
      <c r="AA811" s="68"/>
      <c r="AB811" s="68"/>
      <c r="AC811" s="68"/>
      <c r="AD811" s="68"/>
      <c r="AE811" s="68"/>
    </row>
    <row r="812" ht="26.25" customHeight="1">
      <c r="A812" s="68"/>
      <c r="B812" s="68"/>
      <c r="C812" s="61" t="s">
        <v>129</v>
      </c>
      <c r="D812" s="61" t="s">
        <v>130</v>
      </c>
      <c r="E812" s="68"/>
      <c r="F812" s="68"/>
      <c r="G812" s="68"/>
      <c r="H812" s="68"/>
      <c r="I812" s="68"/>
      <c r="J812" s="78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  <c r="Y812" s="68"/>
      <c r="Z812" s="68"/>
      <c r="AA812" s="68"/>
      <c r="AB812" s="68"/>
      <c r="AC812" s="68"/>
      <c r="AD812" s="68"/>
      <c r="AE812" s="68"/>
    </row>
    <row r="813" ht="26.25" customHeight="1">
      <c r="A813" s="68"/>
      <c r="B813" s="68"/>
      <c r="C813" s="61" t="s">
        <v>129</v>
      </c>
      <c r="D813" s="61" t="s">
        <v>130</v>
      </c>
      <c r="E813" s="68"/>
      <c r="F813" s="68"/>
      <c r="G813" s="68"/>
      <c r="H813" s="68"/>
      <c r="I813" s="68"/>
      <c r="J813" s="78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  <c r="Y813" s="68"/>
      <c r="Z813" s="68"/>
      <c r="AA813" s="68"/>
      <c r="AB813" s="68"/>
      <c r="AC813" s="68"/>
      <c r="AD813" s="68"/>
      <c r="AE813" s="68"/>
    </row>
    <row r="814" ht="26.25" customHeight="1">
      <c r="A814" s="68"/>
      <c r="B814" s="68"/>
      <c r="C814" s="61" t="s">
        <v>129</v>
      </c>
      <c r="D814" s="61" t="s">
        <v>130</v>
      </c>
      <c r="E814" s="68"/>
      <c r="F814" s="68"/>
      <c r="G814" s="68"/>
      <c r="H814" s="68"/>
      <c r="I814" s="68"/>
      <c r="J814" s="78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  <c r="Y814" s="68"/>
      <c r="Z814" s="68"/>
      <c r="AA814" s="68"/>
      <c r="AB814" s="68"/>
      <c r="AC814" s="68"/>
      <c r="AD814" s="68"/>
      <c r="AE814" s="68"/>
    </row>
    <row r="815" ht="26.25" customHeight="1">
      <c r="A815" s="68"/>
      <c r="B815" s="68"/>
      <c r="C815" s="61" t="s">
        <v>129</v>
      </c>
      <c r="D815" s="61" t="s">
        <v>130</v>
      </c>
      <c r="E815" s="68"/>
      <c r="F815" s="68"/>
      <c r="G815" s="68"/>
      <c r="H815" s="68"/>
      <c r="I815" s="68"/>
      <c r="J815" s="78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  <c r="Y815" s="68"/>
      <c r="Z815" s="68"/>
      <c r="AA815" s="68"/>
      <c r="AB815" s="68"/>
      <c r="AC815" s="68"/>
      <c r="AD815" s="68"/>
      <c r="AE815" s="68"/>
    </row>
    <row r="816" ht="26.25" customHeight="1">
      <c r="A816" s="68"/>
      <c r="B816" s="68"/>
      <c r="C816" s="61" t="s">
        <v>129</v>
      </c>
      <c r="D816" s="61" t="s">
        <v>130</v>
      </c>
      <c r="E816" s="68"/>
      <c r="F816" s="68"/>
      <c r="G816" s="68"/>
      <c r="H816" s="68"/>
      <c r="I816" s="68"/>
      <c r="J816" s="78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  <c r="Z816" s="68"/>
      <c r="AA816" s="68"/>
      <c r="AB816" s="68"/>
      <c r="AC816" s="68"/>
      <c r="AD816" s="68"/>
      <c r="AE816" s="68"/>
    </row>
    <row r="817" ht="26.25" customHeight="1">
      <c r="A817" s="68"/>
      <c r="B817" s="68"/>
      <c r="C817" s="61" t="s">
        <v>129</v>
      </c>
      <c r="D817" s="61" t="s">
        <v>130</v>
      </c>
      <c r="E817" s="68"/>
      <c r="F817" s="68"/>
      <c r="G817" s="68"/>
      <c r="H817" s="68"/>
      <c r="I817" s="68"/>
      <c r="J817" s="78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  <c r="Y817" s="68"/>
      <c r="Z817" s="68"/>
      <c r="AA817" s="68"/>
      <c r="AB817" s="68"/>
      <c r="AC817" s="68"/>
      <c r="AD817" s="68"/>
      <c r="AE817" s="68"/>
    </row>
    <row r="818" ht="26.25" customHeight="1">
      <c r="A818" s="68"/>
      <c r="B818" s="68"/>
      <c r="C818" s="61" t="s">
        <v>129</v>
      </c>
      <c r="D818" s="61" t="s">
        <v>130</v>
      </c>
      <c r="E818" s="68"/>
      <c r="F818" s="68"/>
      <c r="G818" s="68"/>
      <c r="H818" s="68"/>
      <c r="I818" s="68"/>
      <c r="J818" s="78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  <c r="Y818" s="68"/>
      <c r="Z818" s="68"/>
      <c r="AA818" s="68"/>
      <c r="AB818" s="68"/>
      <c r="AC818" s="68"/>
      <c r="AD818" s="68"/>
      <c r="AE818" s="68"/>
    </row>
    <row r="819" ht="26.25" customHeight="1">
      <c r="A819" s="68"/>
      <c r="B819" s="68"/>
      <c r="C819" s="61" t="s">
        <v>129</v>
      </c>
      <c r="D819" s="61" t="s">
        <v>130</v>
      </c>
      <c r="E819" s="68"/>
      <c r="F819" s="68"/>
      <c r="G819" s="68"/>
      <c r="H819" s="68"/>
      <c r="I819" s="68"/>
      <c r="J819" s="78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  <c r="Y819" s="68"/>
      <c r="Z819" s="68"/>
      <c r="AA819" s="68"/>
      <c r="AB819" s="68"/>
      <c r="AC819" s="68"/>
      <c r="AD819" s="68"/>
      <c r="AE819" s="68"/>
    </row>
    <row r="820" ht="26.25" customHeight="1">
      <c r="A820" s="68"/>
      <c r="B820" s="68"/>
      <c r="C820" s="61" t="s">
        <v>129</v>
      </c>
      <c r="D820" s="61" t="s">
        <v>130</v>
      </c>
      <c r="E820" s="68"/>
      <c r="F820" s="68"/>
      <c r="G820" s="68"/>
      <c r="H820" s="68"/>
      <c r="I820" s="68"/>
      <c r="J820" s="78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  <c r="Y820" s="68"/>
      <c r="Z820" s="68"/>
      <c r="AA820" s="68"/>
      <c r="AB820" s="68"/>
      <c r="AC820" s="68"/>
      <c r="AD820" s="68"/>
      <c r="AE820" s="68"/>
    </row>
    <row r="821" ht="26.25" customHeight="1">
      <c r="A821" s="68"/>
      <c r="B821" s="68"/>
      <c r="C821" s="61" t="s">
        <v>129</v>
      </c>
      <c r="D821" s="61" t="s">
        <v>130</v>
      </c>
      <c r="E821" s="68"/>
      <c r="F821" s="68"/>
      <c r="G821" s="68"/>
      <c r="H821" s="68"/>
      <c r="I821" s="68"/>
      <c r="J821" s="78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  <c r="Y821" s="68"/>
      <c r="Z821" s="68"/>
      <c r="AA821" s="68"/>
      <c r="AB821" s="68"/>
      <c r="AC821" s="68"/>
      <c r="AD821" s="68"/>
      <c r="AE821" s="68"/>
    </row>
    <row r="822" ht="26.25" customHeight="1">
      <c r="A822" s="68"/>
      <c r="B822" s="68"/>
      <c r="C822" s="61" t="s">
        <v>129</v>
      </c>
      <c r="D822" s="61" t="s">
        <v>130</v>
      </c>
      <c r="E822" s="68"/>
      <c r="F822" s="68"/>
      <c r="G822" s="68"/>
      <c r="H822" s="68"/>
      <c r="I822" s="68"/>
      <c r="J822" s="78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  <c r="Y822" s="68"/>
      <c r="Z822" s="68"/>
      <c r="AA822" s="68"/>
      <c r="AB822" s="68"/>
      <c r="AC822" s="68"/>
      <c r="AD822" s="68"/>
      <c r="AE822" s="68"/>
    </row>
    <row r="823" ht="26.25" customHeight="1">
      <c r="A823" s="68"/>
      <c r="B823" s="68"/>
      <c r="C823" s="61" t="s">
        <v>129</v>
      </c>
      <c r="D823" s="61" t="s">
        <v>130</v>
      </c>
      <c r="E823" s="68"/>
      <c r="F823" s="68"/>
      <c r="G823" s="68"/>
      <c r="H823" s="68"/>
      <c r="I823" s="68"/>
      <c r="J823" s="78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  <c r="Y823" s="68"/>
      <c r="Z823" s="68"/>
      <c r="AA823" s="68"/>
      <c r="AB823" s="68"/>
      <c r="AC823" s="68"/>
      <c r="AD823" s="68"/>
      <c r="AE823" s="68"/>
    </row>
    <row r="824" ht="26.25" customHeight="1">
      <c r="A824" s="68"/>
      <c r="B824" s="68"/>
      <c r="C824" s="61" t="s">
        <v>129</v>
      </c>
      <c r="D824" s="61" t="s">
        <v>130</v>
      </c>
      <c r="E824" s="68"/>
      <c r="F824" s="68"/>
      <c r="G824" s="68"/>
      <c r="H824" s="68"/>
      <c r="I824" s="68"/>
      <c r="J824" s="78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  <c r="Y824" s="68"/>
      <c r="Z824" s="68"/>
      <c r="AA824" s="68"/>
      <c r="AB824" s="68"/>
      <c r="AC824" s="68"/>
      <c r="AD824" s="68"/>
      <c r="AE824" s="68"/>
    </row>
    <row r="825" ht="26.25" customHeight="1">
      <c r="A825" s="68"/>
      <c r="B825" s="68"/>
      <c r="C825" s="61" t="s">
        <v>129</v>
      </c>
      <c r="D825" s="61" t="s">
        <v>130</v>
      </c>
      <c r="E825" s="68"/>
      <c r="F825" s="68"/>
      <c r="G825" s="68"/>
      <c r="H825" s="68"/>
      <c r="I825" s="68"/>
      <c r="J825" s="78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  <c r="Y825" s="68"/>
      <c r="Z825" s="68"/>
      <c r="AA825" s="68"/>
      <c r="AB825" s="68"/>
      <c r="AC825" s="68"/>
      <c r="AD825" s="68"/>
      <c r="AE825" s="68"/>
    </row>
    <row r="826" ht="26.25" customHeight="1">
      <c r="A826" s="68"/>
      <c r="B826" s="68"/>
      <c r="C826" s="61" t="s">
        <v>129</v>
      </c>
      <c r="D826" s="61" t="s">
        <v>130</v>
      </c>
      <c r="E826" s="68"/>
      <c r="F826" s="68"/>
      <c r="G826" s="68"/>
      <c r="H826" s="68"/>
      <c r="I826" s="68"/>
      <c r="J826" s="78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  <c r="Y826" s="68"/>
      <c r="Z826" s="68"/>
      <c r="AA826" s="68"/>
      <c r="AB826" s="68"/>
      <c r="AC826" s="68"/>
      <c r="AD826" s="68"/>
      <c r="AE826" s="68"/>
    </row>
    <row r="827" ht="26.25" customHeight="1">
      <c r="A827" s="68"/>
      <c r="B827" s="68"/>
      <c r="C827" s="61" t="s">
        <v>129</v>
      </c>
      <c r="D827" s="61" t="s">
        <v>130</v>
      </c>
      <c r="E827" s="68"/>
      <c r="F827" s="68"/>
      <c r="G827" s="68"/>
      <c r="H827" s="68"/>
      <c r="I827" s="68"/>
      <c r="J827" s="7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  <c r="Z827" s="68"/>
      <c r="AA827" s="68"/>
      <c r="AB827" s="68"/>
      <c r="AC827" s="68"/>
      <c r="AD827" s="68"/>
      <c r="AE827" s="68"/>
    </row>
    <row r="828" ht="26.25" customHeight="1">
      <c r="A828" s="68"/>
      <c r="B828" s="68"/>
      <c r="C828" s="61" t="s">
        <v>129</v>
      </c>
      <c r="D828" s="61" t="s">
        <v>130</v>
      </c>
      <c r="E828" s="68"/>
      <c r="F828" s="68"/>
      <c r="G828" s="68"/>
      <c r="H828" s="68"/>
      <c r="I828" s="68"/>
      <c r="J828" s="78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  <c r="Y828" s="68"/>
      <c r="Z828" s="68"/>
      <c r="AA828" s="68"/>
      <c r="AB828" s="68"/>
      <c r="AC828" s="68"/>
      <c r="AD828" s="68"/>
      <c r="AE828" s="68"/>
    </row>
    <row r="829" ht="26.25" customHeight="1">
      <c r="A829" s="68"/>
      <c r="B829" s="68"/>
      <c r="C829" s="61" t="s">
        <v>129</v>
      </c>
      <c r="D829" s="61" t="s">
        <v>130</v>
      </c>
      <c r="E829" s="68"/>
      <c r="F829" s="68"/>
      <c r="G829" s="68"/>
      <c r="H829" s="68"/>
      <c r="I829" s="68"/>
      <c r="J829" s="78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  <c r="Y829" s="68"/>
      <c r="Z829" s="68"/>
      <c r="AA829" s="68"/>
      <c r="AB829" s="68"/>
      <c r="AC829" s="68"/>
      <c r="AD829" s="68"/>
      <c r="AE829" s="68"/>
    </row>
    <row r="830" ht="26.25" customHeight="1">
      <c r="A830" s="68"/>
      <c r="B830" s="68"/>
      <c r="C830" s="61" t="s">
        <v>129</v>
      </c>
      <c r="D830" s="61" t="s">
        <v>130</v>
      </c>
      <c r="E830" s="68"/>
      <c r="F830" s="68"/>
      <c r="G830" s="68"/>
      <c r="H830" s="68"/>
      <c r="I830" s="68"/>
      <c r="J830" s="7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  <c r="Z830" s="68"/>
      <c r="AA830" s="68"/>
      <c r="AB830" s="68"/>
      <c r="AC830" s="68"/>
      <c r="AD830" s="68"/>
      <c r="AE830" s="68"/>
    </row>
    <row r="831" ht="26.25" customHeight="1">
      <c r="A831" s="68"/>
      <c r="B831" s="68"/>
      <c r="C831" s="61" t="s">
        <v>129</v>
      </c>
      <c r="D831" s="61" t="s">
        <v>130</v>
      </c>
      <c r="E831" s="68"/>
      <c r="F831" s="68"/>
      <c r="G831" s="68"/>
      <c r="H831" s="68"/>
      <c r="I831" s="68"/>
      <c r="J831" s="78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  <c r="Y831" s="68"/>
      <c r="Z831" s="68"/>
      <c r="AA831" s="68"/>
      <c r="AB831" s="68"/>
      <c r="AC831" s="68"/>
      <c r="AD831" s="68"/>
      <c r="AE831" s="68"/>
    </row>
    <row r="832" ht="26.25" customHeight="1">
      <c r="A832" s="68"/>
      <c r="B832" s="68"/>
      <c r="C832" s="61" t="s">
        <v>129</v>
      </c>
      <c r="D832" s="61" t="s">
        <v>130</v>
      </c>
      <c r="E832" s="68"/>
      <c r="F832" s="68"/>
      <c r="G832" s="68"/>
      <c r="H832" s="68"/>
      <c r="I832" s="68"/>
      <c r="J832" s="78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  <c r="Y832" s="68"/>
      <c r="Z832" s="68"/>
      <c r="AA832" s="68"/>
      <c r="AB832" s="68"/>
      <c r="AC832" s="68"/>
      <c r="AD832" s="68"/>
      <c r="AE832" s="68"/>
    </row>
    <row r="833" ht="26.25" customHeight="1">
      <c r="A833" s="68"/>
      <c r="B833" s="68"/>
      <c r="C833" s="61" t="s">
        <v>129</v>
      </c>
      <c r="D833" s="61" t="s">
        <v>130</v>
      </c>
      <c r="E833" s="68"/>
      <c r="F833" s="68"/>
      <c r="G833" s="68"/>
      <c r="H833" s="68"/>
      <c r="I833" s="68"/>
      <c r="J833" s="78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  <c r="Y833" s="68"/>
      <c r="Z833" s="68"/>
      <c r="AA833" s="68"/>
      <c r="AB833" s="68"/>
      <c r="AC833" s="68"/>
      <c r="AD833" s="68"/>
      <c r="AE833" s="68"/>
    </row>
    <row r="834" ht="26.25" customHeight="1">
      <c r="A834" s="68"/>
      <c r="B834" s="68"/>
      <c r="C834" s="61" t="s">
        <v>129</v>
      </c>
      <c r="D834" s="61" t="s">
        <v>130</v>
      </c>
      <c r="E834" s="68"/>
      <c r="F834" s="68"/>
      <c r="G834" s="68"/>
      <c r="H834" s="68"/>
      <c r="I834" s="68"/>
      <c r="J834" s="78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  <c r="Y834" s="68"/>
      <c r="Z834" s="68"/>
      <c r="AA834" s="68"/>
      <c r="AB834" s="68"/>
      <c r="AC834" s="68"/>
      <c r="AD834" s="68"/>
      <c r="AE834" s="68"/>
    </row>
    <row r="835" ht="26.25" customHeight="1">
      <c r="A835" s="68"/>
      <c r="B835" s="68"/>
      <c r="C835" s="61" t="s">
        <v>129</v>
      </c>
      <c r="D835" s="61" t="s">
        <v>130</v>
      </c>
      <c r="E835" s="68"/>
      <c r="F835" s="68"/>
      <c r="G835" s="68"/>
      <c r="H835" s="68"/>
      <c r="I835" s="68"/>
      <c r="J835" s="78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  <c r="Y835" s="68"/>
      <c r="Z835" s="68"/>
      <c r="AA835" s="68"/>
      <c r="AB835" s="68"/>
      <c r="AC835" s="68"/>
      <c r="AD835" s="68"/>
      <c r="AE835" s="68"/>
    </row>
    <row r="836" ht="26.25" customHeight="1">
      <c r="A836" s="68"/>
      <c r="B836" s="68"/>
      <c r="C836" s="61" t="s">
        <v>129</v>
      </c>
      <c r="D836" s="61" t="s">
        <v>130</v>
      </c>
      <c r="E836" s="68"/>
      <c r="F836" s="68"/>
      <c r="G836" s="68"/>
      <c r="H836" s="68"/>
      <c r="I836" s="68"/>
      <c r="J836" s="78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  <c r="Y836" s="68"/>
      <c r="Z836" s="68"/>
      <c r="AA836" s="68"/>
      <c r="AB836" s="68"/>
      <c r="AC836" s="68"/>
      <c r="AD836" s="68"/>
      <c r="AE836" s="68"/>
    </row>
    <row r="837" ht="26.25" customHeight="1">
      <c r="A837" s="68"/>
      <c r="B837" s="68"/>
      <c r="C837" s="61" t="s">
        <v>129</v>
      </c>
      <c r="D837" s="61" t="s">
        <v>130</v>
      </c>
      <c r="E837" s="68"/>
      <c r="F837" s="68"/>
      <c r="G837" s="68"/>
      <c r="H837" s="68"/>
      <c r="I837" s="68"/>
      <c r="J837" s="7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  <c r="Z837" s="68"/>
      <c r="AA837" s="68"/>
      <c r="AB837" s="68"/>
      <c r="AC837" s="68"/>
      <c r="AD837" s="68"/>
      <c r="AE837" s="68"/>
    </row>
    <row r="838" ht="26.25" customHeight="1">
      <c r="A838" s="68"/>
      <c r="B838" s="68"/>
      <c r="C838" s="61" t="s">
        <v>129</v>
      </c>
      <c r="D838" s="61" t="s">
        <v>130</v>
      </c>
      <c r="E838" s="68"/>
      <c r="F838" s="68"/>
      <c r="G838" s="68"/>
      <c r="H838" s="68"/>
      <c r="I838" s="68"/>
      <c r="J838" s="78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  <c r="Y838" s="68"/>
      <c r="Z838" s="68"/>
      <c r="AA838" s="68"/>
      <c r="AB838" s="68"/>
      <c r="AC838" s="68"/>
      <c r="AD838" s="68"/>
      <c r="AE838" s="68"/>
    </row>
    <row r="839" ht="26.25" customHeight="1">
      <c r="A839" s="68"/>
      <c r="B839" s="68"/>
      <c r="C839" s="61" t="s">
        <v>129</v>
      </c>
      <c r="D839" s="61" t="s">
        <v>130</v>
      </c>
      <c r="E839" s="68"/>
      <c r="F839" s="68"/>
      <c r="G839" s="68"/>
      <c r="H839" s="68"/>
      <c r="I839" s="68"/>
      <c r="J839" s="7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  <c r="AA839" s="68"/>
      <c r="AB839" s="68"/>
      <c r="AC839" s="68"/>
      <c r="AD839" s="68"/>
      <c r="AE839" s="68"/>
    </row>
    <row r="840" ht="26.25" customHeight="1">
      <c r="A840" s="68"/>
      <c r="B840" s="68"/>
      <c r="C840" s="61" t="s">
        <v>129</v>
      </c>
      <c r="D840" s="61" t="s">
        <v>130</v>
      </c>
      <c r="E840" s="68"/>
      <c r="F840" s="68"/>
      <c r="G840" s="68"/>
      <c r="H840" s="68"/>
      <c r="I840" s="68"/>
      <c r="J840" s="78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  <c r="Y840" s="68"/>
      <c r="Z840" s="68"/>
      <c r="AA840" s="68"/>
      <c r="AB840" s="68"/>
      <c r="AC840" s="68"/>
      <c r="AD840" s="68"/>
      <c r="AE840" s="68"/>
    </row>
    <row r="841" ht="26.25" customHeight="1">
      <c r="A841" s="68"/>
      <c r="B841" s="68"/>
      <c r="C841" s="61" t="s">
        <v>129</v>
      </c>
      <c r="D841" s="61" t="s">
        <v>130</v>
      </c>
      <c r="E841" s="68"/>
      <c r="F841" s="68"/>
      <c r="G841" s="68"/>
      <c r="H841" s="68"/>
      <c r="I841" s="68"/>
      <c r="J841" s="78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  <c r="Y841" s="68"/>
      <c r="Z841" s="68"/>
      <c r="AA841" s="68"/>
      <c r="AB841" s="68"/>
      <c r="AC841" s="68"/>
      <c r="AD841" s="68"/>
      <c r="AE841" s="68"/>
    </row>
    <row r="842" ht="26.25" customHeight="1">
      <c r="A842" s="68"/>
      <c r="B842" s="68"/>
      <c r="C842" s="61" t="s">
        <v>129</v>
      </c>
      <c r="D842" s="61" t="s">
        <v>130</v>
      </c>
      <c r="E842" s="68"/>
      <c r="F842" s="68"/>
      <c r="G842" s="68"/>
      <c r="H842" s="68"/>
      <c r="I842" s="68"/>
      <c r="J842" s="78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  <c r="Y842" s="68"/>
      <c r="Z842" s="68"/>
      <c r="AA842" s="68"/>
      <c r="AB842" s="68"/>
      <c r="AC842" s="68"/>
      <c r="AD842" s="68"/>
      <c r="AE842" s="68"/>
    </row>
    <row r="843" ht="26.25" customHeight="1">
      <c r="A843" s="68"/>
      <c r="B843" s="68"/>
      <c r="C843" s="61" t="s">
        <v>129</v>
      </c>
      <c r="D843" s="61" t="s">
        <v>130</v>
      </c>
      <c r="E843" s="68"/>
      <c r="F843" s="68"/>
      <c r="G843" s="68"/>
      <c r="H843" s="68"/>
      <c r="I843" s="68"/>
      <c r="J843" s="78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  <c r="Y843" s="68"/>
      <c r="Z843" s="68"/>
      <c r="AA843" s="68"/>
      <c r="AB843" s="68"/>
      <c r="AC843" s="68"/>
      <c r="AD843" s="68"/>
      <c r="AE843" s="68"/>
    </row>
    <row r="844" ht="26.25" customHeight="1">
      <c r="A844" s="68"/>
      <c r="B844" s="68"/>
      <c r="C844" s="61" t="s">
        <v>129</v>
      </c>
      <c r="D844" s="61" t="s">
        <v>130</v>
      </c>
      <c r="E844" s="68"/>
      <c r="F844" s="68"/>
      <c r="G844" s="68"/>
      <c r="H844" s="68"/>
      <c r="I844" s="68"/>
      <c r="J844" s="78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  <c r="Y844" s="68"/>
      <c r="Z844" s="68"/>
      <c r="AA844" s="68"/>
      <c r="AB844" s="68"/>
      <c r="AC844" s="68"/>
      <c r="AD844" s="68"/>
      <c r="AE844" s="68"/>
    </row>
    <row r="845" ht="26.25" customHeight="1">
      <c r="A845" s="68"/>
      <c r="B845" s="68"/>
      <c r="C845" s="61" t="s">
        <v>129</v>
      </c>
      <c r="D845" s="61" t="s">
        <v>130</v>
      </c>
      <c r="E845" s="68"/>
      <c r="F845" s="68"/>
      <c r="G845" s="68"/>
      <c r="H845" s="68"/>
      <c r="I845" s="68"/>
      <c r="J845" s="78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  <c r="Y845" s="68"/>
      <c r="Z845" s="68"/>
      <c r="AA845" s="68"/>
      <c r="AB845" s="68"/>
      <c r="AC845" s="68"/>
      <c r="AD845" s="68"/>
      <c r="AE845" s="68"/>
    </row>
    <row r="846" ht="26.25" customHeight="1">
      <c r="A846" s="68"/>
      <c r="B846" s="68"/>
      <c r="C846" s="61" t="s">
        <v>129</v>
      </c>
      <c r="D846" s="61" t="s">
        <v>130</v>
      </c>
      <c r="E846" s="68"/>
      <c r="F846" s="68"/>
      <c r="G846" s="68"/>
      <c r="H846" s="68"/>
      <c r="I846" s="68"/>
      <c r="J846" s="78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  <c r="Y846" s="68"/>
      <c r="Z846" s="68"/>
      <c r="AA846" s="68"/>
      <c r="AB846" s="68"/>
      <c r="AC846" s="68"/>
      <c r="AD846" s="68"/>
      <c r="AE846" s="68"/>
    </row>
    <row r="847" ht="26.25" customHeight="1">
      <c r="A847" s="68"/>
      <c r="B847" s="68"/>
      <c r="C847" s="61" t="s">
        <v>129</v>
      </c>
      <c r="D847" s="61" t="s">
        <v>130</v>
      </c>
      <c r="E847" s="68"/>
      <c r="F847" s="68"/>
      <c r="G847" s="68"/>
      <c r="H847" s="68"/>
      <c r="I847" s="68"/>
      <c r="J847" s="78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  <c r="Y847" s="68"/>
      <c r="Z847" s="68"/>
      <c r="AA847" s="68"/>
      <c r="AB847" s="68"/>
      <c r="AC847" s="68"/>
      <c r="AD847" s="68"/>
      <c r="AE847" s="68"/>
    </row>
    <row r="848" ht="26.25" customHeight="1">
      <c r="A848" s="68"/>
      <c r="B848" s="68"/>
      <c r="C848" s="61" t="s">
        <v>129</v>
      </c>
      <c r="D848" s="61" t="s">
        <v>130</v>
      </c>
      <c r="E848" s="68"/>
      <c r="F848" s="68"/>
      <c r="G848" s="68"/>
      <c r="H848" s="68"/>
      <c r="I848" s="68"/>
      <c r="J848" s="78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  <c r="Y848" s="68"/>
      <c r="Z848" s="68"/>
      <c r="AA848" s="68"/>
      <c r="AB848" s="68"/>
      <c r="AC848" s="68"/>
      <c r="AD848" s="68"/>
      <c r="AE848" s="68"/>
    </row>
    <row r="849" ht="26.25" customHeight="1">
      <c r="A849" s="68"/>
      <c r="B849" s="68"/>
      <c r="C849" s="61" t="s">
        <v>129</v>
      </c>
      <c r="D849" s="61" t="s">
        <v>130</v>
      </c>
      <c r="E849" s="68"/>
      <c r="F849" s="68"/>
      <c r="G849" s="68"/>
      <c r="H849" s="68"/>
      <c r="I849" s="68"/>
      <c r="J849" s="78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  <c r="Z849" s="68"/>
      <c r="AA849" s="68"/>
      <c r="AB849" s="68"/>
      <c r="AC849" s="68"/>
      <c r="AD849" s="68"/>
      <c r="AE849" s="68"/>
    </row>
    <row r="850" ht="26.25" customHeight="1">
      <c r="A850" s="68"/>
      <c r="B850" s="68"/>
      <c r="C850" s="61" t="s">
        <v>129</v>
      </c>
      <c r="D850" s="61" t="s">
        <v>130</v>
      </c>
      <c r="E850" s="68"/>
      <c r="F850" s="68"/>
      <c r="G850" s="68"/>
      <c r="H850" s="68"/>
      <c r="I850" s="68"/>
      <c r="J850" s="78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  <c r="Y850" s="68"/>
      <c r="Z850" s="68"/>
      <c r="AA850" s="68"/>
      <c r="AB850" s="68"/>
      <c r="AC850" s="68"/>
      <c r="AD850" s="68"/>
      <c r="AE850" s="68"/>
    </row>
    <row r="851" ht="26.25" customHeight="1">
      <c r="A851" s="68"/>
      <c r="B851" s="68"/>
      <c r="C851" s="61" t="s">
        <v>129</v>
      </c>
      <c r="D851" s="61" t="s">
        <v>130</v>
      </c>
      <c r="E851" s="68"/>
      <c r="F851" s="68"/>
      <c r="G851" s="68"/>
      <c r="H851" s="68"/>
      <c r="I851" s="68"/>
      <c r="J851" s="78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  <c r="Y851" s="68"/>
      <c r="Z851" s="68"/>
      <c r="AA851" s="68"/>
      <c r="AB851" s="68"/>
      <c r="AC851" s="68"/>
      <c r="AD851" s="68"/>
      <c r="AE851" s="68"/>
    </row>
    <row r="852" ht="26.25" customHeight="1">
      <c r="A852" s="68"/>
      <c r="B852" s="68"/>
      <c r="C852" s="61" t="s">
        <v>129</v>
      </c>
      <c r="D852" s="61" t="s">
        <v>130</v>
      </c>
      <c r="E852" s="68"/>
      <c r="F852" s="68"/>
      <c r="G852" s="68"/>
      <c r="H852" s="68"/>
      <c r="I852" s="68"/>
      <c r="J852" s="78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  <c r="Y852" s="68"/>
      <c r="Z852" s="68"/>
      <c r="AA852" s="68"/>
      <c r="AB852" s="68"/>
      <c r="AC852" s="68"/>
      <c r="AD852" s="68"/>
      <c r="AE852" s="68"/>
    </row>
    <row r="853" ht="26.25" customHeight="1">
      <c r="A853" s="68"/>
      <c r="B853" s="68"/>
      <c r="C853" s="61" t="s">
        <v>129</v>
      </c>
      <c r="D853" s="61" t="s">
        <v>130</v>
      </c>
      <c r="E853" s="68"/>
      <c r="F853" s="68"/>
      <c r="G853" s="68"/>
      <c r="H853" s="68"/>
      <c r="I853" s="68"/>
      <c r="J853" s="78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  <c r="Y853" s="68"/>
      <c r="Z853" s="68"/>
      <c r="AA853" s="68"/>
      <c r="AB853" s="68"/>
      <c r="AC853" s="68"/>
      <c r="AD853" s="68"/>
      <c r="AE853" s="68"/>
    </row>
    <row r="854" ht="26.25" customHeight="1">
      <c r="A854" s="68"/>
      <c r="B854" s="68"/>
      <c r="C854" s="61" t="s">
        <v>129</v>
      </c>
      <c r="D854" s="61" t="s">
        <v>130</v>
      </c>
      <c r="E854" s="68"/>
      <c r="F854" s="68"/>
      <c r="G854" s="68"/>
      <c r="H854" s="68"/>
      <c r="I854" s="68"/>
      <c r="J854" s="78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  <c r="Y854" s="68"/>
      <c r="Z854" s="68"/>
      <c r="AA854" s="68"/>
      <c r="AB854" s="68"/>
      <c r="AC854" s="68"/>
      <c r="AD854" s="68"/>
      <c r="AE854" s="68"/>
    </row>
    <row r="855" ht="26.25" customHeight="1">
      <c r="A855" s="68"/>
      <c r="B855" s="68"/>
      <c r="C855" s="61" t="s">
        <v>129</v>
      </c>
      <c r="D855" s="61" t="s">
        <v>130</v>
      </c>
      <c r="E855" s="68"/>
      <c r="F855" s="68"/>
      <c r="G855" s="68"/>
      <c r="H855" s="68"/>
      <c r="I855" s="68"/>
      <c r="J855" s="78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  <c r="Y855" s="68"/>
      <c r="Z855" s="68"/>
      <c r="AA855" s="68"/>
      <c r="AB855" s="68"/>
      <c r="AC855" s="68"/>
      <c r="AD855" s="68"/>
      <c r="AE855" s="68"/>
    </row>
    <row r="856" ht="26.25" customHeight="1">
      <c r="A856" s="68"/>
      <c r="B856" s="68"/>
      <c r="C856" s="61" t="s">
        <v>129</v>
      </c>
      <c r="D856" s="61" t="s">
        <v>130</v>
      </c>
      <c r="E856" s="68"/>
      <c r="F856" s="68"/>
      <c r="G856" s="68"/>
      <c r="H856" s="68"/>
      <c r="I856" s="68"/>
      <c r="J856" s="78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  <c r="Y856" s="68"/>
      <c r="Z856" s="68"/>
      <c r="AA856" s="68"/>
      <c r="AB856" s="68"/>
      <c r="AC856" s="68"/>
      <c r="AD856" s="68"/>
      <c r="AE856" s="68"/>
    </row>
    <row r="857" ht="26.25" customHeight="1">
      <c r="A857" s="68"/>
      <c r="B857" s="68"/>
      <c r="C857" s="61" t="s">
        <v>129</v>
      </c>
      <c r="D857" s="61" t="s">
        <v>130</v>
      </c>
      <c r="E857" s="68"/>
      <c r="F857" s="68"/>
      <c r="G857" s="68"/>
      <c r="H857" s="68"/>
      <c r="I857" s="68"/>
      <c r="J857" s="78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  <c r="Y857" s="68"/>
      <c r="Z857" s="68"/>
      <c r="AA857" s="68"/>
      <c r="AB857" s="68"/>
      <c r="AC857" s="68"/>
      <c r="AD857" s="68"/>
      <c r="AE857" s="68"/>
    </row>
    <row r="858" ht="26.25" customHeight="1">
      <c r="A858" s="68"/>
      <c r="B858" s="68"/>
      <c r="C858" s="61" t="s">
        <v>129</v>
      </c>
      <c r="D858" s="61" t="s">
        <v>130</v>
      </c>
      <c r="E858" s="68"/>
      <c r="F858" s="68"/>
      <c r="G858" s="68"/>
      <c r="H858" s="68"/>
      <c r="I858" s="68"/>
      <c r="J858" s="78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  <c r="Y858" s="68"/>
      <c r="Z858" s="68"/>
      <c r="AA858" s="68"/>
      <c r="AB858" s="68"/>
      <c r="AC858" s="68"/>
      <c r="AD858" s="68"/>
      <c r="AE858" s="68"/>
    </row>
    <row r="859" ht="26.25" customHeight="1">
      <c r="A859" s="68"/>
      <c r="B859" s="68"/>
      <c r="C859" s="61" t="s">
        <v>129</v>
      </c>
      <c r="D859" s="61" t="s">
        <v>130</v>
      </c>
      <c r="E859" s="68"/>
      <c r="F859" s="68"/>
      <c r="G859" s="68"/>
      <c r="H859" s="68"/>
      <c r="I859" s="68"/>
      <c r="J859" s="78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  <c r="Y859" s="68"/>
      <c r="Z859" s="68"/>
      <c r="AA859" s="68"/>
      <c r="AB859" s="68"/>
      <c r="AC859" s="68"/>
      <c r="AD859" s="68"/>
      <c r="AE859" s="68"/>
    </row>
    <row r="860" ht="26.25" customHeight="1">
      <c r="A860" s="68"/>
      <c r="B860" s="68"/>
      <c r="C860" s="61" t="s">
        <v>129</v>
      </c>
      <c r="D860" s="61" t="s">
        <v>130</v>
      </c>
      <c r="E860" s="68"/>
      <c r="F860" s="68"/>
      <c r="G860" s="68"/>
      <c r="H860" s="68"/>
      <c r="I860" s="68"/>
      <c r="J860" s="78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  <c r="Y860" s="68"/>
      <c r="Z860" s="68"/>
      <c r="AA860" s="68"/>
      <c r="AB860" s="68"/>
      <c r="AC860" s="68"/>
      <c r="AD860" s="68"/>
      <c r="AE860" s="68"/>
    </row>
    <row r="861" ht="26.25" customHeight="1">
      <c r="A861" s="68"/>
      <c r="B861" s="68"/>
      <c r="C861" s="61" t="s">
        <v>129</v>
      </c>
      <c r="D861" s="61" t="s">
        <v>130</v>
      </c>
      <c r="E861" s="68"/>
      <c r="F861" s="68"/>
      <c r="G861" s="68"/>
      <c r="H861" s="68"/>
      <c r="I861" s="68"/>
      <c r="J861" s="78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  <c r="Y861" s="68"/>
      <c r="Z861" s="68"/>
      <c r="AA861" s="68"/>
      <c r="AB861" s="68"/>
      <c r="AC861" s="68"/>
      <c r="AD861" s="68"/>
      <c r="AE861" s="68"/>
    </row>
    <row r="862" ht="26.25" customHeight="1">
      <c r="A862" s="68"/>
      <c r="B862" s="68"/>
      <c r="C862" s="61" t="s">
        <v>129</v>
      </c>
      <c r="D862" s="61" t="s">
        <v>130</v>
      </c>
      <c r="E862" s="68"/>
      <c r="F862" s="68"/>
      <c r="G862" s="68"/>
      <c r="H862" s="68"/>
      <c r="I862" s="68"/>
      <c r="J862" s="78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  <c r="Y862" s="68"/>
      <c r="Z862" s="68"/>
      <c r="AA862" s="68"/>
      <c r="AB862" s="68"/>
      <c r="AC862" s="68"/>
      <c r="AD862" s="68"/>
      <c r="AE862" s="68"/>
    </row>
    <row r="863" ht="26.25" customHeight="1">
      <c r="A863" s="68"/>
      <c r="B863" s="68"/>
      <c r="C863" s="61" t="s">
        <v>129</v>
      </c>
      <c r="D863" s="61" t="s">
        <v>130</v>
      </c>
      <c r="E863" s="68"/>
      <c r="F863" s="68"/>
      <c r="G863" s="68"/>
      <c r="H863" s="68"/>
      <c r="I863" s="68"/>
      <c r="J863" s="78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  <c r="Y863" s="68"/>
      <c r="Z863" s="68"/>
      <c r="AA863" s="68"/>
      <c r="AB863" s="68"/>
      <c r="AC863" s="68"/>
      <c r="AD863" s="68"/>
      <c r="AE863" s="68"/>
    </row>
    <row r="864" ht="26.25" customHeight="1">
      <c r="A864" s="68"/>
      <c r="B864" s="68"/>
      <c r="C864" s="61" t="s">
        <v>129</v>
      </c>
      <c r="D864" s="61" t="s">
        <v>130</v>
      </c>
      <c r="E864" s="68"/>
      <c r="F864" s="68"/>
      <c r="G864" s="68"/>
      <c r="H864" s="68"/>
      <c r="I864" s="68"/>
      <c r="J864" s="78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  <c r="Y864" s="68"/>
      <c r="Z864" s="68"/>
      <c r="AA864" s="68"/>
      <c r="AB864" s="68"/>
      <c r="AC864" s="68"/>
      <c r="AD864" s="68"/>
      <c r="AE864" s="68"/>
    </row>
    <row r="865" ht="26.25" customHeight="1">
      <c r="A865" s="68"/>
      <c r="B865" s="68"/>
      <c r="C865" s="61" t="s">
        <v>129</v>
      </c>
      <c r="D865" s="61" t="s">
        <v>130</v>
      </c>
      <c r="E865" s="68"/>
      <c r="F865" s="68"/>
      <c r="G865" s="68"/>
      <c r="H865" s="68"/>
      <c r="I865" s="68"/>
      <c r="J865" s="78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  <c r="Y865" s="68"/>
      <c r="Z865" s="68"/>
      <c r="AA865" s="68"/>
      <c r="AB865" s="68"/>
      <c r="AC865" s="68"/>
      <c r="AD865" s="68"/>
      <c r="AE865" s="68"/>
    </row>
    <row r="866" ht="26.25" customHeight="1">
      <c r="A866" s="68"/>
      <c r="B866" s="68"/>
      <c r="C866" s="61" t="s">
        <v>129</v>
      </c>
      <c r="D866" s="61" t="s">
        <v>130</v>
      </c>
      <c r="E866" s="68"/>
      <c r="F866" s="68"/>
      <c r="G866" s="68"/>
      <c r="H866" s="68"/>
      <c r="I866" s="68"/>
      <c r="J866" s="78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  <c r="Y866" s="68"/>
      <c r="Z866" s="68"/>
      <c r="AA866" s="68"/>
      <c r="AB866" s="68"/>
      <c r="AC866" s="68"/>
      <c r="AD866" s="68"/>
      <c r="AE866" s="68"/>
    </row>
    <row r="867" ht="26.25" customHeight="1">
      <c r="A867" s="68"/>
      <c r="B867" s="68"/>
      <c r="C867" s="61" t="s">
        <v>129</v>
      </c>
      <c r="D867" s="61" t="s">
        <v>130</v>
      </c>
      <c r="E867" s="68"/>
      <c r="F867" s="68"/>
      <c r="G867" s="68"/>
      <c r="H867" s="68"/>
      <c r="I867" s="68"/>
      <c r="J867" s="78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  <c r="Y867" s="68"/>
      <c r="Z867" s="68"/>
      <c r="AA867" s="68"/>
      <c r="AB867" s="68"/>
      <c r="AC867" s="68"/>
      <c r="AD867" s="68"/>
      <c r="AE867" s="68"/>
    </row>
    <row r="868" ht="26.25" customHeight="1">
      <c r="A868" s="68"/>
      <c r="B868" s="68"/>
      <c r="C868" s="61" t="s">
        <v>129</v>
      </c>
      <c r="D868" s="61" t="s">
        <v>130</v>
      </c>
      <c r="E868" s="68"/>
      <c r="F868" s="68"/>
      <c r="G868" s="68"/>
      <c r="H868" s="68"/>
      <c r="I868" s="68"/>
      <c r="J868" s="78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  <c r="Y868" s="68"/>
      <c r="Z868" s="68"/>
      <c r="AA868" s="68"/>
      <c r="AB868" s="68"/>
      <c r="AC868" s="68"/>
      <c r="AD868" s="68"/>
      <c r="AE868" s="68"/>
    </row>
    <row r="869" ht="26.25" customHeight="1">
      <c r="A869" s="68"/>
      <c r="B869" s="68"/>
      <c r="C869" s="61" t="s">
        <v>129</v>
      </c>
      <c r="D869" s="61" t="s">
        <v>130</v>
      </c>
      <c r="E869" s="68"/>
      <c r="F869" s="68"/>
      <c r="G869" s="68"/>
      <c r="H869" s="68"/>
      <c r="I869" s="68"/>
      <c r="J869" s="78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  <c r="Y869" s="68"/>
      <c r="Z869" s="68"/>
      <c r="AA869" s="68"/>
      <c r="AB869" s="68"/>
      <c r="AC869" s="68"/>
      <c r="AD869" s="68"/>
      <c r="AE869" s="68"/>
    </row>
    <row r="870" ht="26.25" customHeight="1">
      <c r="A870" s="68"/>
      <c r="B870" s="68"/>
      <c r="C870" s="61" t="s">
        <v>129</v>
      </c>
      <c r="D870" s="61" t="s">
        <v>130</v>
      </c>
      <c r="E870" s="68"/>
      <c r="F870" s="68"/>
      <c r="G870" s="68"/>
      <c r="H870" s="68"/>
      <c r="I870" s="68"/>
      <c r="J870" s="78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  <c r="Y870" s="68"/>
      <c r="Z870" s="68"/>
      <c r="AA870" s="68"/>
      <c r="AB870" s="68"/>
      <c r="AC870" s="68"/>
      <c r="AD870" s="68"/>
      <c r="AE870" s="68"/>
    </row>
    <row r="871" ht="26.25" customHeight="1">
      <c r="A871" s="68"/>
      <c r="B871" s="68"/>
      <c r="C871" s="61" t="s">
        <v>129</v>
      </c>
      <c r="D871" s="61" t="s">
        <v>130</v>
      </c>
      <c r="E871" s="68"/>
      <c r="F871" s="68"/>
      <c r="G871" s="68"/>
      <c r="H871" s="68"/>
      <c r="I871" s="68"/>
      <c r="J871" s="78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  <c r="Y871" s="68"/>
      <c r="Z871" s="68"/>
      <c r="AA871" s="68"/>
      <c r="AB871" s="68"/>
      <c r="AC871" s="68"/>
      <c r="AD871" s="68"/>
      <c r="AE871" s="68"/>
    </row>
    <row r="872" ht="26.25" customHeight="1">
      <c r="A872" s="68"/>
      <c r="B872" s="68"/>
      <c r="C872" s="61" t="s">
        <v>129</v>
      </c>
      <c r="D872" s="61" t="s">
        <v>130</v>
      </c>
      <c r="E872" s="68"/>
      <c r="F872" s="68"/>
      <c r="G872" s="68"/>
      <c r="H872" s="68"/>
      <c r="I872" s="68"/>
      <c r="J872" s="78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  <c r="Y872" s="68"/>
      <c r="Z872" s="68"/>
      <c r="AA872" s="68"/>
      <c r="AB872" s="68"/>
      <c r="AC872" s="68"/>
      <c r="AD872" s="68"/>
      <c r="AE872" s="68"/>
    </row>
    <row r="873" ht="26.25" customHeight="1">
      <c r="A873" s="68"/>
      <c r="B873" s="68"/>
      <c r="C873" s="61" t="s">
        <v>129</v>
      </c>
      <c r="D873" s="61" t="s">
        <v>130</v>
      </c>
      <c r="E873" s="68"/>
      <c r="F873" s="68"/>
      <c r="G873" s="68"/>
      <c r="H873" s="68"/>
      <c r="I873" s="68"/>
      <c r="J873" s="78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  <c r="Y873" s="68"/>
      <c r="Z873" s="68"/>
      <c r="AA873" s="68"/>
      <c r="AB873" s="68"/>
      <c r="AC873" s="68"/>
      <c r="AD873" s="68"/>
      <c r="AE873" s="68"/>
    </row>
    <row r="874" ht="26.25" customHeight="1">
      <c r="A874" s="68"/>
      <c r="B874" s="68"/>
      <c r="C874" s="61" t="s">
        <v>129</v>
      </c>
      <c r="D874" s="61" t="s">
        <v>130</v>
      </c>
      <c r="E874" s="68"/>
      <c r="F874" s="68"/>
      <c r="G874" s="68"/>
      <c r="H874" s="68"/>
      <c r="I874" s="68"/>
      <c r="J874" s="78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  <c r="Y874" s="68"/>
      <c r="Z874" s="68"/>
      <c r="AA874" s="68"/>
      <c r="AB874" s="68"/>
      <c r="AC874" s="68"/>
      <c r="AD874" s="68"/>
      <c r="AE874" s="68"/>
    </row>
    <row r="875" ht="26.25" customHeight="1">
      <c r="A875" s="68"/>
      <c r="B875" s="68"/>
      <c r="C875" s="61" t="s">
        <v>129</v>
      </c>
      <c r="D875" s="61" t="s">
        <v>130</v>
      </c>
      <c r="E875" s="68"/>
      <c r="F875" s="68"/>
      <c r="G875" s="68"/>
      <c r="H875" s="68"/>
      <c r="I875" s="68"/>
      <c r="J875" s="78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  <c r="Y875" s="68"/>
      <c r="Z875" s="68"/>
      <c r="AA875" s="68"/>
      <c r="AB875" s="68"/>
      <c r="AC875" s="68"/>
      <c r="AD875" s="68"/>
      <c r="AE875" s="68"/>
    </row>
    <row r="876" ht="26.25" customHeight="1">
      <c r="A876" s="68"/>
      <c r="B876" s="68"/>
      <c r="C876" s="61" t="s">
        <v>129</v>
      </c>
      <c r="D876" s="61" t="s">
        <v>130</v>
      </c>
      <c r="E876" s="68"/>
      <c r="F876" s="68"/>
      <c r="G876" s="68"/>
      <c r="H876" s="68"/>
      <c r="I876" s="68"/>
      <c r="J876" s="78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  <c r="Y876" s="68"/>
      <c r="Z876" s="68"/>
      <c r="AA876" s="68"/>
      <c r="AB876" s="68"/>
      <c r="AC876" s="68"/>
      <c r="AD876" s="68"/>
      <c r="AE876" s="68"/>
    </row>
    <row r="877" ht="26.25" customHeight="1">
      <c r="A877" s="68"/>
      <c r="B877" s="68"/>
      <c r="C877" s="61" t="s">
        <v>129</v>
      </c>
      <c r="D877" s="61" t="s">
        <v>130</v>
      </c>
      <c r="E877" s="68"/>
      <c r="F877" s="68"/>
      <c r="G877" s="68"/>
      <c r="H877" s="68"/>
      <c r="I877" s="68"/>
      <c r="J877" s="7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  <c r="AA877" s="68"/>
      <c r="AB877" s="68"/>
      <c r="AC877" s="68"/>
      <c r="AD877" s="68"/>
      <c r="AE877" s="68"/>
    </row>
    <row r="878" ht="26.25" customHeight="1">
      <c r="A878" s="68"/>
      <c r="B878" s="68"/>
      <c r="C878" s="61" t="s">
        <v>129</v>
      </c>
      <c r="D878" s="61" t="s">
        <v>130</v>
      </c>
      <c r="E878" s="68"/>
      <c r="F878" s="68"/>
      <c r="G878" s="68"/>
      <c r="H878" s="68"/>
      <c r="I878" s="68"/>
      <c r="J878" s="78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  <c r="Y878" s="68"/>
      <c r="Z878" s="68"/>
      <c r="AA878" s="68"/>
      <c r="AB878" s="68"/>
      <c r="AC878" s="68"/>
      <c r="AD878" s="68"/>
      <c r="AE878" s="68"/>
    </row>
    <row r="879" ht="26.25" customHeight="1">
      <c r="A879" s="68"/>
      <c r="B879" s="68"/>
      <c r="C879" s="61" t="s">
        <v>129</v>
      </c>
      <c r="D879" s="61" t="s">
        <v>130</v>
      </c>
      <c r="E879" s="68"/>
      <c r="F879" s="68"/>
      <c r="G879" s="68"/>
      <c r="H879" s="68"/>
      <c r="I879" s="68"/>
      <c r="J879" s="78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  <c r="Y879" s="68"/>
      <c r="Z879" s="68"/>
      <c r="AA879" s="68"/>
      <c r="AB879" s="68"/>
      <c r="AC879" s="68"/>
      <c r="AD879" s="68"/>
      <c r="AE879" s="68"/>
    </row>
    <row r="880" ht="26.25" customHeight="1">
      <c r="A880" s="68"/>
      <c r="B880" s="68"/>
      <c r="C880" s="61" t="s">
        <v>129</v>
      </c>
      <c r="D880" s="61" t="s">
        <v>130</v>
      </c>
      <c r="E880" s="68"/>
      <c r="F880" s="68"/>
      <c r="G880" s="68"/>
      <c r="H880" s="68"/>
      <c r="I880" s="68"/>
      <c r="J880" s="78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  <c r="Y880" s="68"/>
      <c r="Z880" s="68"/>
      <c r="AA880" s="68"/>
      <c r="AB880" s="68"/>
      <c r="AC880" s="68"/>
      <c r="AD880" s="68"/>
      <c r="AE880" s="68"/>
    </row>
    <row r="881" ht="26.25" customHeight="1">
      <c r="A881" s="68"/>
      <c r="B881" s="68"/>
      <c r="C881" s="61" t="s">
        <v>129</v>
      </c>
      <c r="D881" s="61" t="s">
        <v>130</v>
      </c>
      <c r="E881" s="68"/>
      <c r="F881" s="68"/>
      <c r="G881" s="68"/>
      <c r="H881" s="68"/>
      <c r="I881" s="68"/>
      <c r="J881" s="78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  <c r="Y881" s="68"/>
      <c r="Z881" s="68"/>
      <c r="AA881" s="68"/>
      <c r="AB881" s="68"/>
      <c r="AC881" s="68"/>
      <c r="AD881" s="68"/>
      <c r="AE881" s="68"/>
    </row>
    <row r="882" ht="26.25" customHeight="1">
      <c r="A882" s="68"/>
      <c r="B882" s="68"/>
      <c r="C882" s="61" t="s">
        <v>129</v>
      </c>
      <c r="D882" s="61" t="s">
        <v>130</v>
      </c>
      <c r="E882" s="68"/>
      <c r="F882" s="68"/>
      <c r="G882" s="68"/>
      <c r="H882" s="68"/>
      <c r="I882" s="68"/>
      <c r="J882" s="78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  <c r="Y882" s="68"/>
      <c r="Z882" s="68"/>
      <c r="AA882" s="68"/>
      <c r="AB882" s="68"/>
      <c r="AC882" s="68"/>
      <c r="AD882" s="68"/>
      <c r="AE882" s="68"/>
    </row>
    <row r="883" ht="26.25" customHeight="1">
      <c r="A883" s="68"/>
      <c r="B883" s="68"/>
      <c r="C883" s="61" t="s">
        <v>129</v>
      </c>
      <c r="D883" s="61" t="s">
        <v>130</v>
      </c>
      <c r="E883" s="68"/>
      <c r="F883" s="68"/>
      <c r="G883" s="68"/>
      <c r="H883" s="68"/>
      <c r="I883" s="68"/>
      <c r="J883" s="78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  <c r="X883" s="68"/>
      <c r="Y883" s="68"/>
      <c r="Z883" s="68"/>
      <c r="AA883" s="68"/>
      <c r="AB883" s="68"/>
      <c r="AC883" s="68"/>
      <c r="AD883" s="68"/>
      <c r="AE883" s="68"/>
    </row>
    <row r="884" ht="26.25" customHeight="1">
      <c r="A884" s="68"/>
      <c r="B884" s="68"/>
      <c r="C884" s="61" t="s">
        <v>129</v>
      </c>
      <c r="D884" s="61" t="s">
        <v>130</v>
      </c>
      <c r="E884" s="68"/>
      <c r="F884" s="68"/>
      <c r="G884" s="68"/>
      <c r="H884" s="68"/>
      <c r="I884" s="68"/>
      <c r="J884" s="78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  <c r="X884" s="68"/>
      <c r="Y884" s="68"/>
      <c r="Z884" s="68"/>
      <c r="AA884" s="68"/>
      <c r="AB884" s="68"/>
      <c r="AC884" s="68"/>
      <c r="AD884" s="68"/>
      <c r="AE884" s="68"/>
    </row>
    <row r="885" ht="26.25" customHeight="1">
      <c r="A885" s="68"/>
      <c r="B885" s="68"/>
      <c r="C885" s="61" t="s">
        <v>129</v>
      </c>
      <c r="D885" s="61" t="s">
        <v>130</v>
      </c>
      <c r="E885" s="68"/>
      <c r="F885" s="68"/>
      <c r="G885" s="68"/>
      <c r="H885" s="68"/>
      <c r="I885" s="68"/>
      <c r="J885" s="78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  <c r="X885" s="68"/>
      <c r="Y885" s="68"/>
      <c r="Z885" s="68"/>
      <c r="AA885" s="68"/>
      <c r="AB885" s="68"/>
      <c r="AC885" s="68"/>
      <c r="AD885" s="68"/>
      <c r="AE885" s="68"/>
    </row>
    <row r="886" ht="26.25" customHeight="1">
      <c r="A886" s="68"/>
      <c r="B886" s="68"/>
      <c r="C886" s="61" t="s">
        <v>129</v>
      </c>
      <c r="D886" s="61" t="s">
        <v>130</v>
      </c>
      <c r="E886" s="68"/>
      <c r="F886" s="68"/>
      <c r="G886" s="68"/>
      <c r="H886" s="68"/>
      <c r="I886" s="68"/>
      <c r="J886" s="78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  <c r="X886" s="68"/>
      <c r="Y886" s="68"/>
      <c r="Z886" s="68"/>
      <c r="AA886" s="68"/>
      <c r="AB886" s="68"/>
      <c r="AC886" s="68"/>
      <c r="AD886" s="68"/>
      <c r="AE886" s="68"/>
    </row>
    <row r="887" ht="26.25" customHeight="1">
      <c r="A887" s="68"/>
      <c r="B887" s="68"/>
      <c r="C887" s="61" t="s">
        <v>129</v>
      </c>
      <c r="D887" s="61" t="s">
        <v>130</v>
      </c>
      <c r="E887" s="68"/>
      <c r="F887" s="68"/>
      <c r="G887" s="68"/>
      <c r="H887" s="68"/>
      <c r="I887" s="68"/>
      <c r="J887" s="7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  <c r="Z887" s="68"/>
      <c r="AA887" s="68"/>
      <c r="AB887" s="68"/>
      <c r="AC887" s="68"/>
      <c r="AD887" s="68"/>
      <c r="AE887" s="68"/>
    </row>
    <row r="888" ht="26.25" customHeight="1">
      <c r="A888" s="68"/>
      <c r="B888" s="68"/>
      <c r="C888" s="61" t="s">
        <v>129</v>
      </c>
      <c r="D888" s="61" t="s">
        <v>130</v>
      </c>
      <c r="E888" s="68"/>
      <c r="F888" s="68"/>
      <c r="G888" s="68"/>
      <c r="H888" s="68"/>
      <c r="I888" s="68"/>
      <c r="J888" s="78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  <c r="X888" s="68"/>
      <c r="Y888" s="68"/>
      <c r="Z888" s="68"/>
      <c r="AA888" s="68"/>
      <c r="AB888" s="68"/>
      <c r="AC888" s="68"/>
      <c r="AD888" s="68"/>
      <c r="AE888" s="68"/>
    </row>
    <row r="889" ht="26.25" customHeight="1">
      <c r="A889" s="68"/>
      <c r="B889" s="68"/>
      <c r="C889" s="61" t="s">
        <v>129</v>
      </c>
      <c r="D889" s="61" t="s">
        <v>130</v>
      </c>
      <c r="E889" s="68"/>
      <c r="F889" s="68"/>
      <c r="G889" s="68"/>
      <c r="H889" s="68"/>
      <c r="I889" s="68"/>
      <c r="J889" s="78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  <c r="X889" s="68"/>
      <c r="Y889" s="68"/>
      <c r="Z889" s="68"/>
      <c r="AA889" s="68"/>
      <c r="AB889" s="68"/>
      <c r="AC889" s="68"/>
      <c r="AD889" s="68"/>
      <c r="AE889" s="68"/>
    </row>
    <row r="890" ht="26.25" customHeight="1">
      <c r="A890" s="68"/>
      <c r="B890" s="68"/>
      <c r="C890" s="61" t="s">
        <v>129</v>
      </c>
      <c r="D890" s="61" t="s">
        <v>130</v>
      </c>
      <c r="E890" s="68"/>
      <c r="F890" s="68"/>
      <c r="G890" s="68"/>
      <c r="H890" s="68"/>
      <c r="I890" s="68"/>
      <c r="J890" s="78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  <c r="X890" s="68"/>
      <c r="Y890" s="68"/>
      <c r="Z890" s="68"/>
      <c r="AA890" s="68"/>
      <c r="AB890" s="68"/>
      <c r="AC890" s="68"/>
      <c r="AD890" s="68"/>
      <c r="AE890" s="68"/>
    </row>
    <row r="891" ht="26.25" customHeight="1">
      <c r="A891" s="68"/>
      <c r="B891" s="68"/>
      <c r="C891" s="61" t="s">
        <v>129</v>
      </c>
      <c r="D891" s="61" t="s">
        <v>130</v>
      </c>
      <c r="E891" s="68"/>
      <c r="F891" s="68"/>
      <c r="G891" s="68"/>
      <c r="H891" s="68"/>
      <c r="I891" s="68"/>
      <c r="J891" s="78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  <c r="X891" s="68"/>
      <c r="Y891" s="68"/>
      <c r="Z891" s="68"/>
      <c r="AA891" s="68"/>
      <c r="AB891" s="68"/>
      <c r="AC891" s="68"/>
      <c r="AD891" s="68"/>
      <c r="AE891" s="68"/>
    </row>
    <row r="892" ht="26.25" customHeight="1">
      <c r="A892" s="68"/>
      <c r="B892" s="68"/>
      <c r="C892" s="61" t="s">
        <v>129</v>
      </c>
      <c r="D892" s="61" t="s">
        <v>130</v>
      </c>
      <c r="E892" s="68"/>
      <c r="F892" s="68"/>
      <c r="G892" s="68"/>
      <c r="H892" s="68"/>
      <c r="I892" s="68"/>
      <c r="J892" s="78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  <c r="X892" s="68"/>
      <c r="Y892" s="68"/>
      <c r="Z892" s="68"/>
      <c r="AA892" s="68"/>
      <c r="AB892" s="68"/>
      <c r="AC892" s="68"/>
      <c r="AD892" s="68"/>
      <c r="AE892" s="68"/>
    </row>
    <row r="893" ht="26.25" customHeight="1">
      <c r="A893" s="68"/>
      <c r="B893" s="68"/>
      <c r="C893" s="61" t="s">
        <v>129</v>
      </c>
      <c r="D893" s="61" t="s">
        <v>130</v>
      </c>
      <c r="E893" s="68"/>
      <c r="F893" s="68"/>
      <c r="G893" s="68"/>
      <c r="H893" s="68"/>
      <c r="I893" s="68"/>
      <c r="J893" s="78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  <c r="X893" s="68"/>
      <c r="Y893" s="68"/>
      <c r="Z893" s="68"/>
      <c r="AA893" s="68"/>
      <c r="AB893" s="68"/>
      <c r="AC893" s="68"/>
      <c r="AD893" s="68"/>
      <c r="AE893" s="68"/>
    </row>
    <row r="894" ht="26.25" customHeight="1">
      <c r="A894" s="68"/>
      <c r="B894" s="68"/>
      <c r="C894" s="61" t="s">
        <v>129</v>
      </c>
      <c r="D894" s="61" t="s">
        <v>130</v>
      </c>
      <c r="E894" s="68"/>
      <c r="F894" s="68"/>
      <c r="G894" s="68"/>
      <c r="H894" s="68"/>
      <c r="I894" s="68"/>
      <c r="J894" s="78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  <c r="X894" s="68"/>
      <c r="Y894" s="68"/>
      <c r="Z894" s="68"/>
      <c r="AA894" s="68"/>
      <c r="AB894" s="68"/>
      <c r="AC894" s="68"/>
      <c r="AD894" s="68"/>
      <c r="AE894" s="68"/>
    </row>
    <row r="895" ht="26.25" customHeight="1">
      <c r="A895" s="68"/>
      <c r="B895" s="68"/>
      <c r="C895" s="61" t="s">
        <v>129</v>
      </c>
      <c r="D895" s="61" t="s">
        <v>130</v>
      </c>
      <c r="E895" s="68"/>
      <c r="F895" s="68"/>
      <c r="G895" s="68"/>
      <c r="H895" s="68"/>
      <c r="I895" s="68"/>
      <c r="J895" s="78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  <c r="X895" s="68"/>
      <c r="Y895" s="68"/>
      <c r="Z895" s="68"/>
      <c r="AA895" s="68"/>
      <c r="AB895" s="68"/>
      <c r="AC895" s="68"/>
      <c r="AD895" s="68"/>
      <c r="AE895" s="68"/>
    </row>
    <row r="896" ht="26.25" customHeight="1">
      <c r="A896" s="68"/>
      <c r="B896" s="68"/>
      <c r="C896" s="61" t="s">
        <v>129</v>
      </c>
      <c r="D896" s="61" t="s">
        <v>130</v>
      </c>
      <c r="E896" s="68"/>
      <c r="F896" s="68"/>
      <c r="G896" s="68"/>
      <c r="H896" s="68"/>
      <c r="I896" s="68"/>
      <c r="J896" s="78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  <c r="X896" s="68"/>
      <c r="Y896" s="68"/>
      <c r="Z896" s="68"/>
      <c r="AA896" s="68"/>
      <c r="AB896" s="68"/>
      <c r="AC896" s="68"/>
      <c r="AD896" s="68"/>
      <c r="AE896" s="68"/>
    </row>
    <row r="897" ht="26.25" customHeight="1">
      <c r="A897" s="68"/>
      <c r="B897" s="68"/>
      <c r="C897" s="61" t="s">
        <v>129</v>
      </c>
      <c r="D897" s="61" t="s">
        <v>130</v>
      </c>
      <c r="E897" s="68"/>
      <c r="F897" s="68"/>
      <c r="G897" s="68"/>
      <c r="H897" s="68"/>
      <c r="I897" s="68"/>
      <c r="J897" s="78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  <c r="Y897" s="68"/>
      <c r="Z897" s="68"/>
      <c r="AA897" s="68"/>
      <c r="AB897" s="68"/>
      <c r="AC897" s="68"/>
      <c r="AD897" s="68"/>
      <c r="AE897" s="68"/>
    </row>
    <row r="898" ht="26.25" customHeight="1">
      <c r="A898" s="68"/>
      <c r="B898" s="68"/>
      <c r="C898" s="61" t="s">
        <v>129</v>
      </c>
      <c r="D898" s="61" t="s">
        <v>130</v>
      </c>
      <c r="E898" s="68"/>
      <c r="F898" s="68"/>
      <c r="G898" s="68"/>
      <c r="H898" s="68"/>
      <c r="I898" s="68"/>
      <c r="J898" s="78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  <c r="X898" s="68"/>
      <c r="Y898" s="68"/>
      <c r="Z898" s="68"/>
      <c r="AA898" s="68"/>
      <c r="AB898" s="68"/>
      <c r="AC898" s="68"/>
      <c r="AD898" s="68"/>
      <c r="AE898" s="68"/>
    </row>
    <row r="899" ht="26.25" customHeight="1">
      <c r="A899" s="68"/>
      <c r="B899" s="68"/>
      <c r="C899" s="61" t="s">
        <v>129</v>
      </c>
      <c r="D899" s="61" t="s">
        <v>130</v>
      </c>
      <c r="E899" s="68"/>
      <c r="F899" s="68"/>
      <c r="G899" s="68"/>
      <c r="H899" s="68"/>
      <c r="I899" s="68"/>
      <c r="J899" s="78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  <c r="X899" s="68"/>
      <c r="Y899" s="68"/>
      <c r="Z899" s="68"/>
      <c r="AA899" s="68"/>
      <c r="AB899" s="68"/>
      <c r="AC899" s="68"/>
      <c r="AD899" s="68"/>
      <c r="AE899" s="68"/>
    </row>
    <row r="900" ht="26.25" customHeight="1">
      <c r="A900" s="68"/>
      <c r="B900" s="68"/>
      <c r="C900" s="61" t="s">
        <v>129</v>
      </c>
      <c r="D900" s="61" t="s">
        <v>130</v>
      </c>
      <c r="E900" s="68"/>
      <c r="F900" s="68"/>
      <c r="G900" s="68"/>
      <c r="H900" s="68"/>
      <c r="I900" s="68"/>
      <c r="J900" s="78"/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  <c r="X900" s="68"/>
      <c r="Y900" s="68"/>
      <c r="Z900" s="68"/>
      <c r="AA900" s="68"/>
      <c r="AB900" s="68"/>
      <c r="AC900" s="68"/>
      <c r="AD900" s="68"/>
      <c r="AE900" s="68"/>
    </row>
    <row r="901" ht="26.25" customHeight="1">
      <c r="A901" s="68"/>
      <c r="B901" s="68"/>
      <c r="C901" s="61" t="s">
        <v>129</v>
      </c>
      <c r="D901" s="61" t="s">
        <v>130</v>
      </c>
      <c r="E901" s="68"/>
      <c r="F901" s="68"/>
      <c r="G901" s="68"/>
      <c r="H901" s="68"/>
      <c r="I901" s="68"/>
      <c r="J901" s="78"/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  <c r="X901" s="68"/>
      <c r="Y901" s="68"/>
      <c r="Z901" s="68"/>
      <c r="AA901" s="68"/>
      <c r="AB901" s="68"/>
      <c r="AC901" s="68"/>
      <c r="AD901" s="68"/>
      <c r="AE901" s="68"/>
    </row>
    <row r="902" ht="26.25" customHeight="1">
      <c r="A902" s="68"/>
      <c r="B902" s="68"/>
      <c r="C902" s="61" t="s">
        <v>129</v>
      </c>
      <c r="D902" s="61" t="s">
        <v>130</v>
      </c>
      <c r="E902" s="68"/>
      <c r="F902" s="68"/>
      <c r="G902" s="68"/>
      <c r="H902" s="68"/>
      <c r="I902" s="68"/>
      <c r="J902" s="78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  <c r="X902" s="68"/>
      <c r="Y902" s="68"/>
      <c r="Z902" s="68"/>
      <c r="AA902" s="68"/>
      <c r="AB902" s="68"/>
      <c r="AC902" s="68"/>
      <c r="AD902" s="68"/>
      <c r="AE902" s="68"/>
    </row>
    <row r="903" ht="26.25" customHeight="1">
      <c r="A903" s="68"/>
      <c r="B903" s="68"/>
      <c r="C903" s="61" t="s">
        <v>129</v>
      </c>
      <c r="D903" s="61" t="s">
        <v>130</v>
      </c>
      <c r="E903" s="68"/>
      <c r="F903" s="68"/>
      <c r="G903" s="68"/>
      <c r="H903" s="68"/>
      <c r="I903" s="68"/>
      <c r="J903" s="78"/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  <c r="X903" s="68"/>
      <c r="Y903" s="68"/>
      <c r="Z903" s="68"/>
      <c r="AA903" s="68"/>
      <c r="AB903" s="68"/>
      <c r="AC903" s="68"/>
      <c r="AD903" s="68"/>
      <c r="AE903" s="68"/>
    </row>
    <row r="904" ht="26.25" customHeight="1">
      <c r="A904" s="68"/>
      <c r="B904" s="68"/>
      <c r="C904" s="61" t="s">
        <v>129</v>
      </c>
      <c r="D904" s="61" t="s">
        <v>130</v>
      </c>
      <c r="E904" s="68"/>
      <c r="F904" s="68"/>
      <c r="G904" s="68"/>
      <c r="H904" s="68"/>
      <c r="I904" s="68"/>
      <c r="J904" s="78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  <c r="Y904" s="68"/>
      <c r="Z904" s="68"/>
      <c r="AA904" s="68"/>
      <c r="AB904" s="68"/>
      <c r="AC904" s="68"/>
      <c r="AD904" s="68"/>
      <c r="AE904" s="68"/>
    </row>
    <row r="905" ht="26.25" customHeight="1">
      <c r="A905" s="68"/>
      <c r="B905" s="68"/>
      <c r="C905" s="61" t="s">
        <v>129</v>
      </c>
      <c r="D905" s="61" t="s">
        <v>130</v>
      </c>
      <c r="E905" s="68"/>
      <c r="F905" s="68"/>
      <c r="G905" s="68"/>
      <c r="H905" s="68"/>
      <c r="I905" s="68"/>
      <c r="J905" s="78"/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  <c r="X905" s="68"/>
      <c r="Y905" s="68"/>
      <c r="Z905" s="68"/>
      <c r="AA905" s="68"/>
      <c r="AB905" s="68"/>
      <c r="AC905" s="68"/>
      <c r="AD905" s="68"/>
      <c r="AE905" s="68"/>
    </row>
    <row r="906" ht="26.25" customHeight="1">
      <c r="A906" s="68"/>
      <c r="B906" s="68"/>
      <c r="C906" s="61" t="s">
        <v>129</v>
      </c>
      <c r="D906" s="61" t="s">
        <v>130</v>
      </c>
      <c r="E906" s="68"/>
      <c r="F906" s="68"/>
      <c r="G906" s="68"/>
      <c r="H906" s="68"/>
      <c r="I906" s="68"/>
      <c r="J906" s="78"/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  <c r="X906" s="68"/>
      <c r="Y906" s="68"/>
      <c r="Z906" s="68"/>
      <c r="AA906" s="68"/>
      <c r="AB906" s="68"/>
      <c r="AC906" s="68"/>
      <c r="AD906" s="68"/>
      <c r="AE906" s="68"/>
    </row>
    <row r="907" ht="26.25" customHeight="1">
      <c r="A907" s="68"/>
      <c r="B907" s="68"/>
      <c r="C907" s="61" t="s">
        <v>129</v>
      </c>
      <c r="D907" s="61" t="s">
        <v>130</v>
      </c>
      <c r="E907" s="68"/>
      <c r="F907" s="68"/>
      <c r="G907" s="68"/>
      <c r="H907" s="68"/>
      <c r="I907" s="68"/>
      <c r="J907" s="78"/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  <c r="X907" s="68"/>
      <c r="Y907" s="68"/>
      <c r="Z907" s="68"/>
      <c r="AA907" s="68"/>
      <c r="AB907" s="68"/>
      <c r="AC907" s="68"/>
      <c r="AD907" s="68"/>
      <c r="AE907" s="68"/>
    </row>
    <row r="908" ht="26.25" customHeight="1">
      <c r="A908" s="68"/>
      <c r="B908" s="68"/>
      <c r="C908" s="61" t="s">
        <v>129</v>
      </c>
      <c r="D908" s="61" t="s">
        <v>130</v>
      </c>
      <c r="E908" s="68"/>
      <c r="F908" s="68"/>
      <c r="G908" s="68"/>
      <c r="H908" s="68"/>
      <c r="I908" s="68"/>
      <c r="J908" s="78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  <c r="X908" s="68"/>
      <c r="Y908" s="68"/>
      <c r="Z908" s="68"/>
      <c r="AA908" s="68"/>
      <c r="AB908" s="68"/>
      <c r="AC908" s="68"/>
      <c r="AD908" s="68"/>
      <c r="AE908" s="68"/>
    </row>
    <row r="909" ht="26.25" customHeight="1">
      <c r="A909" s="68"/>
      <c r="B909" s="68"/>
      <c r="C909" s="61" t="s">
        <v>129</v>
      </c>
      <c r="D909" s="61" t="s">
        <v>130</v>
      </c>
      <c r="E909" s="68"/>
      <c r="F909" s="68"/>
      <c r="G909" s="68"/>
      <c r="H909" s="68"/>
      <c r="I909" s="68"/>
      <c r="J909" s="78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  <c r="X909" s="68"/>
      <c r="Y909" s="68"/>
      <c r="Z909" s="68"/>
      <c r="AA909" s="68"/>
      <c r="AB909" s="68"/>
      <c r="AC909" s="68"/>
      <c r="AD909" s="68"/>
      <c r="AE909" s="68"/>
    </row>
    <row r="910" ht="26.25" customHeight="1">
      <c r="A910" s="68"/>
      <c r="B910" s="68"/>
      <c r="C910" s="61" t="s">
        <v>129</v>
      </c>
      <c r="D910" s="61" t="s">
        <v>130</v>
      </c>
      <c r="E910" s="68"/>
      <c r="F910" s="68"/>
      <c r="G910" s="68"/>
      <c r="H910" s="68"/>
      <c r="I910" s="68"/>
      <c r="J910" s="78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  <c r="X910" s="68"/>
      <c r="Y910" s="68"/>
      <c r="Z910" s="68"/>
      <c r="AA910" s="68"/>
      <c r="AB910" s="68"/>
      <c r="AC910" s="68"/>
      <c r="AD910" s="68"/>
      <c r="AE910" s="68"/>
    </row>
    <row r="911" ht="26.25" customHeight="1">
      <c r="A911" s="68"/>
      <c r="B911" s="68"/>
      <c r="C911" s="61" t="s">
        <v>129</v>
      </c>
      <c r="D911" s="61" t="s">
        <v>130</v>
      </c>
      <c r="E911" s="68"/>
      <c r="F911" s="68"/>
      <c r="G911" s="68"/>
      <c r="H911" s="68"/>
      <c r="I911" s="68"/>
      <c r="J911" s="78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  <c r="X911" s="68"/>
      <c r="Y911" s="68"/>
      <c r="Z911" s="68"/>
      <c r="AA911" s="68"/>
      <c r="AB911" s="68"/>
      <c r="AC911" s="68"/>
      <c r="AD911" s="68"/>
      <c r="AE911" s="68"/>
    </row>
    <row r="912" ht="26.25" customHeight="1">
      <c r="A912" s="68"/>
      <c r="B912" s="68"/>
      <c r="C912" s="61" t="s">
        <v>129</v>
      </c>
      <c r="D912" s="61" t="s">
        <v>130</v>
      </c>
      <c r="E912" s="68"/>
      <c r="F912" s="68"/>
      <c r="G912" s="68"/>
      <c r="H912" s="68"/>
      <c r="I912" s="68"/>
      <c r="J912" s="78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  <c r="X912" s="68"/>
      <c r="Y912" s="68"/>
      <c r="Z912" s="68"/>
      <c r="AA912" s="68"/>
      <c r="AB912" s="68"/>
      <c r="AC912" s="68"/>
      <c r="AD912" s="68"/>
      <c r="AE912" s="68"/>
    </row>
    <row r="913" ht="26.25" customHeight="1">
      <c r="A913" s="68"/>
      <c r="B913" s="68"/>
      <c r="C913" s="61" t="s">
        <v>129</v>
      </c>
      <c r="D913" s="61" t="s">
        <v>130</v>
      </c>
      <c r="E913" s="68"/>
      <c r="F913" s="68"/>
      <c r="G913" s="68"/>
      <c r="H913" s="68"/>
      <c r="I913" s="68"/>
      <c r="J913" s="78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  <c r="X913" s="68"/>
      <c r="Y913" s="68"/>
      <c r="Z913" s="68"/>
      <c r="AA913" s="68"/>
      <c r="AB913" s="68"/>
      <c r="AC913" s="68"/>
      <c r="AD913" s="68"/>
      <c r="AE913" s="68"/>
    </row>
    <row r="914" ht="26.25" customHeight="1">
      <c r="A914" s="68"/>
      <c r="B914" s="68"/>
      <c r="C914" s="61" t="s">
        <v>129</v>
      </c>
      <c r="D914" s="61" t="s">
        <v>130</v>
      </c>
      <c r="E914" s="68"/>
      <c r="F914" s="68"/>
      <c r="G914" s="68"/>
      <c r="H914" s="68"/>
      <c r="I914" s="68"/>
      <c r="J914" s="78"/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  <c r="X914" s="68"/>
      <c r="Y914" s="68"/>
      <c r="Z914" s="68"/>
      <c r="AA914" s="68"/>
      <c r="AB914" s="68"/>
      <c r="AC914" s="68"/>
      <c r="AD914" s="68"/>
      <c r="AE914" s="68"/>
    </row>
    <row r="915" ht="26.25" customHeight="1">
      <c r="A915" s="68"/>
      <c r="B915" s="68"/>
      <c r="C915" s="61" t="s">
        <v>129</v>
      </c>
      <c r="D915" s="61" t="s">
        <v>130</v>
      </c>
      <c r="E915" s="68"/>
      <c r="F915" s="68"/>
      <c r="G915" s="68"/>
      <c r="H915" s="68"/>
      <c r="I915" s="68"/>
      <c r="J915" s="7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  <c r="AA915" s="68"/>
      <c r="AB915" s="68"/>
      <c r="AC915" s="68"/>
      <c r="AD915" s="68"/>
      <c r="AE915" s="68"/>
    </row>
    <row r="916" ht="26.25" customHeight="1">
      <c r="A916" s="68"/>
      <c r="B916" s="68"/>
      <c r="C916" s="61" t="s">
        <v>129</v>
      </c>
      <c r="D916" s="61" t="s">
        <v>130</v>
      </c>
      <c r="E916" s="68"/>
      <c r="F916" s="68"/>
      <c r="G916" s="68"/>
      <c r="H916" s="68"/>
      <c r="I916" s="68"/>
      <c r="J916" s="78"/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  <c r="X916" s="68"/>
      <c r="Y916" s="68"/>
      <c r="Z916" s="68"/>
      <c r="AA916" s="68"/>
      <c r="AB916" s="68"/>
      <c r="AC916" s="68"/>
      <c r="AD916" s="68"/>
      <c r="AE916" s="68"/>
    </row>
    <row r="917" ht="26.25" customHeight="1">
      <c r="A917" s="68"/>
      <c r="B917" s="68"/>
      <c r="C917" s="61" t="s">
        <v>129</v>
      </c>
      <c r="D917" s="61" t="s">
        <v>130</v>
      </c>
      <c r="E917" s="68"/>
      <c r="F917" s="68"/>
      <c r="G917" s="68"/>
      <c r="H917" s="68"/>
      <c r="I917" s="68"/>
      <c r="J917" s="78"/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  <c r="X917" s="68"/>
      <c r="Y917" s="68"/>
      <c r="Z917" s="68"/>
      <c r="AA917" s="68"/>
      <c r="AB917" s="68"/>
      <c r="AC917" s="68"/>
      <c r="AD917" s="68"/>
      <c r="AE917" s="68"/>
    </row>
    <row r="918" ht="26.25" customHeight="1">
      <c r="A918" s="68"/>
      <c r="B918" s="68"/>
      <c r="C918" s="61" t="s">
        <v>129</v>
      </c>
      <c r="D918" s="61" t="s">
        <v>130</v>
      </c>
      <c r="E918" s="68"/>
      <c r="F918" s="68"/>
      <c r="G918" s="68"/>
      <c r="H918" s="68"/>
      <c r="I918" s="68"/>
      <c r="J918" s="78"/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  <c r="X918" s="68"/>
      <c r="Y918" s="68"/>
      <c r="Z918" s="68"/>
      <c r="AA918" s="68"/>
      <c r="AB918" s="68"/>
      <c r="AC918" s="68"/>
      <c r="AD918" s="68"/>
      <c r="AE918" s="68"/>
    </row>
    <row r="919" ht="26.25" customHeight="1">
      <c r="A919" s="68"/>
      <c r="B919" s="68"/>
      <c r="C919" s="61" t="s">
        <v>129</v>
      </c>
      <c r="D919" s="61" t="s">
        <v>130</v>
      </c>
      <c r="E919" s="68"/>
      <c r="F919" s="68"/>
      <c r="G919" s="68"/>
      <c r="H919" s="68"/>
      <c r="I919" s="68"/>
      <c r="J919" s="78"/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  <c r="X919" s="68"/>
      <c r="Y919" s="68"/>
      <c r="Z919" s="68"/>
      <c r="AA919" s="68"/>
      <c r="AB919" s="68"/>
      <c r="AC919" s="68"/>
      <c r="AD919" s="68"/>
      <c r="AE919" s="68"/>
    </row>
    <row r="920" ht="26.25" customHeight="1">
      <c r="A920" s="68"/>
      <c r="B920" s="68"/>
      <c r="C920" s="61" t="s">
        <v>129</v>
      </c>
      <c r="D920" s="61" t="s">
        <v>130</v>
      </c>
      <c r="E920" s="68"/>
      <c r="F920" s="68"/>
      <c r="G920" s="68"/>
      <c r="H920" s="68"/>
      <c r="I920" s="68"/>
      <c r="J920" s="78"/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  <c r="X920" s="68"/>
      <c r="Y920" s="68"/>
      <c r="Z920" s="68"/>
      <c r="AA920" s="68"/>
      <c r="AB920" s="68"/>
      <c r="AC920" s="68"/>
      <c r="AD920" s="68"/>
      <c r="AE920" s="68"/>
    </row>
    <row r="921" ht="26.25" customHeight="1">
      <c r="A921" s="68"/>
      <c r="B921" s="68"/>
      <c r="C921" s="61" t="s">
        <v>129</v>
      </c>
      <c r="D921" s="61" t="s">
        <v>130</v>
      </c>
      <c r="E921" s="68"/>
      <c r="F921" s="68"/>
      <c r="G921" s="68"/>
      <c r="H921" s="68"/>
      <c r="I921" s="68"/>
      <c r="J921" s="78"/>
      <c r="K921" s="68"/>
      <c r="L921" s="68"/>
      <c r="M921" s="68"/>
      <c r="N921" s="68"/>
      <c r="O921" s="68"/>
      <c r="P921" s="68"/>
      <c r="Q921" s="68"/>
      <c r="R921" s="68"/>
      <c r="S921" s="68"/>
      <c r="T921" s="68"/>
      <c r="U921" s="68"/>
      <c r="V921" s="68"/>
      <c r="W921" s="68"/>
      <c r="X921" s="68"/>
      <c r="Y921" s="68"/>
      <c r="Z921" s="68"/>
      <c r="AA921" s="68"/>
      <c r="AB921" s="68"/>
      <c r="AC921" s="68"/>
      <c r="AD921" s="68"/>
      <c r="AE921" s="68"/>
    </row>
    <row r="922" ht="26.25" customHeight="1">
      <c r="A922" s="68"/>
      <c r="B922" s="68"/>
      <c r="C922" s="61" t="s">
        <v>129</v>
      </c>
      <c r="D922" s="61" t="s">
        <v>130</v>
      </c>
      <c r="E922" s="68"/>
      <c r="F922" s="68"/>
      <c r="G922" s="68"/>
      <c r="H922" s="68"/>
      <c r="I922" s="68"/>
      <c r="J922" s="78"/>
      <c r="K922" s="68"/>
      <c r="L922" s="68"/>
      <c r="M922" s="68"/>
      <c r="N922" s="68"/>
      <c r="O922" s="68"/>
      <c r="P922" s="68"/>
      <c r="Q922" s="68"/>
      <c r="R922" s="68"/>
      <c r="S922" s="68"/>
      <c r="T922" s="68"/>
      <c r="U922" s="68"/>
      <c r="V922" s="68"/>
      <c r="W922" s="68"/>
      <c r="X922" s="68"/>
      <c r="Y922" s="68"/>
      <c r="Z922" s="68"/>
      <c r="AA922" s="68"/>
      <c r="AB922" s="68"/>
      <c r="AC922" s="68"/>
      <c r="AD922" s="68"/>
      <c r="AE922" s="68"/>
    </row>
    <row r="923" ht="26.25" customHeight="1">
      <c r="A923" s="68"/>
      <c r="B923" s="68"/>
      <c r="C923" s="61" t="s">
        <v>129</v>
      </c>
      <c r="D923" s="61" t="s">
        <v>130</v>
      </c>
      <c r="E923" s="68"/>
      <c r="F923" s="68"/>
      <c r="G923" s="68"/>
      <c r="H923" s="68"/>
      <c r="I923" s="68"/>
      <c r="J923" s="78"/>
      <c r="K923" s="68"/>
      <c r="L923" s="68"/>
      <c r="M923" s="68"/>
      <c r="N923" s="68"/>
      <c r="O923" s="68"/>
      <c r="P923" s="68"/>
      <c r="Q923" s="68"/>
      <c r="R923" s="68"/>
      <c r="S923" s="68"/>
      <c r="T923" s="68"/>
      <c r="U923" s="68"/>
      <c r="V923" s="68"/>
      <c r="W923" s="68"/>
      <c r="X923" s="68"/>
      <c r="Y923" s="68"/>
      <c r="Z923" s="68"/>
      <c r="AA923" s="68"/>
      <c r="AB923" s="68"/>
      <c r="AC923" s="68"/>
      <c r="AD923" s="68"/>
      <c r="AE923" s="68"/>
    </row>
    <row r="924" ht="26.25" customHeight="1">
      <c r="A924" s="68"/>
      <c r="B924" s="68"/>
      <c r="C924" s="61" t="s">
        <v>129</v>
      </c>
      <c r="D924" s="61" t="s">
        <v>130</v>
      </c>
      <c r="E924" s="68"/>
      <c r="F924" s="68"/>
      <c r="G924" s="68"/>
      <c r="H924" s="68"/>
      <c r="I924" s="68"/>
      <c r="J924" s="78"/>
      <c r="K924" s="68"/>
      <c r="L924" s="68"/>
      <c r="M924" s="68"/>
      <c r="N924" s="68"/>
      <c r="O924" s="68"/>
      <c r="P924" s="68"/>
      <c r="Q924" s="68"/>
      <c r="R924" s="68"/>
      <c r="S924" s="68"/>
      <c r="T924" s="68"/>
      <c r="U924" s="68"/>
      <c r="V924" s="68"/>
      <c r="W924" s="68"/>
      <c r="X924" s="68"/>
      <c r="Y924" s="68"/>
      <c r="Z924" s="68"/>
      <c r="AA924" s="68"/>
      <c r="AB924" s="68"/>
      <c r="AC924" s="68"/>
      <c r="AD924" s="68"/>
      <c r="AE924" s="68"/>
    </row>
    <row r="925" ht="26.25" customHeight="1">
      <c r="A925" s="68"/>
      <c r="B925" s="68"/>
      <c r="C925" s="61" t="s">
        <v>129</v>
      </c>
      <c r="D925" s="61" t="s">
        <v>130</v>
      </c>
      <c r="E925" s="68"/>
      <c r="F925" s="68"/>
      <c r="G925" s="68"/>
      <c r="H925" s="68"/>
      <c r="I925" s="68"/>
      <c r="J925" s="78"/>
      <c r="K925" s="68"/>
      <c r="L925" s="68"/>
      <c r="M925" s="68"/>
      <c r="N925" s="68"/>
      <c r="O925" s="68"/>
      <c r="P925" s="68"/>
      <c r="Q925" s="68"/>
      <c r="R925" s="68"/>
      <c r="S925" s="68"/>
      <c r="T925" s="68"/>
      <c r="U925" s="68"/>
      <c r="V925" s="68"/>
      <c r="W925" s="68"/>
      <c r="X925" s="68"/>
      <c r="Y925" s="68"/>
      <c r="Z925" s="68"/>
      <c r="AA925" s="68"/>
      <c r="AB925" s="68"/>
      <c r="AC925" s="68"/>
      <c r="AD925" s="68"/>
      <c r="AE925" s="68"/>
    </row>
    <row r="926" ht="26.25" customHeight="1">
      <c r="A926" s="68"/>
      <c r="B926" s="68"/>
      <c r="C926" s="61" t="s">
        <v>129</v>
      </c>
      <c r="D926" s="61" t="s">
        <v>130</v>
      </c>
      <c r="E926" s="68"/>
      <c r="F926" s="68"/>
      <c r="G926" s="68"/>
      <c r="H926" s="68"/>
      <c r="I926" s="68"/>
      <c r="J926" s="78"/>
      <c r="K926" s="68"/>
      <c r="L926" s="68"/>
      <c r="M926" s="68"/>
      <c r="N926" s="68"/>
      <c r="O926" s="68"/>
      <c r="P926" s="68"/>
      <c r="Q926" s="68"/>
      <c r="R926" s="68"/>
      <c r="S926" s="68"/>
      <c r="T926" s="68"/>
      <c r="U926" s="68"/>
      <c r="V926" s="68"/>
      <c r="W926" s="68"/>
      <c r="X926" s="68"/>
      <c r="Y926" s="68"/>
      <c r="Z926" s="68"/>
      <c r="AA926" s="68"/>
      <c r="AB926" s="68"/>
      <c r="AC926" s="68"/>
      <c r="AD926" s="68"/>
      <c r="AE926" s="68"/>
    </row>
    <row r="927" ht="26.25" customHeight="1">
      <c r="A927" s="68"/>
      <c r="B927" s="68"/>
      <c r="C927" s="61" t="s">
        <v>129</v>
      </c>
      <c r="D927" s="61" t="s">
        <v>130</v>
      </c>
      <c r="E927" s="68"/>
      <c r="F927" s="68"/>
      <c r="G927" s="68"/>
      <c r="H927" s="68"/>
      <c r="I927" s="68"/>
      <c r="J927" s="78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  <c r="X927" s="68"/>
      <c r="Y927" s="68"/>
      <c r="Z927" s="68"/>
      <c r="AA927" s="68"/>
      <c r="AB927" s="68"/>
      <c r="AC927" s="68"/>
      <c r="AD927" s="68"/>
      <c r="AE927" s="68"/>
    </row>
    <row r="928" ht="26.25" customHeight="1">
      <c r="A928" s="68"/>
      <c r="B928" s="68"/>
      <c r="C928" s="61" t="s">
        <v>129</v>
      </c>
      <c r="D928" s="61" t="s">
        <v>130</v>
      </c>
      <c r="E928" s="68"/>
      <c r="F928" s="68"/>
      <c r="G928" s="68"/>
      <c r="H928" s="68"/>
      <c r="I928" s="68"/>
      <c r="J928" s="78"/>
      <c r="K928" s="68"/>
      <c r="L928" s="68"/>
      <c r="M928" s="68"/>
      <c r="N928" s="68"/>
      <c r="O928" s="68"/>
      <c r="P928" s="68"/>
      <c r="Q928" s="68"/>
      <c r="R928" s="68"/>
      <c r="S928" s="68"/>
      <c r="T928" s="68"/>
      <c r="U928" s="68"/>
      <c r="V928" s="68"/>
      <c r="W928" s="68"/>
      <c r="X928" s="68"/>
      <c r="Y928" s="68"/>
      <c r="Z928" s="68"/>
      <c r="AA928" s="68"/>
      <c r="AB928" s="68"/>
      <c r="AC928" s="68"/>
      <c r="AD928" s="68"/>
      <c r="AE928" s="68"/>
    </row>
    <row r="929" ht="26.25" customHeight="1">
      <c r="A929" s="68"/>
      <c r="B929" s="68"/>
      <c r="C929" s="61" t="s">
        <v>129</v>
      </c>
      <c r="D929" s="61" t="s">
        <v>130</v>
      </c>
      <c r="E929" s="68"/>
      <c r="F929" s="68"/>
      <c r="G929" s="68"/>
      <c r="H929" s="68"/>
      <c r="I929" s="68"/>
      <c r="J929" s="78"/>
      <c r="K929" s="68"/>
      <c r="L929" s="68"/>
      <c r="M929" s="68"/>
      <c r="N929" s="68"/>
      <c r="O929" s="68"/>
      <c r="P929" s="68"/>
      <c r="Q929" s="68"/>
      <c r="R929" s="68"/>
      <c r="S929" s="68"/>
      <c r="T929" s="68"/>
      <c r="U929" s="68"/>
      <c r="V929" s="68"/>
      <c r="W929" s="68"/>
      <c r="X929" s="68"/>
      <c r="Y929" s="68"/>
      <c r="Z929" s="68"/>
      <c r="AA929" s="68"/>
      <c r="AB929" s="68"/>
      <c r="AC929" s="68"/>
      <c r="AD929" s="68"/>
      <c r="AE929" s="68"/>
    </row>
    <row r="930" ht="26.25" customHeight="1">
      <c r="A930" s="68"/>
      <c r="B930" s="68"/>
      <c r="C930" s="61" t="s">
        <v>129</v>
      </c>
      <c r="D930" s="61" t="s">
        <v>130</v>
      </c>
      <c r="E930" s="68"/>
      <c r="F930" s="68"/>
      <c r="G930" s="68"/>
      <c r="H930" s="68"/>
      <c r="I930" s="68"/>
      <c r="J930" s="78"/>
      <c r="K930" s="68"/>
      <c r="L930" s="68"/>
      <c r="M930" s="68"/>
      <c r="N930" s="68"/>
      <c r="O930" s="68"/>
      <c r="P930" s="68"/>
      <c r="Q930" s="68"/>
      <c r="R930" s="68"/>
      <c r="S930" s="68"/>
      <c r="T930" s="68"/>
      <c r="U930" s="68"/>
      <c r="V930" s="68"/>
      <c r="W930" s="68"/>
      <c r="X930" s="68"/>
      <c r="Y930" s="68"/>
      <c r="Z930" s="68"/>
      <c r="AA930" s="68"/>
      <c r="AB930" s="68"/>
      <c r="AC930" s="68"/>
      <c r="AD930" s="68"/>
      <c r="AE930" s="68"/>
    </row>
    <row r="931" ht="26.25" customHeight="1">
      <c r="A931" s="68"/>
      <c r="B931" s="68"/>
      <c r="C931" s="61" t="s">
        <v>129</v>
      </c>
      <c r="D931" s="61" t="s">
        <v>130</v>
      </c>
      <c r="E931" s="68"/>
      <c r="F931" s="68"/>
      <c r="G931" s="68"/>
      <c r="H931" s="68"/>
      <c r="I931" s="68"/>
      <c r="J931" s="78"/>
      <c r="K931" s="68"/>
      <c r="L931" s="68"/>
      <c r="M931" s="68"/>
      <c r="N931" s="68"/>
      <c r="O931" s="68"/>
      <c r="P931" s="68"/>
      <c r="Q931" s="68"/>
      <c r="R931" s="68"/>
      <c r="S931" s="68"/>
      <c r="T931" s="68"/>
      <c r="U931" s="68"/>
      <c r="V931" s="68"/>
      <c r="W931" s="68"/>
      <c r="X931" s="68"/>
      <c r="Y931" s="68"/>
      <c r="Z931" s="68"/>
      <c r="AA931" s="68"/>
      <c r="AB931" s="68"/>
      <c r="AC931" s="68"/>
      <c r="AD931" s="68"/>
      <c r="AE931" s="68"/>
    </row>
    <row r="932" ht="26.25" customHeight="1">
      <c r="A932" s="68"/>
      <c r="B932" s="68"/>
      <c r="C932" s="61" t="s">
        <v>129</v>
      </c>
      <c r="D932" s="61" t="s">
        <v>130</v>
      </c>
      <c r="E932" s="68"/>
      <c r="F932" s="68"/>
      <c r="G932" s="68"/>
      <c r="H932" s="68"/>
      <c r="I932" s="68"/>
      <c r="J932" s="78"/>
      <c r="K932" s="68"/>
      <c r="L932" s="68"/>
      <c r="M932" s="68"/>
      <c r="N932" s="68"/>
      <c r="O932" s="68"/>
      <c r="P932" s="68"/>
      <c r="Q932" s="68"/>
      <c r="R932" s="68"/>
      <c r="S932" s="68"/>
      <c r="T932" s="68"/>
      <c r="U932" s="68"/>
      <c r="V932" s="68"/>
      <c r="W932" s="68"/>
      <c r="X932" s="68"/>
      <c r="Y932" s="68"/>
      <c r="Z932" s="68"/>
      <c r="AA932" s="68"/>
      <c r="AB932" s="68"/>
      <c r="AC932" s="68"/>
      <c r="AD932" s="68"/>
      <c r="AE932" s="68"/>
    </row>
    <row r="933" ht="26.25" customHeight="1">
      <c r="A933" s="68"/>
      <c r="B933" s="68"/>
      <c r="C933" s="61" t="s">
        <v>129</v>
      </c>
      <c r="D933" s="61" t="s">
        <v>130</v>
      </c>
      <c r="E933" s="68"/>
      <c r="F933" s="68"/>
      <c r="G933" s="68"/>
      <c r="H933" s="68"/>
      <c r="I933" s="68"/>
      <c r="J933" s="78"/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  <c r="W933" s="68"/>
      <c r="X933" s="68"/>
      <c r="Y933" s="68"/>
      <c r="Z933" s="68"/>
      <c r="AA933" s="68"/>
      <c r="AB933" s="68"/>
      <c r="AC933" s="68"/>
      <c r="AD933" s="68"/>
      <c r="AE933" s="68"/>
    </row>
    <row r="934" ht="26.25" customHeight="1">
      <c r="A934" s="68"/>
      <c r="B934" s="68"/>
      <c r="C934" s="61" t="s">
        <v>129</v>
      </c>
      <c r="D934" s="61" t="s">
        <v>130</v>
      </c>
      <c r="E934" s="68"/>
      <c r="F934" s="68"/>
      <c r="G934" s="68"/>
      <c r="H934" s="68"/>
      <c r="I934" s="68"/>
      <c r="J934" s="78"/>
      <c r="K934" s="68"/>
      <c r="L934" s="68"/>
      <c r="M934" s="68"/>
      <c r="N934" s="68"/>
      <c r="O934" s="68"/>
      <c r="P934" s="68"/>
      <c r="Q934" s="68"/>
      <c r="R934" s="68"/>
      <c r="S934" s="68"/>
      <c r="T934" s="68"/>
      <c r="U934" s="68"/>
      <c r="V934" s="68"/>
      <c r="W934" s="68"/>
      <c r="X934" s="68"/>
      <c r="Y934" s="68"/>
      <c r="Z934" s="68"/>
      <c r="AA934" s="68"/>
      <c r="AB934" s="68"/>
      <c r="AC934" s="68"/>
      <c r="AD934" s="68"/>
      <c r="AE934" s="68"/>
    </row>
    <row r="935" ht="26.25" customHeight="1">
      <c r="A935" s="68"/>
      <c r="B935" s="68"/>
      <c r="C935" s="61" t="s">
        <v>129</v>
      </c>
      <c r="D935" s="61" t="s">
        <v>130</v>
      </c>
      <c r="E935" s="68"/>
      <c r="F935" s="68"/>
      <c r="G935" s="68"/>
      <c r="H935" s="68"/>
      <c r="I935" s="68"/>
      <c r="J935" s="78"/>
      <c r="K935" s="68"/>
      <c r="L935" s="68"/>
      <c r="M935" s="68"/>
      <c r="N935" s="68"/>
      <c r="O935" s="68"/>
      <c r="P935" s="68"/>
      <c r="Q935" s="68"/>
      <c r="R935" s="68"/>
      <c r="S935" s="68"/>
      <c r="T935" s="68"/>
      <c r="U935" s="68"/>
      <c r="V935" s="68"/>
      <c r="W935" s="68"/>
      <c r="X935" s="68"/>
      <c r="Y935" s="68"/>
      <c r="Z935" s="68"/>
      <c r="AA935" s="68"/>
      <c r="AB935" s="68"/>
      <c r="AC935" s="68"/>
      <c r="AD935" s="68"/>
      <c r="AE935" s="68"/>
    </row>
    <row r="936" ht="26.25" customHeight="1">
      <c r="A936" s="68"/>
      <c r="B936" s="68"/>
      <c r="C936" s="61" t="s">
        <v>129</v>
      </c>
      <c r="D936" s="61" t="s">
        <v>130</v>
      </c>
      <c r="E936" s="68"/>
      <c r="F936" s="68"/>
      <c r="G936" s="68"/>
      <c r="H936" s="68"/>
      <c r="I936" s="68"/>
      <c r="J936" s="78"/>
      <c r="K936" s="68"/>
      <c r="L936" s="68"/>
      <c r="M936" s="68"/>
      <c r="N936" s="68"/>
      <c r="O936" s="68"/>
      <c r="P936" s="68"/>
      <c r="Q936" s="68"/>
      <c r="R936" s="68"/>
      <c r="S936" s="68"/>
      <c r="T936" s="68"/>
      <c r="U936" s="68"/>
      <c r="V936" s="68"/>
      <c r="W936" s="68"/>
      <c r="X936" s="68"/>
      <c r="Y936" s="68"/>
      <c r="Z936" s="68"/>
      <c r="AA936" s="68"/>
      <c r="AB936" s="68"/>
      <c r="AC936" s="68"/>
      <c r="AD936" s="68"/>
      <c r="AE936" s="68"/>
    </row>
    <row r="937" ht="26.25" customHeight="1">
      <c r="A937" s="68"/>
      <c r="B937" s="68"/>
      <c r="C937" s="61" t="s">
        <v>129</v>
      </c>
      <c r="D937" s="61" t="s">
        <v>130</v>
      </c>
      <c r="E937" s="68"/>
      <c r="F937" s="68"/>
      <c r="G937" s="68"/>
      <c r="H937" s="68"/>
      <c r="I937" s="68"/>
      <c r="J937" s="78"/>
      <c r="K937" s="68"/>
      <c r="L937" s="68"/>
      <c r="M937" s="68"/>
      <c r="N937" s="68"/>
      <c r="O937" s="68"/>
      <c r="P937" s="68"/>
      <c r="Q937" s="68"/>
      <c r="R937" s="68"/>
      <c r="S937" s="68"/>
      <c r="T937" s="68"/>
      <c r="U937" s="68"/>
      <c r="V937" s="68"/>
      <c r="W937" s="68"/>
      <c r="X937" s="68"/>
      <c r="Y937" s="68"/>
      <c r="Z937" s="68"/>
      <c r="AA937" s="68"/>
      <c r="AB937" s="68"/>
      <c r="AC937" s="68"/>
      <c r="AD937" s="68"/>
      <c r="AE937" s="68"/>
    </row>
    <row r="938" ht="26.25" customHeight="1">
      <c r="A938" s="68"/>
      <c r="B938" s="68"/>
      <c r="C938" s="61" t="s">
        <v>129</v>
      </c>
      <c r="D938" s="61" t="s">
        <v>130</v>
      </c>
      <c r="E938" s="68"/>
      <c r="F938" s="68"/>
      <c r="G938" s="68"/>
      <c r="H938" s="68"/>
      <c r="I938" s="68"/>
      <c r="J938" s="78"/>
      <c r="K938" s="68"/>
      <c r="L938" s="68"/>
      <c r="M938" s="68"/>
      <c r="N938" s="68"/>
      <c r="O938" s="68"/>
      <c r="P938" s="68"/>
      <c r="Q938" s="68"/>
      <c r="R938" s="68"/>
      <c r="S938" s="68"/>
      <c r="T938" s="68"/>
      <c r="U938" s="68"/>
      <c r="V938" s="68"/>
      <c r="W938" s="68"/>
      <c r="X938" s="68"/>
      <c r="Y938" s="68"/>
      <c r="Z938" s="68"/>
      <c r="AA938" s="68"/>
      <c r="AB938" s="68"/>
      <c r="AC938" s="68"/>
      <c r="AD938" s="68"/>
      <c r="AE938" s="68"/>
    </row>
    <row r="939" ht="26.25" customHeight="1">
      <c r="A939" s="68"/>
      <c r="B939" s="68"/>
      <c r="C939" s="61" t="s">
        <v>129</v>
      </c>
      <c r="D939" s="61" t="s">
        <v>130</v>
      </c>
      <c r="E939" s="68"/>
      <c r="F939" s="68"/>
      <c r="G939" s="68"/>
      <c r="H939" s="68"/>
      <c r="I939" s="68"/>
      <c r="J939" s="78"/>
      <c r="K939" s="68"/>
      <c r="L939" s="68"/>
      <c r="M939" s="68"/>
      <c r="N939" s="68"/>
      <c r="O939" s="68"/>
      <c r="P939" s="68"/>
      <c r="Q939" s="68"/>
      <c r="R939" s="68"/>
      <c r="S939" s="68"/>
      <c r="T939" s="68"/>
      <c r="U939" s="68"/>
      <c r="V939" s="68"/>
      <c r="W939" s="68"/>
      <c r="X939" s="68"/>
      <c r="Y939" s="68"/>
      <c r="Z939" s="68"/>
      <c r="AA939" s="68"/>
      <c r="AB939" s="68"/>
      <c r="AC939" s="68"/>
      <c r="AD939" s="68"/>
      <c r="AE939" s="68"/>
    </row>
    <row r="940" ht="26.25" customHeight="1">
      <c r="A940" s="68"/>
      <c r="B940" s="68"/>
      <c r="C940" s="61" t="s">
        <v>129</v>
      </c>
      <c r="D940" s="61" t="s">
        <v>130</v>
      </c>
      <c r="E940" s="68"/>
      <c r="F940" s="68"/>
      <c r="G940" s="68"/>
      <c r="H940" s="68"/>
      <c r="I940" s="68"/>
      <c r="J940" s="78"/>
      <c r="K940" s="68"/>
      <c r="L940" s="68"/>
      <c r="M940" s="68"/>
      <c r="N940" s="68"/>
      <c r="O940" s="68"/>
      <c r="P940" s="68"/>
      <c r="Q940" s="68"/>
      <c r="R940" s="68"/>
      <c r="S940" s="68"/>
      <c r="T940" s="68"/>
      <c r="U940" s="68"/>
      <c r="V940" s="68"/>
      <c r="W940" s="68"/>
      <c r="X940" s="68"/>
      <c r="Y940" s="68"/>
      <c r="Z940" s="68"/>
      <c r="AA940" s="68"/>
      <c r="AB940" s="68"/>
      <c r="AC940" s="68"/>
      <c r="AD940" s="68"/>
      <c r="AE940" s="68"/>
    </row>
    <row r="941" ht="26.25" customHeight="1">
      <c r="A941" s="68"/>
      <c r="B941" s="68"/>
      <c r="C941" s="61" t="s">
        <v>129</v>
      </c>
      <c r="D941" s="61" t="s">
        <v>130</v>
      </c>
      <c r="E941" s="68"/>
      <c r="F941" s="68"/>
      <c r="G941" s="68"/>
      <c r="H941" s="68"/>
      <c r="I941" s="68"/>
      <c r="J941" s="78"/>
      <c r="K941" s="68"/>
      <c r="L941" s="68"/>
      <c r="M941" s="68"/>
      <c r="N941" s="68"/>
      <c r="O941" s="68"/>
      <c r="P941" s="68"/>
      <c r="Q941" s="68"/>
      <c r="R941" s="68"/>
      <c r="S941" s="68"/>
      <c r="T941" s="68"/>
      <c r="U941" s="68"/>
      <c r="V941" s="68"/>
      <c r="W941" s="68"/>
      <c r="X941" s="68"/>
      <c r="Y941" s="68"/>
      <c r="Z941" s="68"/>
      <c r="AA941" s="68"/>
      <c r="AB941" s="68"/>
      <c r="AC941" s="68"/>
      <c r="AD941" s="68"/>
      <c r="AE941" s="68"/>
    </row>
    <row r="942" ht="26.25" customHeight="1">
      <c r="A942" s="68"/>
      <c r="B942" s="68"/>
      <c r="C942" s="61" t="s">
        <v>129</v>
      </c>
      <c r="D942" s="61" t="s">
        <v>130</v>
      </c>
      <c r="E942" s="68"/>
      <c r="F942" s="68"/>
      <c r="G942" s="68"/>
      <c r="H942" s="68"/>
      <c r="I942" s="68"/>
      <c r="J942" s="78"/>
      <c r="K942" s="68"/>
      <c r="L942" s="68"/>
      <c r="M942" s="68"/>
      <c r="N942" s="68"/>
      <c r="O942" s="68"/>
      <c r="P942" s="68"/>
      <c r="Q942" s="68"/>
      <c r="R942" s="68"/>
      <c r="S942" s="68"/>
      <c r="T942" s="68"/>
      <c r="U942" s="68"/>
      <c r="V942" s="68"/>
      <c r="W942" s="68"/>
      <c r="X942" s="68"/>
      <c r="Y942" s="68"/>
      <c r="Z942" s="68"/>
      <c r="AA942" s="68"/>
      <c r="AB942" s="68"/>
      <c r="AC942" s="68"/>
      <c r="AD942" s="68"/>
      <c r="AE942" s="68"/>
    </row>
    <row r="943" ht="26.25" customHeight="1">
      <c r="A943" s="68"/>
      <c r="B943" s="68"/>
      <c r="C943" s="61" t="s">
        <v>129</v>
      </c>
      <c r="D943" s="61" t="s">
        <v>130</v>
      </c>
      <c r="E943" s="68"/>
      <c r="F943" s="68"/>
      <c r="G943" s="68"/>
      <c r="H943" s="68"/>
      <c r="I943" s="68"/>
      <c r="J943" s="78"/>
      <c r="K943" s="68"/>
      <c r="L943" s="68"/>
      <c r="M943" s="68"/>
      <c r="N943" s="68"/>
      <c r="O943" s="68"/>
      <c r="P943" s="68"/>
      <c r="Q943" s="68"/>
      <c r="R943" s="68"/>
      <c r="S943" s="68"/>
      <c r="T943" s="68"/>
      <c r="U943" s="68"/>
      <c r="V943" s="68"/>
      <c r="W943" s="68"/>
      <c r="X943" s="68"/>
      <c r="Y943" s="68"/>
      <c r="Z943" s="68"/>
      <c r="AA943" s="68"/>
      <c r="AB943" s="68"/>
      <c r="AC943" s="68"/>
      <c r="AD943" s="68"/>
      <c r="AE943" s="68"/>
    </row>
    <row r="944" ht="26.25" customHeight="1">
      <c r="A944" s="68"/>
      <c r="B944" s="68"/>
      <c r="C944" s="61" t="s">
        <v>129</v>
      </c>
      <c r="D944" s="61" t="s">
        <v>130</v>
      </c>
      <c r="E944" s="68"/>
      <c r="F944" s="68"/>
      <c r="G944" s="68"/>
      <c r="H944" s="68"/>
      <c r="I944" s="68"/>
      <c r="J944" s="78"/>
      <c r="K944" s="68"/>
      <c r="L944" s="68"/>
      <c r="M944" s="68"/>
      <c r="N944" s="68"/>
      <c r="O944" s="68"/>
      <c r="P944" s="68"/>
      <c r="Q944" s="68"/>
      <c r="R944" s="68"/>
      <c r="S944" s="68"/>
      <c r="T944" s="68"/>
      <c r="U944" s="68"/>
      <c r="V944" s="68"/>
      <c r="W944" s="68"/>
      <c r="X944" s="68"/>
      <c r="Y944" s="68"/>
      <c r="Z944" s="68"/>
      <c r="AA944" s="68"/>
      <c r="AB944" s="68"/>
      <c r="AC944" s="68"/>
      <c r="AD944" s="68"/>
      <c r="AE944" s="68"/>
    </row>
    <row r="945" ht="26.25" customHeight="1">
      <c r="A945" s="68"/>
      <c r="B945" s="68"/>
      <c r="C945" s="61" t="s">
        <v>129</v>
      </c>
      <c r="D945" s="61" t="s">
        <v>130</v>
      </c>
      <c r="E945" s="68"/>
      <c r="F945" s="68"/>
      <c r="G945" s="68"/>
      <c r="H945" s="68"/>
      <c r="I945" s="68"/>
      <c r="J945" s="78"/>
      <c r="K945" s="68"/>
      <c r="L945" s="68"/>
      <c r="M945" s="68"/>
      <c r="N945" s="68"/>
      <c r="O945" s="68"/>
      <c r="P945" s="68"/>
      <c r="Q945" s="68"/>
      <c r="R945" s="68"/>
      <c r="S945" s="68"/>
      <c r="T945" s="68"/>
      <c r="U945" s="68"/>
      <c r="V945" s="68"/>
      <c r="W945" s="68"/>
      <c r="X945" s="68"/>
      <c r="Y945" s="68"/>
      <c r="Z945" s="68"/>
      <c r="AA945" s="68"/>
      <c r="AB945" s="68"/>
      <c r="AC945" s="68"/>
      <c r="AD945" s="68"/>
      <c r="AE945" s="68"/>
    </row>
    <row r="946" ht="26.25" customHeight="1">
      <c r="A946" s="68"/>
      <c r="B946" s="68"/>
      <c r="C946" s="61" t="s">
        <v>129</v>
      </c>
      <c r="D946" s="61" t="s">
        <v>130</v>
      </c>
      <c r="E946" s="68"/>
      <c r="F946" s="68"/>
      <c r="G946" s="68"/>
      <c r="H946" s="68"/>
      <c r="I946" s="68"/>
      <c r="J946" s="78"/>
      <c r="K946" s="68"/>
      <c r="L946" s="68"/>
      <c r="M946" s="68"/>
      <c r="N946" s="68"/>
      <c r="O946" s="68"/>
      <c r="P946" s="68"/>
      <c r="Q946" s="68"/>
      <c r="R946" s="68"/>
      <c r="S946" s="68"/>
      <c r="T946" s="68"/>
      <c r="U946" s="68"/>
      <c r="V946" s="68"/>
      <c r="W946" s="68"/>
      <c r="X946" s="68"/>
      <c r="Y946" s="68"/>
      <c r="Z946" s="68"/>
      <c r="AA946" s="68"/>
      <c r="AB946" s="68"/>
      <c r="AC946" s="68"/>
      <c r="AD946" s="68"/>
      <c r="AE946" s="68"/>
    </row>
    <row r="947" ht="26.25" customHeight="1">
      <c r="A947" s="68"/>
      <c r="B947" s="68"/>
      <c r="C947" s="61" t="s">
        <v>129</v>
      </c>
      <c r="D947" s="61" t="s">
        <v>130</v>
      </c>
      <c r="E947" s="68"/>
      <c r="F947" s="68"/>
      <c r="G947" s="68"/>
      <c r="H947" s="68"/>
      <c r="I947" s="68"/>
      <c r="J947" s="78"/>
      <c r="K947" s="68"/>
      <c r="L947" s="68"/>
      <c r="M947" s="68"/>
      <c r="N947" s="68"/>
      <c r="O947" s="68"/>
      <c r="P947" s="68"/>
      <c r="Q947" s="68"/>
      <c r="R947" s="68"/>
      <c r="S947" s="68"/>
      <c r="T947" s="68"/>
      <c r="U947" s="68"/>
      <c r="V947" s="68"/>
      <c r="W947" s="68"/>
      <c r="X947" s="68"/>
      <c r="Y947" s="68"/>
      <c r="Z947" s="68"/>
      <c r="AA947" s="68"/>
      <c r="AB947" s="68"/>
      <c r="AC947" s="68"/>
      <c r="AD947" s="68"/>
      <c r="AE947" s="68"/>
    </row>
    <row r="948" ht="26.25" customHeight="1">
      <c r="A948" s="68"/>
      <c r="B948" s="68"/>
      <c r="C948" s="61" t="s">
        <v>129</v>
      </c>
      <c r="D948" s="61" t="s">
        <v>130</v>
      </c>
      <c r="E948" s="68"/>
      <c r="F948" s="68"/>
      <c r="G948" s="68"/>
      <c r="H948" s="68"/>
      <c r="I948" s="68"/>
      <c r="J948" s="78"/>
      <c r="K948" s="68"/>
      <c r="L948" s="68"/>
      <c r="M948" s="68"/>
      <c r="N948" s="68"/>
      <c r="O948" s="68"/>
      <c r="P948" s="68"/>
      <c r="Q948" s="68"/>
      <c r="R948" s="68"/>
      <c r="S948" s="68"/>
      <c r="T948" s="68"/>
      <c r="U948" s="68"/>
      <c r="V948" s="68"/>
      <c r="W948" s="68"/>
      <c r="X948" s="68"/>
      <c r="Y948" s="68"/>
      <c r="Z948" s="68"/>
      <c r="AA948" s="68"/>
      <c r="AB948" s="68"/>
      <c r="AC948" s="68"/>
      <c r="AD948" s="68"/>
      <c r="AE948" s="68"/>
    </row>
    <row r="949" ht="26.25" customHeight="1">
      <c r="A949" s="68"/>
      <c r="B949" s="68"/>
      <c r="C949" s="61" t="s">
        <v>129</v>
      </c>
      <c r="D949" s="61" t="s">
        <v>130</v>
      </c>
      <c r="E949" s="68"/>
      <c r="F949" s="68"/>
      <c r="G949" s="68"/>
      <c r="H949" s="68"/>
      <c r="I949" s="68"/>
      <c r="J949" s="78"/>
      <c r="K949" s="68"/>
      <c r="L949" s="68"/>
      <c r="M949" s="68"/>
      <c r="N949" s="68"/>
      <c r="O949" s="68"/>
      <c r="P949" s="68"/>
      <c r="Q949" s="68"/>
      <c r="R949" s="68"/>
      <c r="S949" s="68"/>
      <c r="T949" s="68"/>
      <c r="U949" s="68"/>
      <c r="V949" s="68"/>
      <c r="W949" s="68"/>
      <c r="X949" s="68"/>
      <c r="Y949" s="68"/>
      <c r="Z949" s="68"/>
      <c r="AA949" s="68"/>
      <c r="AB949" s="68"/>
      <c r="AC949" s="68"/>
      <c r="AD949" s="68"/>
      <c r="AE949" s="68"/>
    </row>
    <row r="950" ht="26.25" customHeight="1">
      <c r="A950" s="68"/>
      <c r="B950" s="68"/>
      <c r="C950" s="61" t="s">
        <v>129</v>
      </c>
      <c r="D950" s="61" t="s">
        <v>130</v>
      </c>
      <c r="E950" s="68"/>
      <c r="F950" s="68"/>
      <c r="G950" s="68"/>
      <c r="H950" s="68"/>
      <c r="I950" s="68"/>
      <c r="J950" s="78"/>
      <c r="K950" s="68"/>
      <c r="L950" s="68"/>
      <c r="M950" s="68"/>
      <c r="N950" s="68"/>
      <c r="O950" s="68"/>
      <c r="P950" s="68"/>
      <c r="Q950" s="68"/>
      <c r="R950" s="68"/>
      <c r="S950" s="68"/>
      <c r="T950" s="68"/>
      <c r="U950" s="68"/>
      <c r="V950" s="68"/>
      <c r="W950" s="68"/>
      <c r="X950" s="68"/>
      <c r="Y950" s="68"/>
      <c r="Z950" s="68"/>
      <c r="AA950" s="68"/>
      <c r="AB950" s="68"/>
      <c r="AC950" s="68"/>
      <c r="AD950" s="68"/>
      <c r="AE950" s="68"/>
    </row>
    <row r="951" ht="26.25" customHeight="1">
      <c r="A951" s="68"/>
      <c r="B951" s="68"/>
      <c r="C951" s="61" t="s">
        <v>129</v>
      </c>
      <c r="D951" s="61" t="s">
        <v>130</v>
      </c>
      <c r="E951" s="68"/>
      <c r="F951" s="68"/>
      <c r="G951" s="68"/>
      <c r="H951" s="68"/>
      <c r="I951" s="68"/>
      <c r="J951" s="78"/>
      <c r="K951" s="68"/>
      <c r="L951" s="68"/>
      <c r="M951" s="68"/>
      <c r="N951" s="68"/>
      <c r="O951" s="68"/>
      <c r="P951" s="68"/>
      <c r="Q951" s="68"/>
      <c r="R951" s="68"/>
      <c r="S951" s="68"/>
      <c r="T951" s="68"/>
      <c r="U951" s="68"/>
      <c r="V951" s="68"/>
      <c r="W951" s="68"/>
      <c r="X951" s="68"/>
      <c r="Y951" s="68"/>
      <c r="Z951" s="68"/>
      <c r="AA951" s="68"/>
      <c r="AB951" s="68"/>
      <c r="AC951" s="68"/>
      <c r="AD951" s="68"/>
      <c r="AE951" s="68"/>
    </row>
    <row r="952" ht="26.25" customHeight="1">
      <c r="A952" s="68"/>
      <c r="B952" s="68"/>
      <c r="C952" s="61" t="s">
        <v>129</v>
      </c>
      <c r="D952" s="61" t="s">
        <v>130</v>
      </c>
      <c r="E952" s="68"/>
      <c r="F952" s="68"/>
      <c r="G952" s="68"/>
      <c r="H952" s="68"/>
      <c r="I952" s="68"/>
      <c r="J952" s="78"/>
      <c r="K952" s="68"/>
      <c r="L952" s="68"/>
      <c r="M952" s="68"/>
      <c r="N952" s="68"/>
      <c r="O952" s="68"/>
      <c r="P952" s="68"/>
      <c r="Q952" s="68"/>
      <c r="R952" s="68"/>
      <c r="S952" s="68"/>
      <c r="T952" s="68"/>
      <c r="U952" s="68"/>
      <c r="V952" s="68"/>
      <c r="W952" s="68"/>
      <c r="X952" s="68"/>
      <c r="Y952" s="68"/>
      <c r="Z952" s="68"/>
      <c r="AA952" s="68"/>
      <c r="AB952" s="68"/>
      <c r="AC952" s="68"/>
      <c r="AD952" s="68"/>
      <c r="AE952" s="68"/>
    </row>
    <row r="953" ht="26.25" customHeight="1">
      <c r="A953" s="68"/>
      <c r="B953" s="68"/>
      <c r="C953" s="61" t="s">
        <v>129</v>
      </c>
      <c r="D953" s="61" t="s">
        <v>130</v>
      </c>
      <c r="E953" s="68"/>
      <c r="F953" s="68"/>
      <c r="G953" s="68"/>
      <c r="H953" s="68"/>
      <c r="I953" s="68"/>
      <c r="J953" s="7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  <c r="AA953" s="68"/>
      <c r="AB953" s="68"/>
      <c r="AC953" s="68"/>
      <c r="AD953" s="68"/>
      <c r="AE953" s="68"/>
    </row>
    <row r="954" ht="26.25" customHeight="1">
      <c r="A954" s="68"/>
      <c r="B954" s="68"/>
      <c r="C954" s="61" t="s">
        <v>129</v>
      </c>
      <c r="D954" s="61" t="s">
        <v>130</v>
      </c>
      <c r="E954" s="68"/>
      <c r="F954" s="68"/>
      <c r="G954" s="68"/>
      <c r="H954" s="68"/>
      <c r="I954" s="68"/>
      <c r="J954" s="78"/>
      <c r="K954" s="68"/>
      <c r="L954" s="68"/>
      <c r="M954" s="68"/>
      <c r="N954" s="68"/>
      <c r="O954" s="68"/>
      <c r="P954" s="68"/>
      <c r="Q954" s="68"/>
      <c r="R954" s="68"/>
      <c r="S954" s="68"/>
      <c r="T954" s="68"/>
      <c r="U954" s="68"/>
      <c r="V954" s="68"/>
      <c r="W954" s="68"/>
      <c r="X954" s="68"/>
      <c r="Y954" s="68"/>
      <c r="Z954" s="68"/>
      <c r="AA954" s="68"/>
      <c r="AB954" s="68"/>
      <c r="AC954" s="68"/>
      <c r="AD954" s="68"/>
      <c r="AE954" s="68"/>
    </row>
    <row r="955" ht="26.25" customHeight="1">
      <c r="A955" s="68"/>
      <c r="B955" s="68"/>
      <c r="C955" s="61" t="s">
        <v>129</v>
      </c>
      <c r="D955" s="61" t="s">
        <v>130</v>
      </c>
      <c r="E955" s="68"/>
      <c r="F955" s="68"/>
      <c r="G955" s="68"/>
      <c r="H955" s="68"/>
      <c r="I955" s="68"/>
      <c r="J955" s="78"/>
      <c r="K955" s="68"/>
      <c r="L955" s="68"/>
      <c r="M955" s="68"/>
      <c r="N955" s="68"/>
      <c r="O955" s="68"/>
      <c r="P955" s="68"/>
      <c r="Q955" s="68"/>
      <c r="R955" s="68"/>
      <c r="S955" s="68"/>
      <c r="T955" s="68"/>
      <c r="U955" s="68"/>
      <c r="V955" s="68"/>
      <c r="W955" s="68"/>
      <c r="X955" s="68"/>
      <c r="Y955" s="68"/>
      <c r="Z955" s="68"/>
      <c r="AA955" s="68"/>
      <c r="AB955" s="68"/>
      <c r="AC955" s="68"/>
      <c r="AD955" s="68"/>
      <c r="AE955" s="68"/>
    </row>
    <row r="956" ht="26.25" customHeight="1">
      <c r="A956" s="68"/>
      <c r="B956" s="68"/>
      <c r="C956" s="61" t="s">
        <v>129</v>
      </c>
      <c r="D956" s="61" t="s">
        <v>130</v>
      </c>
      <c r="E956" s="68"/>
      <c r="F956" s="68"/>
      <c r="G956" s="68"/>
      <c r="H956" s="68"/>
      <c r="I956" s="68"/>
      <c r="J956" s="78"/>
      <c r="K956" s="68"/>
      <c r="L956" s="68"/>
      <c r="M956" s="68"/>
      <c r="N956" s="68"/>
      <c r="O956" s="68"/>
      <c r="P956" s="68"/>
      <c r="Q956" s="68"/>
      <c r="R956" s="68"/>
      <c r="S956" s="68"/>
      <c r="T956" s="68"/>
      <c r="U956" s="68"/>
      <c r="V956" s="68"/>
      <c r="W956" s="68"/>
      <c r="X956" s="68"/>
      <c r="Y956" s="68"/>
      <c r="Z956" s="68"/>
      <c r="AA956" s="68"/>
      <c r="AB956" s="68"/>
      <c r="AC956" s="68"/>
      <c r="AD956" s="68"/>
      <c r="AE956" s="68"/>
    </row>
    <row r="957" ht="26.25" customHeight="1">
      <c r="A957" s="68"/>
      <c r="B957" s="68"/>
      <c r="C957" s="61" t="s">
        <v>129</v>
      </c>
      <c r="D957" s="61" t="s">
        <v>130</v>
      </c>
      <c r="E957" s="68"/>
      <c r="F957" s="68"/>
      <c r="G957" s="68"/>
      <c r="H957" s="68"/>
      <c r="I957" s="68"/>
      <c r="J957" s="78"/>
      <c r="K957" s="68"/>
      <c r="L957" s="68"/>
      <c r="M957" s="68"/>
      <c r="N957" s="68"/>
      <c r="O957" s="68"/>
      <c r="P957" s="68"/>
      <c r="Q957" s="68"/>
      <c r="R957" s="68"/>
      <c r="S957" s="68"/>
      <c r="T957" s="68"/>
      <c r="U957" s="68"/>
      <c r="V957" s="68"/>
      <c r="W957" s="68"/>
      <c r="X957" s="68"/>
      <c r="Y957" s="68"/>
      <c r="Z957" s="68"/>
      <c r="AA957" s="68"/>
      <c r="AB957" s="68"/>
      <c r="AC957" s="68"/>
      <c r="AD957" s="68"/>
      <c r="AE957" s="68"/>
    </row>
    <row r="958" ht="26.25" customHeight="1">
      <c r="A958" s="68"/>
      <c r="B958" s="68"/>
      <c r="C958" s="61" t="s">
        <v>129</v>
      </c>
      <c r="D958" s="61" t="s">
        <v>130</v>
      </c>
      <c r="E958" s="68"/>
      <c r="F958" s="68"/>
      <c r="G958" s="68"/>
      <c r="H958" s="68"/>
      <c r="I958" s="68"/>
      <c r="J958" s="78"/>
      <c r="K958" s="68"/>
      <c r="L958" s="68"/>
      <c r="M958" s="68"/>
      <c r="N958" s="68"/>
      <c r="O958" s="68"/>
      <c r="P958" s="68"/>
      <c r="Q958" s="68"/>
      <c r="R958" s="68"/>
      <c r="S958" s="68"/>
      <c r="T958" s="68"/>
      <c r="U958" s="68"/>
      <c r="V958" s="68"/>
      <c r="W958" s="68"/>
      <c r="X958" s="68"/>
      <c r="Y958" s="68"/>
      <c r="Z958" s="68"/>
      <c r="AA958" s="68"/>
      <c r="AB958" s="68"/>
      <c r="AC958" s="68"/>
      <c r="AD958" s="68"/>
      <c r="AE958" s="68"/>
    </row>
    <row r="959" ht="26.25" customHeight="1">
      <c r="A959" s="68"/>
      <c r="B959" s="68"/>
      <c r="C959" s="61" t="s">
        <v>129</v>
      </c>
      <c r="D959" s="61" t="s">
        <v>130</v>
      </c>
      <c r="E959" s="68"/>
      <c r="F959" s="68"/>
      <c r="G959" s="68"/>
      <c r="H959" s="68"/>
      <c r="I959" s="68"/>
      <c r="J959" s="78"/>
      <c r="K959" s="68"/>
      <c r="L959" s="68"/>
      <c r="M959" s="68"/>
      <c r="N959" s="68"/>
      <c r="O959" s="68"/>
      <c r="P959" s="68"/>
      <c r="Q959" s="68"/>
      <c r="R959" s="68"/>
      <c r="S959" s="68"/>
      <c r="T959" s="68"/>
      <c r="U959" s="68"/>
      <c r="V959" s="68"/>
      <c r="W959" s="68"/>
      <c r="X959" s="68"/>
      <c r="Y959" s="68"/>
      <c r="Z959" s="68"/>
      <c r="AA959" s="68"/>
      <c r="AB959" s="68"/>
      <c r="AC959" s="68"/>
      <c r="AD959" s="68"/>
      <c r="AE959" s="68"/>
    </row>
    <row r="960" ht="26.25" customHeight="1">
      <c r="A960" s="68"/>
      <c r="B960" s="68"/>
      <c r="C960" s="61" t="s">
        <v>129</v>
      </c>
      <c r="D960" s="61" t="s">
        <v>130</v>
      </c>
      <c r="E960" s="68"/>
      <c r="F960" s="68"/>
      <c r="G960" s="68"/>
      <c r="H960" s="68"/>
      <c r="I960" s="68"/>
      <c r="J960" s="78"/>
      <c r="K960" s="68"/>
      <c r="L960" s="68"/>
      <c r="M960" s="68"/>
      <c r="N960" s="68"/>
      <c r="O960" s="68"/>
      <c r="P960" s="68"/>
      <c r="Q960" s="68"/>
      <c r="R960" s="68"/>
      <c r="S960" s="68"/>
      <c r="T960" s="68"/>
      <c r="U960" s="68"/>
      <c r="V960" s="68"/>
      <c r="W960" s="68"/>
      <c r="X960" s="68"/>
      <c r="Y960" s="68"/>
      <c r="Z960" s="68"/>
      <c r="AA960" s="68"/>
      <c r="AB960" s="68"/>
      <c r="AC960" s="68"/>
      <c r="AD960" s="68"/>
      <c r="AE960" s="68"/>
    </row>
    <row r="961" ht="26.25" customHeight="1">
      <c r="A961" s="68"/>
      <c r="B961" s="68"/>
      <c r="C961" s="61" t="s">
        <v>129</v>
      </c>
      <c r="D961" s="61" t="s">
        <v>130</v>
      </c>
      <c r="E961" s="68"/>
      <c r="F961" s="68"/>
      <c r="G961" s="68"/>
      <c r="H961" s="68"/>
      <c r="I961" s="68"/>
      <c r="J961" s="78"/>
      <c r="K961" s="68"/>
      <c r="L961" s="68"/>
      <c r="M961" s="68"/>
      <c r="N961" s="68"/>
      <c r="O961" s="68"/>
      <c r="P961" s="68"/>
      <c r="Q961" s="68"/>
      <c r="R961" s="68"/>
      <c r="S961" s="68"/>
      <c r="T961" s="68"/>
      <c r="U961" s="68"/>
      <c r="V961" s="68"/>
      <c r="W961" s="68"/>
      <c r="X961" s="68"/>
      <c r="Y961" s="68"/>
      <c r="Z961" s="68"/>
      <c r="AA961" s="68"/>
      <c r="AB961" s="68"/>
      <c r="AC961" s="68"/>
      <c r="AD961" s="68"/>
      <c r="AE961" s="68"/>
    </row>
    <row r="962" ht="26.25" customHeight="1">
      <c r="A962" s="68"/>
      <c r="B962" s="68"/>
      <c r="C962" s="61" t="s">
        <v>129</v>
      </c>
      <c r="D962" s="61" t="s">
        <v>130</v>
      </c>
      <c r="E962" s="68"/>
      <c r="F962" s="68"/>
      <c r="G962" s="68"/>
      <c r="H962" s="68"/>
      <c r="I962" s="68"/>
      <c r="J962" s="78"/>
      <c r="K962" s="68"/>
      <c r="L962" s="68"/>
      <c r="M962" s="68"/>
      <c r="N962" s="68"/>
      <c r="O962" s="68"/>
      <c r="P962" s="68"/>
      <c r="Q962" s="68"/>
      <c r="R962" s="68"/>
      <c r="S962" s="68"/>
      <c r="T962" s="68"/>
      <c r="U962" s="68"/>
      <c r="V962" s="68"/>
      <c r="W962" s="68"/>
      <c r="X962" s="68"/>
      <c r="Y962" s="68"/>
      <c r="Z962" s="68"/>
      <c r="AA962" s="68"/>
      <c r="AB962" s="68"/>
      <c r="AC962" s="68"/>
      <c r="AD962" s="68"/>
      <c r="AE962" s="68"/>
    </row>
    <row r="963" ht="26.25" customHeight="1">
      <c r="A963" s="68"/>
      <c r="B963" s="68"/>
      <c r="C963" s="61" t="s">
        <v>129</v>
      </c>
      <c r="D963" s="61" t="s">
        <v>130</v>
      </c>
      <c r="E963" s="68"/>
      <c r="F963" s="68"/>
      <c r="G963" s="68"/>
      <c r="H963" s="68"/>
      <c r="I963" s="68"/>
      <c r="J963" s="78"/>
      <c r="K963" s="68"/>
      <c r="L963" s="68"/>
      <c r="M963" s="68"/>
      <c r="N963" s="68"/>
      <c r="O963" s="68"/>
      <c r="P963" s="68"/>
      <c r="Q963" s="68"/>
      <c r="R963" s="68"/>
      <c r="S963" s="68"/>
      <c r="T963" s="68"/>
      <c r="U963" s="68"/>
      <c r="V963" s="68"/>
      <c r="W963" s="68"/>
      <c r="X963" s="68"/>
      <c r="Y963" s="68"/>
      <c r="Z963" s="68"/>
      <c r="AA963" s="68"/>
      <c r="AB963" s="68"/>
      <c r="AC963" s="68"/>
      <c r="AD963" s="68"/>
      <c r="AE963" s="68"/>
    </row>
    <row r="964" ht="26.25" customHeight="1">
      <c r="A964" s="68"/>
      <c r="B964" s="68"/>
      <c r="C964" s="61" t="s">
        <v>129</v>
      </c>
      <c r="D964" s="61" t="s">
        <v>130</v>
      </c>
      <c r="E964" s="68"/>
      <c r="F964" s="68"/>
      <c r="G964" s="68"/>
      <c r="H964" s="68"/>
      <c r="I964" s="68"/>
      <c r="J964" s="78"/>
      <c r="K964" s="68"/>
      <c r="L964" s="68"/>
      <c r="M964" s="68"/>
      <c r="N964" s="68"/>
      <c r="O964" s="68"/>
      <c r="P964" s="68"/>
      <c r="Q964" s="68"/>
      <c r="R964" s="68"/>
      <c r="S964" s="68"/>
      <c r="T964" s="68"/>
      <c r="U964" s="68"/>
      <c r="V964" s="68"/>
      <c r="W964" s="68"/>
      <c r="X964" s="68"/>
      <c r="Y964" s="68"/>
      <c r="Z964" s="68"/>
      <c r="AA964" s="68"/>
      <c r="AB964" s="68"/>
      <c r="AC964" s="68"/>
      <c r="AD964" s="68"/>
      <c r="AE964" s="68"/>
    </row>
    <row r="965" ht="26.25" customHeight="1">
      <c r="A965" s="68"/>
      <c r="B965" s="68"/>
      <c r="C965" s="61" t="s">
        <v>129</v>
      </c>
      <c r="D965" s="61" t="s">
        <v>130</v>
      </c>
      <c r="E965" s="68"/>
      <c r="F965" s="68"/>
      <c r="G965" s="68"/>
      <c r="H965" s="68"/>
      <c r="I965" s="68"/>
      <c r="J965" s="78"/>
      <c r="K965" s="68"/>
      <c r="L965" s="68"/>
      <c r="M965" s="68"/>
      <c r="N965" s="68"/>
      <c r="O965" s="68"/>
      <c r="P965" s="68"/>
      <c r="Q965" s="68"/>
      <c r="R965" s="68"/>
      <c r="S965" s="68"/>
      <c r="T965" s="68"/>
      <c r="U965" s="68"/>
      <c r="V965" s="68"/>
      <c r="W965" s="68"/>
      <c r="X965" s="68"/>
      <c r="Y965" s="68"/>
      <c r="Z965" s="68"/>
      <c r="AA965" s="68"/>
      <c r="AB965" s="68"/>
      <c r="AC965" s="68"/>
      <c r="AD965" s="68"/>
      <c r="AE965" s="68"/>
    </row>
    <row r="966" ht="26.25" customHeight="1">
      <c r="A966" s="68"/>
      <c r="B966" s="68"/>
      <c r="C966" s="61" t="s">
        <v>129</v>
      </c>
      <c r="D966" s="61" t="s">
        <v>130</v>
      </c>
      <c r="E966" s="68"/>
      <c r="F966" s="68"/>
      <c r="G966" s="68"/>
      <c r="H966" s="68"/>
      <c r="I966" s="68"/>
      <c r="J966" s="78"/>
      <c r="K966" s="68"/>
      <c r="L966" s="68"/>
      <c r="M966" s="68"/>
      <c r="N966" s="68"/>
      <c r="O966" s="68"/>
      <c r="P966" s="68"/>
      <c r="Q966" s="68"/>
      <c r="R966" s="68"/>
      <c r="S966" s="68"/>
      <c r="T966" s="68"/>
      <c r="U966" s="68"/>
      <c r="V966" s="68"/>
      <c r="W966" s="68"/>
      <c r="X966" s="68"/>
      <c r="Y966" s="68"/>
      <c r="Z966" s="68"/>
      <c r="AA966" s="68"/>
      <c r="AB966" s="68"/>
      <c r="AC966" s="68"/>
      <c r="AD966" s="68"/>
      <c r="AE966" s="68"/>
    </row>
    <row r="967" ht="26.25" customHeight="1">
      <c r="A967" s="68"/>
      <c r="B967" s="68"/>
      <c r="C967" s="61" t="s">
        <v>129</v>
      </c>
      <c r="D967" s="61" t="s">
        <v>130</v>
      </c>
      <c r="E967" s="68"/>
      <c r="F967" s="68"/>
      <c r="G967" s="68"/>
      <c r="H967" s="68"/>
      <c r="I967" s="68"/>
      <c r="J967" s="78"/>
      <c r="K967" s="68"/>
      <c r="L967" s="68"/>
      <c r="M967" s="68"/>
      <c r="N967" s="68"/>
      <c r="O967" s="68"/>
      <c r="P967" s="68"/>
      <c r="Q967" s="68"/>
      <c r="R967" s="68"/>
      <c r="S967" s="68"/>
      <c r="T967" s="68"/>
      <c r="U967" s="68"/>
      <c r="V967" s="68"/>
      <c r="W967" s="68"/>
      <c r="X967" s="68"/>
      <c r="Y967" s="68"/>
      <c r="Z967" s="68"/>
      <c r="AA967" s="68"/>
      <c r="AB967" s="68"/>
      <c r="AC967" s="68"/>
      <c r="AD967" s="68"/>
      <c r="AE967" s="68"/>
    </row>
    <row r="968" ht="26.25" customHeight="1">
      <c r="A968" s="68"/>
      <c r="B968" s="68"/>
      <c r="C968" s="61" t="s">
        <v>129</v>
      </c>
      <c r="D968" s="61" t="s">
        <v>130</v>
      </c>
      <c r="E968" s="68"/>
      <c r="F968" s="68"/>
      <c r="G968" s="68"/>
      <c r="H968" s="68"/>
      <c r="I968" s="68"/>
      <c r="J968" s="78"/>
      <c r="K968" s="68"/>
      <c r="L968" s="68"/>
      <c r="M968" s="68"/>
      <c r="N968" s="68"/>
      <c r="O968" s="68"/>
      <c r="P968" s="68"/>
      <c r="Q968" s="68"/>
      <c r="R968" s="68"/>
      <c r="S968" s="68"/>
      <c r="T968" s="68"/>
      <c r="U968" s="68"/>
      <c r="V968" s="68"/>
      <c r="W968" s="68"/>
      <c r="X968" s="68"/>
      <c r="Y968" s="68"/>
      <c r="Z968" s="68"/>
      <c r="AA968" s="68"/>
      <c r="AB968" s="68"/>
      <c r="AC968" s="68"/>
      <c r="AD968" s="68"/>
      <c r="AE968" s="68"/>
    </row>
    <row r="969" ht="26.25" customHeight="1">
      <c r="A969" s="68"/>
      <c r="B969" s="68"/>
      <c r="C969" s="61" t="s">
        <v>129</v>
      </c>
      <c r="D969" s="61" t="s">
        <v>130</v>
      </c>
      <c r="E969" s="68"/>
      <c r="F969" s="68"/>
      <c r="G969" s="68"/>
      <c r="H969" s="68"/>
      <c r="I969" s="68"/>
      <c r="J969" s="78"/>
      <c r="K969" s="68"/>
      <c r="L969" s="68"/>
      <c r="M969" s="68"/>
      <c r="N969" s="68"/>
      <c r="O969" s="68"/>
      <c r="P969" s="68"/>
      <c r="Q969" s="68"/>
      <c r="R969" s="68"/>
      <c r="S969" s="68"/>
      <c r="T969" s="68"/>
      <c r="U969" s="68"/>
      <c r="V969" s="68"/>
      <c r="W969" s="68"/>
      <c r="X969" s="68"/>
      <c r="Y969" s="68"/>
      <c r="Z969" s="68"/>
      <c r="AA969" s="68"/>
      <c r="AB969" s="68"/>
      <c r="AC969" s="68"/>
      <c r="AD969" s="68"/>
      <c r="AE969" s="68"/>
    </row>
    <row r="970" ht="26.25" customHeight="1">
      <c r="A970" s="68"/>
      <c r="B970" s="68"/>
      <c r="C970" s="61" t="s">
        <v>129</v>
      </c>
      <c r="D970" s="61" t="s">
        <v>130</v>
      </c>
      <c r="E970" s="68"/>
      <c r="F970" s="68"/>
      <c r="G970" s="68"/>
      <c r="H970" s="68"/>
      <c r="I970" s="68"/>
      <c r="J970" s="78"/>
      <c r="K970" s="68"/>
      <c r="L970" s="68"/>
      <c r="M970" s="68"/>
      <c r="N970" s="68"/>
      <c r="O970" s="68"/>
      <c r="P970" s="68"/>
      <c r="Q970" s="68"/>
      <c r="R970" s="68"/>
      <c r="S970" s="68"/>
      <c r="T970" s="68"/>
      <c r="U970" s="68"/>
      <c r="V970" s="68"/>
      <c r="W970" s="68"/>
      <c r="X970" s="68"/>
      <c r="Y970" s="68"/>
      <c r="Z970" s="68"/>
      <c r="AA970" s="68"/>
      <c r="AB970" s="68"/>
      <c r="AC970" s="68"/>
      <c r="AD970" s="68"/>
      <c r="AE970" s="68"/>
    </row>
    <row r="971" ht="26.25" customHeight="1">
      <c r="A971" s="68"/>
      <c r="B971" s="68"/>
      <c r="C971" s="61" t="s">
        <v>129</v>
      </c>
      <c r="D971" s="61" t="s">
        <v>130</v>
      </c>
      <c r="E971" s="68"/>
      <c r="F971" s="68"/>
      <c r="G971" s="68"/>
      <c r="H971" s="68"/>
      <c r="I971" s="68"/>
      <c r="J971" s="78"/>
      <c r="K971" s="68"/>
      <c r="L971" s="68"/>
      <c r="M971" s="68"/>
      <c r="N971" s="68"/>
      <c r="O971" s="68"/>
      <c r="P971" s="68"/>
      <c r="Q971" s="68"/>
      <c r="R971" s="68"/>
      <c r="S971" s="68"/>
      <c r="T971" s="68"/>
      <c r="U971" s="68"/>
      <c r="V971" s="68"/>
      <c r="W971" s="68"/>
      <c r="X971" s="68"/>
      <c r="Y971" s="68"/>
      <c r="Z971" s="68"/>
      <c r="AA971" s="68"/>
      <c r="AB971" s="68"/>
      <c r="AC971" s="68"/>
      <c r="AD971" s="68"/>
      <c r="AE971" s="68"/>
    </row>
    <row r="972" ht="26.25" customHeight="1">
      <c r="A972" s="68"/>
      <c r="B972" s="68"/>
      <c r="C972" s="61" t="s">
        <v>129</v>
      </c>
      <c r="D972" s="61" t="s">
        <v>130</v>
      </c>
      <c r="E972" s="68"/>
      <c r="F972" s="68"/>
      <c r="G972" s="68"/>
      <c r="H972" s="68"/>
      <c r="I972" s="68"/>
      <c r="J972" s="78"/>
      <c r="K972" s="68"/>
      <c r="L972" s="68"/>
      <c r="M972" s="68"/>
      <c r="N972" s="68"/>
      <c r="O972" s="68"/>
      <c r="P972" s="68"/>
      <c r="Q972" s="68"/>
      <c r="R972" s="68"/>
      <c r="S972" s="68"/>
      <c r="T972" s="68"/>
      <c r="U972" s="68"/>
      <c r="V972" s="68"/>
      <c r="W972" s="68"/>
      <c r="X972" s="68"/>
      <c r="Y972" s="68"/>
      <c r="Z972" s="68"/>
      <c r="AA972" s="68"/>
      <c r="AB972" s="68"/>
      <c r="AC972" s="68"/>
      <c r="AD972" s="68"/>
      <c r="AE972" s="68"/>
    </row>
    <row r="973" ht="26.25" customHeight="1">
      <c r="A973" s="68"/>
      <c r="B973" s="68"/>
      <c r="C973" s="61" t="s">
        <v>129</v>
      </c>
      <c r="D973" s="61" t="s">
        <v>130</v>
      </c>
      <c r="E973" s="68"/>
      <c r="F973" s="68"/>
      <c r="G973" s="68"/>
      <c r="H973" s="68"/>
      <c r="I973" s="68"/>
      <c r="J973" s="78"/>
      <c r="K973" s="68"/>
      <c r="L973" s="68"/>
      <c r="M973" s="68"/>
      <c r="N973" s="68"/>
      <c r="O973" s="68"/>
      <c r="P973" s="68"/>
      <c r="Q973" s="68"/>
      <c r="R973" s="68"/>
      <c r="S973" s="68"/>
      <c r="T973" s="68"/>
      <c r="U973" s="68"/>
      <c r="V973" s="68"/>
      <c r="W973" s="68"/>
      <c r="X973" s="68"/>
      <c r="Y973" s="68"/>
      <c r="Z973" s="68"/>
      <c r="AA973" s="68"/>
      <c r="AB973" s="68"/>
      <c r="AC973" s="68"/>
      <c r="AD973" s="68"/>
      <c r="AE973" s="68"/>
    </row>
    <row r="974" ht="26.25" customHeight="1">
      <c r="A974" s="68"/>
      <c r="B974" s="68"/>
      <c r="C974" s="61" t="s">
        <v>129</v>
      </c>
      <c r="D974" s="61" t="s">
        <v>130</v>
      </c>
      <c r="E974" s="68"/>
      <c r="F974" s="68"/>
      <c r="G974" s="68"/>
      <c r="H974" s="68"/>
      <c r="I974" s="68"/>
      <c r="J974" s="78"/>
      <c r="K974" s="68"/>
      <c r="L974" s="68"/>
      <c r="M974" s="68"/>
      <c r="N974" s="68"/>
      <c r="O974" s="68"/>
      <c r="P974" s="68"/>
      <c r="Q974" s="68"/>
      <c r="R974" s="68"/>
      <c r="S974" s="68"/>
      <c r="T974" s="68"/>
      <c r="U974" s="68"/>
      <c r="V974" s="68"/>
      <c r="W974" s="68"/>
      <c r="X974" s="68"/>
      <c r="Y974" s="68"/>
      <c r="Z974" s="68"/>
      <c r="AA974" s="68"/>
      <c r="AB974" s="68"/>
      <c r="AC974" s="68"/>
      <c r="AD974" s="68"/>
      <c r="AE974" s="68"/>
    </row>
    <row r="975" ht="26.25" customHeight="1">
      <c r="A975" s="68"/>
      <c r="B975" s="68"/>
      <c r="C975" s="61" t="s">
        <v>129</v>
      </c>
      <c r="D975" s="61" t="s">
        <v>130</v>
      </c>
      <c r="E975" s="68"/>
      <c r="F975" s="68"/>
      <c r="G975" s="68"/>
      <c r="H975" s="68"/>
      <c r="I975" s="68"/>
      <c r="J975" s="78"/>
      <c r="K975" s="68"/>
      <c r="L975" s="68"/>
      <c r="M975" s="68"/>
      <c r="N975" s="68"/>
      <c r="O975" s="68"/>
      <c r="P975" s="68"/>
      <c r="Q975" s="68"/>
      <c r="R975" s="68"/>
      <c r="S975" s="68"/>
      <c r="T975" s="68"/>
      <c r="U975" s="68"/>
      <c r="V975" s="68"/>
      <c r="W975" s="68"/>
      <c r="X975" s="68"/>
      <c r="Y975" s="68"/>
      <c r="Z975" s="68"/>
      <c r="AA975" s="68"/>
      <c r="AB975" s="68"/>
      <c r="AC975" s="68"/>
      <c r="AD975" s="68"/>
      <c r="AE975" s="68"/>
    </row>
    <row r="976" ht="26.25" customHeight="1">
      <c r="A976" s="68"/>
      <c r="B976" s="68"/>
      <c r="C976" s="61" t="s">
        <v>129</v>
      </c>
      <c r="D976" s="61" t="s">
        <v>130</v>
      </c>
      <c r="E976" s="68"/>
      <c r="F976" s="68"/>
      <c r="G976" s="68"/>
      <c r="H976" s="68"/>
      <c r="I976" s="68"/>
      <c r="J976" s="78"/>
      <c r="K976" s="68"/>
      <c r="L976" s="68"/>
      <c r="M976" s="68"/>
      <c r="N976" s="68"/>
      <c r="O976" s="68"/>
      <c r="P976" s="68"/>
      <c r="Q976" s="68"/>
      <c r="R976" s="68"/>
      <c r="S976" s="68"/>
      <c r="T976" s="68"/>
      <c r="U976" s="68"/>
      <c r="V976" s="68"/>
      <c r="W976" s="68"/>
      <c r="X976" s="68"/>
      <c r="Y976" s="68"/>
      <c r="Z976" s="68"/>
      <c r="AA976" s="68"/>
      <c r="AB976" s="68"/>
      <c r="AC976" s="68"/>
      <c r="AD976" s="68"/>
      <c r="AE976" s="68"/>
    </row>
    <row r="977" ht="26.25" customHeight="1">
      <c r="A977" s="68"/>
      <c r="B977" s="68"/>
      <c r="C977" s="61" t="s">
        <v>129</v>
      </c>
      <c r="D977" s="61" t="s">
        <v>130</v>
      </c>
      <c r="E977" s="68"/>
      <c r="F977" s="68"/>
      <c r="G977" s="68"/>
      <c r="H977" s="68"/>
      <c r="I977" s="68"/>
      <c r="J977" s="78"/>
      <c r="K977" s="68"/>
      <c r="L977" s="68"/>
      <c r="M977" s="68"/>
      <c r="N977" s="68"/>
      <c r="O977" s="68"/>
      <c r="P977" s="68"/>
      <c r="Q977" s="68"/>
      <c r="R977" s="68"/>
      <c r="S977" s="68"/>
      <c r="T977" s="68"/>
      <c r="U977" s="68"/>
      <c r="V977" s="68"/>
      <c r="W977" s="68"/>
      <c r="X977" s="68"/>
      <c r="Y977" s="68"/>
      <c r="Z977" s="68"/>
      <c r="AA977" s="68"/>
      <c r="AB977" s="68"/>
      <c r="AC977" s="68"/>
      <c r="AD977" s="68"/>
      <c r="AE977" s="68"/>
    </row>
    <row r="978" ht="26.25" customHeight="1">
      <c r="A978" s="68"/>
      <c r="B978" s="68"/>
      <c r="C978" s="61" t="s">
        <v>129</v>
      </c>
      <c r="D978" s="61" t="s">
        <v>130</v>
      </c>
      <c r="E978" s="68"/>
      <c r="F978" s="68"/>
      <c r="G978" s="68"/>
      <c r="H978" s="68"/>
      <c r="I978" s="68"/>
      <c r="J978" s="78"/>
      <c r="K978" s="68"/>
      <c r="L978" s="68"/>
      <c r="M978" s="68"/>
      <c r="N978" s="68"/>
      <c r="O978" s="68"/>
      <c r="P978" s="68"/>
      <c r="Q978" s="68"/>
      <c r="R978" s="68"/>
      <c r="S978" s="68"/>
      <c r="T978" s="68"/>
      <c r="U978" s="68"/>
      <c r="V978" s="68"/>
      <c r="W978" s="68"/>
      <c r="X978" s="68"/>
      <c r="Y978" s="68"/>
      <c r="Z978" s="68"/>
      <c r="AA978" s="68"/>
      <c r="AB978" s="68"/>
      <c r="AC978" s="68"/>
      <c r="AD978" s="68"/>
      <c r="AE978" s="68"/>
    </row>
    <row r="979" ht="26.25" customHeight="1">
      <c r="A979" s="68"/>
      <c r="B979" s="68"/>
      <c r="C979" s="61" t="s">
        <v>129</v>
      </c>
      <c r="D979" s="61" t="s">
        <v>130</v>
      </c>
      <c r="E979" s="68"/>
      <c r="F979" s="68"/>
      <c r="G979" s="68"/>
      <c r="H979" s="68"/>
      <c r="I979" s="68"/>
      <c r="J979" s="78"/>
      <c r="K979" s="68"/>
      <c r="L979" s="68"/>
      <c r="M979" s="68"/>
      <c r="N979" s="68"/>
      <c r="O979" s="68"/>
      <c r="P979" s="68"/>
      <c r="Q979" s="68"/>
      <c r="R979" s="68"/>
      <c r="S979" s="68"/>
      <c r="T979" s="68"/>
      <c r="U979" s="68"/>
      <c r="V979" s="68"/>
      <c r="W979" s="68"/>
      <c r="X979" s="68"/>
      <c r="Y979" s="68"/>
      <c r="Z979" s="68"/>
      <c r="AA979" s="68"/>
      <c r="AB979" s="68"/>
      <c r="AC979" s="68"/>
      <c r="AD979" s="68"/>
      <c r="AE979" s="68"/>
    </row>
    <row r="980" ht="26.25" customHeight="1">
      <c r="A980" s="68"/>
      <c r="B980" s="68"/>
      <c r="C980" s="61" t="s">
        <v>129</v>
      </c>
      <c r="D980" s="61" t="s">
        <v>130</v>
      </c>
      <c r="E980" s="68"/>
      <c r="F980" s="68"/>
      <c r="G980" s="68"/>
      <c r="H980" s="68"/>
      <c r="I980" s="68"/>
      <c r="J980" s="78"/>
      <c r="K980" s="68"/>
      <c r="L980" s="68"/>
      <c r="M980" s="68"/>
      <c r="N980" s="68"/>
      <c r="O980" s="68"/>
      <c r="P980" s="68"/>
      <c r="Q980" s="68"/>
      <c r="R980" s="68"/>
      <c r="S980" s="68"/>
      <c r="T980" s="68"/>
      <c r="U980" s="68"/>
      <c r="V980" s="68"/>
      <c r="W980" s="68"/>
      <c r="X980" s="68"/>
      <c r="Y980" s="68"/>
      <c r="Z980" s="68"/>
      <c r="AA980" s="68"/>
      <c r="AB980" s="68"/>
      <c r="AC980" s="68"/>
      <c r="AD980" s="68"/>
      <c r="AE980" s="68"/>
    </row>
    <row r="981" ht="26.25" customHeight="1">
      <c r="A981" s="68"/>
      <c r="B981" s="68"/>
      <c r="C981" s="61" t="s">
        <v>129</v>
      </c>
      <c r="D981" s="61" t="s">
        <v>130</v>
      </c>
      <c r="E981" s="68"/>
      <c r="F981" s="68"/>
      <c r="G981" s="68"/>
      <c r="H981" s="68"/>
      <c r="I981" s="68"/>
      <c r="J981" s="78"/>
      <c r="K981" s="68"/>
      <c r="L981" s="68"/>
      <c r="M981" s="68"/>
      <c r="N981" s="68"/>
      <c r="O981" s="68"/>
      <c r="P981" s="68"/>
      <c r="Q981" s="68"/>
      <c r="R981" s="68"/>
      <c r="S981" s="68"/>
      <c r="T981" s="68"/>
      <c r="U981" s="68"/>
      <c r="V981" s="68"/>
      <c r="W981" s="68"/>
      <c r="X981" s="68"/>
      <c r="Y981" s="68"/>
      <c r="Z981" s="68"/>
      <c r="AA981" s="68"/>
      <c r="AB981" s="68"/>
      <c r="AC981" s="68"/>
      <c r="AD981" s="68"/>
      <c r="AE981" s="68"/>
    </row>
    <row r="982" ht="26.25" customHeight="1">
      <c r="A982" s="68"/>
      <c r="B982" s="68"/>
      <c r="C982" s="61" t="s">
        <v>129</v>
      </c>
      <c r="D982" s="61" t="s">
        <v>130</v>
      </c>
      <c r="E982" s="68"/>
      <c r="F982" s="68"/>
      <c r="G982" s="68"/>
      <c r="H982" s="68"/>
      <c r="I982" s="68"/>
      <c r="J982" s="78"/>
      <c r="K982" s="68"/>
      <c r="L982" s="68"/>
      <c r="M982" s="68"/>
      <c r="N982" s="68"/>
      <c r="O982" s="68"/>
      <c r="P982" s="68"/>
      <c r="Q982" s="68"/>
      <c r="R982" s="68"/>
      <c r="S982" s="68"/>
      <c r="T982" s="68"/>
      <c r="U982" s="68"/>
      <c r="V982" s="68"/>
      <c r="W982" s="68"/>
      <c r="X982" s="68"/>
      <c r="Y982" s="68"/>
      <c r="Z982" s="68"/>
      <c r="AA982" s="68"/>
      <c r="AB982" s="68"/>
      <c r="AC982" s="68"/>
      <c r="AD982" s="68"/>
      <c r="AE982" s="68"/>
    </row>
    <row r="983" ht="26.25" customHeight="1">
      <c r="A983" s="68"/>
      <c r="B983" s="68"/>
      <c r="C983" s="61" t="s">
        <v>129</v>
      </c>
      <c r="D983" s="61" t="s">
        <v>130</v>
      </c>
      <c r="E983" s="68"/>
      <c r="F983" s="68"/>
      <c r="G983" s="68"/>
      <c r="H983" s="68"/>
      <c r="I983" s="68"/>
      <c r="J983" s="78"/>
      <c r="K983" s="68"/>
      <c r="L983" s="68"/>
      <c r="M983" s="68"/>
      <c r="N983" s="68"/>
      <c r="O983" s="68"/>
      <c r="P983" s="68"/>
      <c r="Q983" s="68"/>
      <c r="R983" s="68"/>
      <c r="S983" s="68"/>
      <c r="T983" s="68"/>
      <c r="U983" s="68"/>
      <c r="V983" s="68"/>
      <c r="W983" s="68"/>
      <c r="X983" s="68"/>
      <c r="Y983" s="68"/>
      <c r="Z983" s="68"/>
      <c r="AA983" s="68"/>
      <c r="AB983" s="68"/>
      <c r="AC983" s="68"/>
      <c r="AD983" s="68"/>
      <c r="AE983" s="68"/>
    </row>
    <row r="984" ht="26.25" customHeight="1">
      <c r="A984" s="68"/>
      <c r="B984" s="68"/>
      <c r="C984" s="61" t="s">
        <v>129</v>
      </c>
      <c r="D984" s="61" t="s">
        <v>130</v>
      </c>
      <c r="E984" s="68"/>
      <c r="F984" s="68"/>
      <c r="G984" s="68"/>
      <c r="H984" s="68"/>
      <c r="I984" s="68"/>
      <c r="J984" s="78"/>
      <c r="K984" s="68"/>
      <c r="L984" s="68"/>
      <c r="M984" s="68"/>
      <c r="N984" s="68"/>
      <c r="O984" s="68"/>
      <c r="P984" s="68"/>
      <c r="Q984" s="68"/>
      <c r="R984" s="68"/>
      <c r="S984" s="68"/>
      <c r="T984" s="68"/>
      <c r="U984" s="68"/>
      <c r="V984" s="68"/>
      <c r="W984" s="68"/>
      <c r="X984" s="68"/>
      <c r="Y984" s="68"/>
      <c r="Z984" s="68"/>
      <c r="AA984" s="68"/>
      <c r="AB984" s="68"/>
      <c r="AC984" s="68"/>
      <c r="AD984" s="68"/>
      <c r="AE984" s="68"/>
    </row>
    <row r="985" ht="26.25" customHeight="1">
      <c r="A985" s="68"/>
      <c r="B985" s="68"/>
      <c r="C985" s="61" t="s">
        <v>129</v>
      </c>
      <c r="D985" s="61" t="s">
        <v>130</v>
      </c>
      <c r="E985" s="68"/>
      <c r="F985" s="68"/>
      <c r="G985" s="68"/>
      <c r="H985" s="68"/>
      <c r="I985" s="68"/>
      <c r="J985" s="78"/>
      <c r="K985" s="68"/>
      <c r="L985" s="68"/>
      <c r="M985" s="68"/>
      <c r="N985" s="68"/>
      <c r="O985" s="68"/>
      <c r="P985" s="68"/>
      <c r="Q985" s="68"/>
      <c r="R985" s="68"/>
      <c r="S985" s="68"/>
      <c r="T985" s="68"/>
      <c r="U985" s="68"/>
      <c r="V985" s="68"/>
      <c r="W985" s="68"/>
      <c r="X985" s="68"/>
      <c r="Y985" s="68"/>
      <c r="Z985" s="68"/>
      <c r="AA985" s="68"/>
      <c r="AB985" s="68"/>
      <c r="AC985" s="68"/>
      <c r="AD985" s="68"/>
      <c r="AE985" s="68"/>
    </row>
    <row r="986" ht="26.25" customHeight="1">
      <c r="A986" s="68"/>
      <c r="B986" s="68"/>
      <c r="C986" s="61" t="s">
        <v>129</v>
      </c>
      <c r="D986" s="61" t="s">
        <v>130</v>
      </c>
      <c r="E986" s="68"/>
      <c r="F986" s="68"/>
      <c r="G986" s="68"/>
      <c r="H986" s="68"/>
      <c r="I986" s="68"/>
      <c r="J986" s="78"/>
      <c r="K986" s="68"/>
      <c r="L986" s="68"/>
      <c r="M986" s="68"/>
      <c r="N986" s="68"/>
      <c r="O986" s="68"/>
      <c r="P986" s="68"/>
      <c r="Q986" s="68"/>
      <c r="R986" s="68"/>
      <c r="S986" s="68"/>
      <c r="T986" s="68"/>
      <c r="U986" s="68"/>
      <c r="V986" s="68"/>
      <c r="W986" s="68"/>
      <c r="X986" s="68"/>
      <c r="Y986" s="68"/>
      <c r="Z986" s="68"/>
      <c r="AA986" s="68"/>
      <c r="AB986" s="68"/>
      <c r="AC986" s="68"/>
      <c r="AD986" s="68"/>
      <c r="AE986" s="68"/>
    </row>
    <row r="987" ht="26.25" customHeight="1">
      <c r="A987" s="68"/>
      <c r="B987" s="68"/>
      <c r="C987" s="61" t="s">
        <v>129</v>
      </c>
      <c r="D987" s="61" t="s">
        <v>130</v>
      </c>
      <c r="E987" s="68"/>
      <c r="F987" s="68"/>
      <c r="G987" s="68"/>
      <c r="H987" s="68"/>
      <c r="I987" s="68"/>
      <c r="J987" s="78"/>
      <c r="K987" s="68"/>
      <c r="L987" s="68"/>
      <c r="M987" s="68"/>
      <c r="N987" s="68"/>
      <c r="O987" s="68"/>
      <c r="P987" s="68"/>
      <c r="Q987" s="68"/>
      <c r="R987" s="68"/>
      <c r="S987" s="68"/>
      <c r="T987" s="68"/>
      <c r="U987" s="68"/>
      <c r="V987" s="68"/>
      <c r="W987" s="68"/>
      <c r="X987" s="68"/>
      <c r="Y987" s="68"/>
      <c r="Z987" s="68"/>
      <c r="AA987" s="68"/>
      <c r="AB987" s="68"/>
      <c r="AC987" s="68"/>
      <c r="AD987" s="68"/>
      <c r="AE987" s="68"/>
    </row>
    <row r="988" ht="26.25" customHeight="1">
      <c r="A988" s="68"/>
      <c r="B988" s="68"/>
      <c r="C988" s="61" t="s">
        <v>129</v>
      </c>
      <c r="D988" s="61" t="s">
        <v>130</v>
      </c>
      <c r="E988" s="68"/>
      <c r="F988" s="68"/>
      <c r="G988" s="68"/>
      <c r="H988" s="68"/>
      <c r="I988" s="68"/>
      <c r="J988" s="78"/>
      <c r="K988" s="68"/>
      <c r="L988" s="68"/>
      <c r="M988" s="68"/>
      <c r="N988" s="68"/>
      <c r="O988" s="68"/>
      <c r="P988" s="68"/>
      <c r="Q988" s="68"/>
      <c r="R988" s="68"/>
      <c r="S988" s="68"/>
      <c r="T988" s="68"/>
      <c r="U988" s="68"/>
      <c r="V988" s="68"/>
      <c r="W988" s="68"/>
      <c r="X988" s="68"/>
      <c r="Y988" s="68"/>
      <c r="Z988" s="68"/>
      <c r="AA988" s="68"/>
      <c r="AB988" s="68"/>
      <c r="AC988" s="68"/>
      <c r="AD988" s="68"/>
      <c r="AE988" s="68"/>
    </row>
    <row r="989" ht="26.25" customHeight="1">
      <c r="A989" s="68"/>
      <c r="B989" s="68"/>
      <c r="C989" s="61" t="s">
        <v>129</v>
      </c>
      <c r="D989" s="61" t="s">
        <v>130</v>
      </c>
      <c r="E989" s="68"/>
      <c r="F989" s="68"/>
      <c r="G989" s="68"/>
      <c r="H989" s="68"/>
      <c r="I989" s="68"/>
      <c r="J989" s="78"/>
      <c r="K989" s="68"/>
      <c r="L989" s="68"/>
      <c r="M989" s="68"/>
      <c r="N989" s="68"/>
      <c r="O989" s="68"/>
      <c r="P989" s="68"/>
      <c r="Q989" s="68"/>
      <c r="R989" s="68"/>
      <c r="S989" s="68"/>
      <c r="T989" s="68"/>
      <c r="U989" s="68"/>
      <c r="V989" s="68"/>
      <c r="W989" s="68"/>
      <c r="X989" s="68"/>
      <c r="Y989" s="68"/>
      <c r="Z989" s="68"/>
      <c r="AA989" s="68"/>
      <c r="AB989" s="68"/>
      <c r="AC989" s="68"/>
      <c r="AD989" s="68"/>
      <c r="AE989" s="68"/>
    </row>
    <row r="990" ht="26.25" customHeight="1">
      <c r="A990" s="68"/>
      <c r="B990" s="68"/>
      <c r="C990" s="61" t="s">
        <v>129</v>
      </c>
      <c r="D990" s="61" t="s">
        <v>130</v>
      </c>
      <c r="E990" s="68"/>
      <c r="F990" s="68"/>
      <c r="G990" s="68"/>
      <c r="H990" s="68"/>
      <c r="I990" s="68"/>
      <c r="J990" s="78"/>
      <c r="K990" s="68"/>
      <c r="L990" s="68"/>
      <c r="M990" s="68"/>
      <c r="N990" s="68"/>
      <c r="O990" s="68"/>
      <c r="P990" s="68"/>
      <c r="Q990" s="68"/>
      <c r="R990" s="68"/>
      <c r="S990" s="68"/>
      <c r="T990" s="68"/>
      <c r="U990" s="68"/>
      <c r="V990" s="68"/>
      <c r="W990" s="68"/>
      <c r="X990" s="68"/>
      <c r="Y990" s="68"/>
      <c r="Z990" s="68"/>
      <c r="AA990" s="68"/>
      <c r="AB990" s="68"/>
      <c r="AC990" s="68"/>
      <c r="AD990" s="68"/>
      <c r="AE990" s="68"/>
    </row>
    <row r="991" ht="26.25" customHeight="1">
      <c r="A991" s="68"/>
      <c r="B991" s="68"/>
      <c r="C991" s="61" t="s">
        <v>129</v>
      </c>
      <c r="D991" s="61" t="s">
        <v>130</v>
      </c>
      <c r="E991" s="68"/>
      <c r="F991" s="68"/>
      <c r="G991" s="68"/>
      <c r="H991" s="68"/>
      <c r="I991" s="68"/>
      <c r="J991" s="7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  <c r="AA991" s="68"/>
      <c r="AB991" s="68"/>
      <c r="AC991" s="68"/>
      <c r="AD991" s="68"/>
      <c r="AE991" s="68"/>
    </row>
    <row r="992" ht="26.25" customHeight="1">
      <c r="A992" s="68"/>
      <c r="B992" s="68"/>
      <c r="C992" s="61" t="s">
        <v>129</v>
      </c>
      <c r="D992" s="61" t="s">
        <v>130</v>
      </c>
      <c r="E992" s="68"/>
      <c r="F992" s="68"/>
      <c r="G992" s="68"/>
      <c r="H992" s="68"/>
      <c r="I992" s="68"/>
      <c r="J992" s="78"/>
      <c r="K992" s="68"/>
      <c r="L992" s="68"/>
      <c r="M992" s="68"/>
      <c r="N992" s="68"/>
      <c r="O992" s="68"/>
      <c r="P992" s="68"/>
      <c r="Q992" s="68"/>
      <c r="R992" s="68"/>
      <c r="S992" s="68"/>
      <c r="T992" s="68"/>
      <c r="U992" s="68"/>
      <c r="V992" s="68"/>
      <c r="W992" s="68"/>
      <c r="X992" s="68"/>
      <c r="Y992" s="68"/>
      <c r="Z992" s="68"/>
      <c r="AA992" s="68"/>
      <c r="AB992" s="68"/>
      <c r="AC992" s="68"/>
      <c r="AD992" s="68"/>
      <c r="AE992" s="68"/>
    </row>
    <row r="993" ht="26.25" customHeight="1">
      <c r="A993" s="68"/>
      <c r="B993" s="68"/>
      <c r="C993" s="61" t="s">
        <v>129</v>
      </c>
      <c r="D993" s="61" t="s">
        <v>130</v>
      </c>
      <c r="E993" s="68"/>
      <c r="F993" s="68"/>
      <c r="G993" s="68"/>
      <c r="H993" s="68"/>
      <c r="I993" s="68"/>
      <c r="J993" s="78"/>
      <c r="K993" s="68"/>
      <c r="L993" s="68"/>
      <c r="M993" s="68"/>
      <c r="N993" s="68"/>
      <c r="O993" s="68"/>
      <c r="P993" s="68"/>
      <c r="Q993" s="68"/>
      <c r="R993" s="68"/>
      <c r="S993" s="68"/>
      <c r="T993" s="68"/>
      <c r="U993" s="68"/>
      <c r="V993" s="68"/>
      <c r="W993" s="68"/>
      <c r="X993" s="68"/>
      <c r="Y993" s="68"/>
      <c r="Z993" s="68"/>
      <c r="AA993" s="68"/>
      <c r="AB993" s="68"/>
      <c r="AC993" s="68"/>
      <c r="AD993" s="68"/>
      <c r="AE993" s="68"/>
    </row>
    <row r="994" ht="26.25" customHeight="1">
      <c r="A994" s="68"/>
      <c r="B994" s="68"/>
      <c r="C994" s="61" t="s">
        <v>129</v>
      </c>
      <c r="D994" s="61" t="s">
        <v>130</v>
      </c>
      <c r="E994" s="68"/>
      <c r="F994" s="68"/>
      <c r="G994" s="68"/>
      <c r="H994" s="68"/>
      <c r="I994" s="68"/>
      <c r="J994" s="78"/>
      <c r="K994" s="68"/>
      <c r="L994" s="68"/>
      <c r="M994" s="68"/>
      <c r="N994" s="68"/>
      <c r="O994" s="68"/>
      <c r="P994" s="68"/>
      <c r="Q994" s="68"/>
      <c r="R994" s="68"/>
      <c r="S994" s="68"/>
      <c r="T994" s="68"/>
      <c r="U994" s="68"/>
      <c r="V994" s="68"/>
      <c r="W994" s="68"/>
      <c r="X994" s="68"/>
      <c r="Y994" s="68"/>
      <c r="Z994" s="68"/>
      <c r="AA994" s="68"/>
      <c r="AB994" s="68"/>
      <c r="AC994" s="68"/>
      <c r="AD994" s="68"/>
      <c r="AE994" s="68"/>
    </row>
    <row r="995" ht="26.25" customHeight="1">
      <c r="A995" s="68"/>
      <c r="B995" s="68"/>
      <c r="C995" s="61" t="s">
        <v>129</v>
      </c>
      <c r="D995" s="61" t="s">
        <v>130</v>
      </c>
      <c r="E995" s="68"/>
      <c r="F995" s="68"/>
      <c r="G995" s="68"/>
      <c r="H995" s="68"/>
      <c r="I995" s="68"/>
      <c r="J995" s="78"/>
      <c r="K995" s="68"/>
      <c r="L995" s="68"/>
      <c r="M995" s="68"/>
      <c r="N995" s="68"/>
      <c r="O995" s="68"/>
      <c r="P995" s="68"/>
      <c r="Q995" s="68"/>
      <c r="R995" s="68"/>
      <c r="S995" s="68"/>
      <c r="T995" s="68"/>
      <c r="U995" s="68"/>
      <c r="V995" s="68"/>
      <c r="W995" s="68"/>
      <c r="X995" s="68"/>
      <c r="Y995" s="68"/>
      <c r="Z995" s="68"/>
      <c r="AA995" s="68"/>
      <c r="AB995" s="68"/>
      <c r="AC995" s="68"/>
      <c r="AD995" s="68"/>
      <c r="AE995" s="68"/>
    </row>
    <row r="996" ht="26.25" customHeight="1">
      <c r="A996" s="68"/>
      <c r="B996" s="68"/>
      <c r="C996" s="61" t="s">
        <v>129</v>
      </c>
      <c r="D996" s="61" t="s">
        <v>130</v>
      </c>
      <c r="E996" s="68"/>
      <c r="F996" s="68"/>
      <c r="G996" s="68"/>
      <c r="H996" s="68"/>
      <c r="I996" s="68"/>
      <c r="J996" s="78"/>
      <c r="K996" s="68"/>
      <c r="L996" s="68"/>
      <c r="M996" s="68"/>
      <c r="N996" s="68"/>
      <c r="O996" s="68"/>
      <c r="P996" s="68"/>
      <c r="Q996" s="68"/>
      <c r="R996" s="68"/>
      <c r="S996" s="68"/>
      <c r="T996" s="68"/>
      <c r="U996" s="68"/>
      <c r="V996" s="68"/>
      <c r="W996" s="68"/>
      <c r="X996" s="68"/>
      <c r="Y996" s="68"/>
      <c r="Z996" s="68"/>
      <c r="AA996" s="68"/>
      <c r="AB996" s="68"/>
      <c r="AC996" s="68"/>
      <c r="AD996" s="68"/>
      <c r="AE996" s="68"/>
    </row>
    <row r="997" ht="26.25" customHeight="1">
      <c r="A997" s="68"/>
      <c r="B997" s="68"/>
      <c r="C997" s="61" t="s">
        <v>129</v>
      </c>
      <c r="D997" s="61" t="s">
        <v>130</v>
      </c>
      <c r="E997" s="68"/>
      <c r="F997" s="68"/>
      <c r="G997" s="68"/>
      <c r="H997" s="68"/>
      <c r="I997" s="68"/>
      <c r="J997" s="78"/>
      <c r="K997" s="68"/>
      <c r="L997" s="68"/>
      <c r="M997" s="68"/>
      <c r="N997" s="68"/>
      <c r="O997" s="68"/>
      <c r="P997" s="68"/>
      <c r="Q997" s="68"/>
      <c r="R997" s="68"/>
      <c r="S997" s="68"/>
      <c r="T997" s="68"/>
      <c r="U997" s="68"/>
      <c r="V997" s="68"/>
      <c r="W997" s="68"/>
      <c r="X997" s="68"/>
      <c r="Y997" s="68"/>
      <c r="Z997" s="68"/>
      <c r="AA997" s="68"/>
      <c r="AB997" s="68"/>
      <c r="AC997" s="68"/>
      <c r="AD997" s="68"/>
      <c r="AE997" s="68"/>
    </row>
    <row r="998" ht="26.25" customHeight="1">
      <c r="A998" s="68"/>
      <c r="B998" s="68"/>
      <c r="C998" s="61" t="s">
        <v>129</v>
      </c>
      <c r="D998" s="61" t="s">
        <v>130</v>
      </c>
      <c r="E998" s="68"/>
      <c r="F998" s="68"/>
      <c r="G998" s="68"/>
      <c r="H998" s="68"/>
      <c r="I998" s="68"/>
      <c r="J998" s="78"/>
      <c r="K998" s="68"/>
      <c r="L998" s="68"/>
      <c r="M998" s="68"/>
      <c r="N998" s="68"/>
      <c r="O998" s="68"/>
      <c r="P998" s="68"/>
      <c r="Q998" s="68"/>
      <c r="R998" s="68"/>
      <c r="S998" s="68"/>
      <c r="T998" s="68"/>
      <c r="U998" s="68"/>
      <c r="V998" s="68"/>
      <c r="W998" s="68"/>
      <c r="X998" s="68"/>
      <c r="Y998" s="68"/>
      <c r="Z998" s="68"/>
      <c r="AA998" s="68"/>
      <c r="AB998" s="68"/>
      <c r="AC998" s="68"/>
      <c r="AD998" s="68"/>
      <c r="AE998" s="68"/>
    </row>
    <row r="999" ht="26.25" customHeight="1">
      <c r="A999" s="68"/>
      <c r="B999" s="68"/>
      <c r="C999" s="61" t="s">
        <v>129</v>
      </c>
      <c r="D999" s="61" t="s">
        <v>130</v>
      </c>
      <c r="E999" s="68"/>
      <c r="F999" s="68"/>
      <c r="G999" s="68"/>
      <c r="H999" s="68"/>
      <c r="I999" s="68"/>
      <c r="J999" s="78"/>
      <c r="K999" s="68"/>
      <c r="L999" s="68"/>
      <c r="M999" s="68"/>
      <c r="N999" s="68"/>
      <c r="O999" s="68"/>
      <c r="P999" s="68"/>
      <c r="Q999" s="68"/>
      <c r="R999" s="68"/>
      <c r="S999" s="68"/>
      <c r="T999" s="68"/>
      <c r="U999" s="68"/>
      <c r="V999" s="68"/>
      <c r="W999" s="68"/>
      <c r="X999" s="68"/>
      <c r="Y999" s="68"/>
      <c r="Z999" s="68"/>
      <c r="AA999" s="68"/>
      <c r="AB999" s="68"/>
      <c r="AC999" s="68"/>
      <c r="AD999" s="68"/>
      <c r="AE999" s="68"/>
    </row>
    <row r="1000" ht="26.25" customHeight="1">
      <c r="A1000" s="68"/>
      <c r="B1000" s="68"/>
      <c r="C1000" s="61" t="s">
        <v>129</v>
      </c>
      <c r="D1000" s="61" t="s">
        <v>130</v>
      </c>
      <c r="E1000" s="68"/>
      <c r="F1000" s="68"/>
      <c r="G1000" s="68"/>
      <c r="H1000" s="68"/>
      <c r="I1000" s="68"/>
      <c r="J1000" s="78"/>
      <c r="K1000" s="68"/>
      <c r="L1000" s="68"/>
      <c r="M1000" s="68"/>
      <c r="N1000" s="68"/>
      <c r="O1000" s="68"/>
      <c r="P1000" s="68"/>
      <c r="Q1000" s="68"/>
      <c r="R1000" s="68"/>
      <c r="S1000" s="68"/>
      <c r="T1000" s="68"/>
      <c r="U1000" s="68"/>
      <c r="V1000" s="68"/>
      <c r="W1000" s="68"/>
      <c r="X1000" s="68"/>
      <c r="Y1000" s="68"/>
      <c r="Z1000" s="68"/>
      <c r="AA1000" s="68"/>
      <c r="AB1000" s="68"/>
      <c r="AC1000" s="68"/>
      <c r="AD1000" s="68"/>
      <c r="AE1000" s="68"/>
    </row>
    <row r="1001" ht="26.25" customHeight="1">
      <c r="A1001" s="68"/>
      <c r="B1001" s="68"/>
      <c r="C1001" s="61" t="s">
        <v>129</v>
      </c>
      <c r="D1001" s="61" t="s">
        <v>130</v>
      </c>
      <c r="E1001" s="68"/>
      <c r="F1001" s="68"/>
      <c r="G1001" s="68"/>
      <c r="H1001" s="68"/>
      <c r="I1001" s="68"/>
      <c r="J1001" s="78"/>
      <c r="K1001" s="68"/>
      <c r="L1001" s="68"/>
      <c r="M1001" s="68"/>
      <c r="N1001" s="68"/>
      <c r="O1001" s="68"/>
      <c r="P1001" s="68"/>
      <c r="Q1001" s="68"/>
      <c r="R1001" s="68"/>
      <c r="S1001" s="68"/>
      <c r="T1001" s="68"/>
      <c r="U1001" s="68"/>
      <c r="V1001" s="68"/>
      <c r="W1001" s="68"/>
      <c r="X1001" s="68"/>
      <c r="Y1001" s="68"/>
      <c r="Z1001" s="68"/>
      <c r="AA1001" s="68"/>
      <c r="AB1001" s="68"/>
      <c r="AC1001" s="68"/>
      <c r="AD1001" s="68"/>
      <c r="AE1001" s="68"/>
    </row>
    <row r="1002" ht="26.25" customHeight="1">
      <c r="A1002" s="68"/>
      <c r="B1002" s="68"/>
      <c r="C1002" s="61" t="s">
        <v>129</v>
      </c>
      <c r="D1002" s="61" t="s">
        <v>130</v>
      </c>
      <c r="E1002" s="68"/>
      <c r="F1002" s="68"/>
      <c r="G1002" s="68"/>
      <c r="H1002" s="68"/>
      <c r="I1002" s="68"/>
      <c r="J1002" s="78"/>
      <c r="K1002" s="68"/>
      <c r="L1002" s="68"/>
      <c r="M1002" s="68"/>
      <c r="N1002" s="68"/>
      <c r="O1002" s="68"/>
      <c r="P1002" s="68"/>
      <c r="Q1002" s="68"/>
      <c r="R1002" s="68"/>
      <c r="S1002" s="68"/>
      <c r="T1002" s="68"/>
      <c r="U1002" s="68"/>
      <c r="V1002" s="68"/>
      <c r="W1002" s="68"/>
      <c r="X1002" s="68"/>
      <c r="Y1002" s="68"/>
      <c r="Z1002" s="68"/>
      <c r="AA1002" s="68"/>
      <c r="AB1002" s="68"/>
      <c r="AC1002" s="68"/>
      <c r="AD1002" s="68"/>
      <c r="AE1002" s="68"/>
    </row>
    <row r="1003" ht="26.25" customHeight="1">
      <c r="A1003" s="68"/>
      <c r="B1003" s="68"/>
      <c r="C1003" s="61" t="s">
        <v>129</v>
      </c>
      <c r="D1003" s="61" t="s">
        <v>130</v>
      </c>
      <c r="E1003" s="68"/>
      <c r="F1003" s="68"/>
      <c r="G1003" s="68"/>
      <c r="H1003" s="68"/>
      <c r="I1003" s="68"/>
      <c r="J1003" s="78"/>
      <c r="K1003" s="68"/>
      <c r="L1003" s="68"/>
      <c r="M1003" s="68"/>
      <c r="N1003" s="68"/>
      <c r="O1003" s="68"/>
      <c r="P1003" s="68"/>
      <c r="Q1003" s="68"/>
      <c r="R1003" s="68"/>
      <c r="S1003" s="68"/>
      <c r="T1003" s="68"/>
      <c r="U1003" s="68"/>
      <c r="V1003" s="68"/>
      <c r="W1003" s="68"/>
      <c r="X1003" s="68"/>
      <c r="Y1003" s="68"/>
      <c r="Z1003" s="68"/>
      <c r="AA1003" s="68"/>
      <c r="AB1003" s="68"/>
      <c r="AC1003" s="68"/>
      <c r="AD1003" s="68"/>
      <c r="AE1003" s="68"/>
    </row>
    <row r="1004" ht="26.25" customHeight="1">
      <c r="A1004" s="68"/>
      <c r="B1004" s="68"/>
      <c r="C1004" s="61" t="s">
        <v>129</v>
      </c>
      <c r="D1004" s="61" t="s">
        <v>130</v>
      </c>
      <c r="E1004" s="68"/>
      <c r="F1004" s="68"/>
      <c r="G1004" s="68"/>
      <c r="H1004" s="68"/>
      <c r="I1004" s="68"/>
      <c r="J1004" s="78"/>
      <c r="K1004" s="68"/>
      <c r="L1004" s="68"/>
      <c r="M1004" s="68"/>
      <c r="N1004" s="68"/>
      <c r="O1004" s="68"/>
      <c r="P1004" s="68"/>
      <c r="Q1004" s="68"/>
      <c r="R1004" s="68"/>
      <c r="S1004" s="68"/>
      <c r="T1004" s="68"/>
      <c r="U1004" s="68"/>
      <c r="V1004" s="68"/>
      <c r="W1004" s="68"/>
      <c r="X1004" s="68"/>
      <c r="Y1004" s="68"/>
      <c r="Z1004" s="68"/>
      <c r="AA1004" s="68"/>
      <c r="AB1004" s="68"/>
      <c r="AC1004" s="68"/>
      <c r="AD1004" s="68"/>
      <c r="AE1004" s="68"/>
    </row>
    <row r="1005" ht="26.25" customHeight="1">
      <c r="A1005" s="68"/>
      <c r="B1005" s="68"/>
      <c r="C1005" s="61" t="s">
        <v>129</v>
      </c>
      <c r="D1005" s="61" t="s">
        <v>130</v>
      </c>
      <c r="E1005" s="68"/>
      <c r="F1005" s="68"/>
      <c r="G1005" s="68"/>
      <c r="H1005" s="68"/>
      <c r="I1005" s="68"/>
      <c r="J1005" s="78"/>
      <c r="K1005" s="68"/>
      <c r="L1005" s="68"/>
      <c r="M1005" s="68"/>
      <c r="N1005" s="68"/>
      <c r="O1005" s="68"/>
      <c r="P1005" s="68"/>
      <c r="Q1005" s="68"/>
      <c r="R1005" s="68"/>
      <c r="S1005" s="68"/>
      <c r="T1005" s="68"/>
      <c r="U1005" s="68"/>
      <c r="V1005" s="68"/>
      <c r="W1005" s="68"/>
      <c r="X1005" s="68"/>
      <c r="Y1005" s="68"/>
      <c r="Z1005" s="68"/>
      <c r="AA1005" s="68"/>
      <c r="AB1005" s="68"/>
      <c r="AC1005" s="68"/>
      <c r="AD1005" s="68"/>
      <c r="AE1005" s="68"/>
    </row>
    <row r="1006" ht="26.25" customHeight="1">
      <c r="A1006" s="68"/>
      <c r="B1006" s="68"/>
      <c r="C1006" s="61" t="s">
        <v>129</v>
      </c>
      <c r="D1006" s="61" t="s">
        <v>130</v>
      </c>
      <c r="E1006" s="68"/>
      <c r="F1006" s="68"/>
      <c r="G1006" s="68"/>
      <c r="H1006" s="68"/>
      <c r="I1006" s="68"/>
      <c r="J1006" s="78"/>
      <c r="K1006" s="68"/>
      <c r="L1006" s="68"/>
      <c r="M1006" s="68"/>
      <c r="N1006" s="68"/>
      <c r="O1006" s="68"/>
      <c r="P1006" s="68"/>
      <c r="Q1006" s="68"/>
      <c r="R1006" s="68"/>
      <c r="S1006" s="68"/>
      <c r="T1006" s="68"/>
      <c r="U1006" s="68"/>
      <c r="V1006" s="68"/>
      <c r="W1006" s="68"/>
      <c r="X1006" s="68"/>
      <c r="Y1006" s="68"/>
      <c r="Z1006" s="68"/>
      <c r="AA1006" s="68"/>
      <c r="AB1006" s="68"/>
      <c r="AC1006" s="68"/>
      <c r="AD1006" s="68"/>
      <c r="AE1006" s="68"/>
    </row>
    <row r="1007" ht="26.25" customHeight="1">
      <c r="A1007" s="68"/>
      <c r="B1007" s="68"/>
      <c r="C1007" s="61" t="s">
        <v>129</v>
      </c>
      <c r="D1007" s="61" t="s">
        <v>130</v>
      </c>
      <c r="E1007" s="68"/>
      <c r="F1007" s="68"/>
      <c r="G1007" s="68"/>
      <c r="H1007" s="68"/>
      <c r="I1007" s="68"/>
      <c r="J1007" s="78"/>
      <c r="K1007" s="68"/>
      <c r="L1007" s="68"/>
      <c r="M1007" s="68"/>
      <c r="N1007" s="68"/>
      <c r="O1007" s="68"/>
      <c r="P1007" s="68"/>
      <c r="Q1007" s="68"/>
      <c r="R1007" s="68"/>
      <c r="S1007" s="68"/>
      <c r="T1007" s="68"/>
      <c r="U1007" s="68"/>
      <c r="V1007" s="68"/>
      <c r="W1007" s="68"/>
      <c r="X1007" s="68"/>
      <c r="Y1007" s="68"/>
      <c r="Z1007" s="68"/>
      <c r="AA1007" s="68"/>
      <c r="AB1007" s="68"/>
      <c r="AC1007" s="68"/>
      <c r="AD1007" s="68"/>
      <c r="AE1007" s="68"/>
    </row>
    <row r="1008" ht="26.25" customHeight="1">
      <c r="A1008" s="68"/>
      <c r="B1008" s="68"/>
      <c r="C1008" s="61" t="s">
        <v>129</v>
      </c>
      <c r="D1008" s="61" t="s">
        <v>130</v>
      </c>
      <c r="E1008" s="68"/>
      <c r="F1008" s="68"/>
      <c r="G1008" s="68"/>
      <c r="H1008" s="68"/>
      <c r="I1008" s="68"/>
      <c r="J1008" s="78"/>
      <c r="K1008" s="68"/>
      <c r="L1008" s="68"/>
      <c r="M1008" s="68"/>
      <c r="N1008" s="68"/>
      <c r="O1008" s="68"/>
      <c r="P1008" s="68"/>
      <c r="Q1008" s="68"/>
      <c r="R1008" s="68"/>
      <c r="S1008" s="68"/>
      <c r="T1008" s="68"/>
      <c r="U1008" s="68"/>
      <c r="V1008" s="68"/>
      <c r="W1008" s="68"/>
      <c r="X1008" s="68"/>
      <c r="Y1008" s="68"/>
      <c r="Z1008" s="68"/>
      <c r="AA1008" s="68"/>
      <c r="AB1008" s="68"/>
      <c r="AC1008" s="68"/>
      <c r="AD1008" s="68"/>
      <c r="AE1008" s="68"/>
    </row>
    <row r="1009" ht="26.25" customHeight="1">
      <c r="A1009" s="68"/>
      <c r="B1009" s="68"/>
      <c r="C1009" s="61" t="s">
        <v>129</v>
      </c>
      <c r="D1009" s="61" t="s">
        <v>130</v>
      </c>
      <c r="E1009" s="68"/>
      <c r="F1009" s="68"/>
      <c r="G1009" s="68"/>
      <c r="H1009" s="68"/>
      <c r="I1009" s="68"/>
      <c r="J1009" s="78"/>
      <c r="K1009" s="68"/>
      <c r="L1009" s="68"/>
      <c r="M1009" s="68"/>
      <c r="N1009" s="68"/>
      <c r="O1009" s="68"/>
      <c r="P1009" s="68"/>
      <c r="Q1009" s="68"/>
      <c r="R1009" s="68"/>
      <c r="S1009" s="68"/>
      <c r="T1009" s="68"/>
      <c r="U1009" s="68"/>
      <c r="V1009" s="68"/>
      <c r="W1009" s="68"/>
      <c r="X1009" s="68"/>
      <c r="Y1009" s="68"/>
      <c r="Z1009" s="68"/>
      <c r="AA1009" s="68"/>
      <c r="AB1009" s="68"/>
      <c r="AC1009" s="68"/>
      <c r="AD1009" s="68"/>
      <c r="AE1009" s="68"/>
    </row>
    <row r="1010" ht="26.25" customHeight="1">
      <c r="A1010" s="68"/>
      <c r="B1010" s="68"/>
      <c r="C1010" s="61" t="s">
        <v>129</v>
      </c>
      <c r="D1010" s="61" t="s">
        <v>130</v>
      </c>
      <c r="E1010" s="68"/>
      <c r="F1010" s="68"/>
      <c r="G1010" s="68"/>
      <c r="H1010" s="68"/>
      <c r="I1010" s="68"/>
      <c r="J1010" s="78"/>
      <c r="K1010" s="68"/>
      <c r="L1010" s="68"/>
      <c r="M1010" s="68"/>
      <c r="N1010" s="68"/>
      <c r="O1010" s="68"/>
      <c r="P1010" s="68"/>
      <c r="Q1010" s="68"/>
      <c r="R1010" s="68"/>
      <c r="S1010" s="68"/>
      <c r="T1010" s="68"/>
      <c r="U1010" s="68"/>
      <c r="V1010" s="68"/>
      <c r="W1010" s="68"/>
      <c r="X1010" s="68"/>
      <c r="Y1010" s="68"/>
      <c r="Z1010" s="68"/>
      <c r="AA1010" s="68"/>
      <c r="AB1010" s="68"/>
      <c r="AC1010" s="68"/>
      <c r="AD1010" s="68"/>
      <c r="AE1010" s="68"/>
    </row>
    <row r="1011" ht="26.25" customHeight="1">
      <c r="A1011" s="68"/>
      <c r="B1011" s="68"/>
      <c r="C1011" s="61" t="s">
        <v>129</v>
      </c>
      <c r="D1011" s="61" t="s">
        <v>130</v>
      </c>
      <c r="E1011" s="68"/>
      <c r="F1011" s="68"/>
      <c r="G1011" s="68"/>
      <c r="H1011" s="68"/>
      <c r="I1011" s="68"/>
      <c r="J1011" s="78"/>
      <c r="K1011" s="68"/>
      <c r="L1011" s="68"/>
      <c r="M1011" s="68"/>
      <c r="N1011" s="68"/>
      <c r="O1011" s="68"/>
      <c r="P1011" s="68"/>
      <c r="Q1011" s="68"/>
      <c r="R1011" s="68"/>
      <c r="S1011" s="68"/>
      <c r="T1011" s="68"/>
      <c r="U1011" s="68"/>
      <c r="V1011" s="68"/>
      <c r="W1011" s="68"/>
      <c r="X1011" s="68"/>
      <c r="Y1011" s="68"/>
      <c r="Z1011" s="68"/>
      <c r="AA1011" s="68"/>
      <c r="AB1011" s="68"/>
      <c r="AC1011" s="68"/>
      <c r="AD1011" s="68"/>
      <c r="AE1011" s="68"/>
    </row>
    <row r="1012" ht="26.25" customHeight="1">
      <c r="A1012" s="68"/>
      <c r="B1012" s="68"/>
      <c r="C1012" s="61" t="s">
        <v>129</v>
      </c>
      <c r="D1012" s="61" t="s">
        <v>130</v>
      </c>
      <c r="E1012" s="68"/>
      <c r="F1012" s="68"/>
      <c r="G1012" s="68"/>
      <c r="H1012" s="68"/>
      <c r="I1012" s="68"/>
      <c r="J1012" s="78"/>
      <c r="K1012" s="68"/>
      <c r="L1012" s="68"/>
      <c r="M1012" s="68"/>
      <c r="N1012" s="68"/>
      <c r="O1012" s="68"/>
      <c r="P1012" s="68"/>
      <c r="Q1012" s="68"/>
      <c r="R1012" s="68"/>
      <c r="S1012" s="68"/>
      <c r="T1012" s="68"/>
      <c r="U1012" s="68"/>
      <c r="V1012" s="68"/>
      <c r="W1012" s="68"/>
      <c r="X1012" s="68"/>
      <c r="Y1012" s="68"/>
      <c r="Z1012" s="68"/>
      <c r="AA1012" s="68"/>
      <c r="AB1012" s="68"/>
      <c r="AC1012" s="68"/>
      <c r="AD1012" s="68"/>
      <c r="AE1012" s="68"/>
    </row>
    <row r="1013" ht="26.25" customHeight="1">
      <c r="A1013" s="68"/>
      <c r="B1013" s="68"/>
      <c r="C1013" s="61" t="s">
        <v>129</v>
      </c>
      <c r="D1013" s="61" t="s">
        <v>130</v>
      </c>
      <c r="E1013" s="68"/>
      <c r="F1013" s="68"/>
      <c r="G1013" s="68"/>
      <c r="H1013" s="68"/>
      <c r="I1013" s="68"/>
      <c r="J1013" s="78"/>
      <c r="K1013" s="68"/>
      <c r="L1013" s="68"/>
      <c r="M1013" s="68"/>
      <c r="N1013" s="68"/>
      <c r="O1013" s="68"/>
      <c r="P1013" s="68"/>
      <c r="Q1013" s="68"/>
      <c r="R1013" s="68"/>
      <c r="S1013" s="68"/>
      <c r="T1013" s="68"/>
      <c r="U1013" s="68"/>
      <c r="V1013" s="68"/>
      <c r="W1013" s="68"/>
      <c r="X1013" s="68"/>
      <c r="Y1013" s="68"/>
      <c r="Z1013" s="68"/>
      <c r="AA1013" s="68"/>
      <c r="AB1013" s="68"/>
      <c r="AC1013" s="68"/>
      <c r="AD1013" s="68"/>
      <c r="AE1013" s="68"/>
    </row>
    <row r="1014" ht="26.25" customHeight="1">
      <c r="A1014" s="68"/>
      <c r="B1014" s="68"/>
      <c r="C1014" s="61" t="s">
        <v>129</v>
      </c>
      <c r="D1014" s="61" t="s">
        <v>130</v>
      </c>
      <c r="E1014" s="68"/>
      <c r="F1014" s="68"/>
      <c r="G1014" s="68"/>
      <c r="H1014" s="68"/>
      <c r="I1014" s="68"/>
      <c r="J1014" s="78"/>
      <c r="K1014" s="68"/>
      <c r="L1014" s="68"/>
      <c r="M1014" s="68"/>
      <c r="N1014" s="68"/>
      <c r="O1014" s="68"/>
      <c r="P1014" s="68"/>
      <c r="Q1014" s="68"/>
      <c r="R1014" s="68"/>
      <c r="S1014" s="68"/>
      <c r="T1014" s="68"/>
      <c r="U1014" s="68"/>
      <c r="V1014" s="68"/>
      <c r="W1014" s="68"/>
      <c r="X1014" s="68"/>
      <c r="Y1014" s="68"/>
      <c r="Z1014" s="68"/>
      <c r="AA1014" s="68"/>
      <c r="AB1014" s="68"/>
      <c r="AC1014" s="68"/>
      <c r="AD1014" s="68"/>
      <c r="AE1014" s="68"/>
    </row>
    <row r="1015" ht="26.25" customHeight="1">
      <c r="A1015" s="68"/>
      <c r="B1015" s="68"/>
      <c r="C1015" s="61" t="s">
        <v>129</v>
      </c>
      <c r="D1015" s="61" t="s">
        <v>130</v>
      </c>
      <c r="E1015" s="68"/>
      <c r="F1015" s="68"/>
      <c r="G1015" s="68"/>
      <c r="H1015" s="68"/>
      <c r="I1015" s="68"/>
      <c r="J1015" s="78"/>
      <c r="K1015" s="68"/>
      <c r="L1015" s="68"/>
      <c r="M1015" s="68"/>
      <c r="N1015" s="68"/>
      <c r="O1015" s="68"/>
      <c r="P1015" s="68"/>
      <c r="Q1015" s="68"/>
      <c r="R1015" s="68"/>
      <c r="S1015" s="68"/>
      <c r="T1015" s="68"/>
      <c r="U1015" s="68"/>
      <c r="V1015" s="68"/>
      <c r="W1015" s="68"/>
      <c r="X1015" s="68"/>
      <c r="Y1015" s="68"/>
      <c r="Z1015" s="68"/>
      <c r="AA1015" s="68"/>
      <c r="AB1015" s="68"/>
      <c r="AC1015" s="68"/>
      <c r="AD1015" s="68"/>
      <c r="AE1015" s="68"/>
    </row>
    <row r="1016" ht="26.25" customHeight="1">
      <c r="A1016" s="68"/>
      <c r="B1016" s="68"/>
      <c r="C1016" s="61" t="s">
        <v>129</v>
      </c>
      <c r="D1016" s="61" t="s">
        <v>130</v>
      </c>
      <c r="E1016" s="68"/>
      <c r="F1016" s="68"/>
      <c r="G1016" s="68"/>
      <c r="H1016" s="68"/>
      <c r="I1016" s="68"/>
      <c r="J1016" s="78"/>
      <c r="K1016" s="68"/>
      <c r="L1016" s="68"/>
      <c r="M1016" s="68"/>
      <c r="N1016" s="68"/>
      <c r="O1016" s="68"/>
      <c r="P1016" s="68"/>
      <c r="Q1016" s="68"/>
      <c r="R1016" s="68"/>
      <c r="S1016" s="68"/>
      <c r="T1016" s="68"/>
      <c r="U1016" s="68"/>
      <c r="V1016" s="68"/>
      <c r="W1016" s="68"/>
      <c r="X1016" s="68"/>
      <c r="Y1016" s="68"/>
      <c r="Z1016" s="68"/>
      <c r="AA1016" s="68"/>
      <c r="AB1016" s="68"/>
      <c r="AC1016" s="68"/>
      <c r="AD1016" s="68"/>
      <c r="AE1016" s="68"/>
    </row>
    <row r="1017" ht="26.25" customHeight="1">
      <c r="A1017" s="68"/>
      <c r="B1017" s="68"/>
      <c r="C1017" s="61" t="s">
        <v>129</v>
      </c>
      <c r="D1017" s="61" t="s">
        <v>130</v>
      </c>
      <c r="E1017" s="68"/>
      <c r="F1017" s="68"/>
      <c r="G1017" s="68"/>
      <c r="H1017" s="68"/>
      <c r="I1017" s="68"/>
      <c r="J1017" s="78"/>
      <c r="K1017" s="68"/>
      <c r="L1017" s="68"/>
      <c r="M1017" s="68"/>
      <c r="N1017" s="68"/>
      <c r="O1017" s="68"/>
      <c r="P1017" s="68"/>
      <c r="Q1017" s="68"/>
      <c r="R1017" s="68"/>
      <c r="S1017" s="68"/>
      <c r="T1017" s="68"/>
      <c r="U1017" s="68"/>
      <c r="V1017" s="68"/>
      <c r="W1017" s="68"/>
      <c r="X1017" s="68"/>
      <c r="Y1017" s="68"/>
      <c r="Z1017" s="68"/>
      <c r="AA1017" s="68"/>
      <c r="AB1017" s="68"/>
      <c r="AC1017" s="68"/>
      <c r="AD1017" s="68"/>
      <c r="AE1017" s="68"/>
    </row>
    <row r="1018" ht="26.25" customHeight="1">
      <c r="A1018" s="68"/>
      <c r="B1018" s="68"/>
      <c r="C1018" s="61" t="s">
        <v>129</v>
      </c>
      <c r="D1018" s="61" t="s">
        <v>130</v>
      </c>
      <c r="E1018" s="68"/>
      <c r="F1018" s="68"/>
      <c r="G1018" s="68"/>
      <c r="H1018" s="68"/>
      <c r="I1018" s="68"/>
      <c r="J1018" s="78"/>
      <c r="K1018" s="68"/>
      <c r="L1018" s="68"/>
      <c r="M1018" s="68"/>
      <c r="N1018" s="68"/>
      <c r="O1018" s="68"/>
      <c r="P1018" s="68"/>
      <c r="Q1018" s="68"/>
      <c r="R1018" s="68"/>
      <c r="S1018" s="68"/>
      <c r="T1018" s="68"/>
      <c r="U1018" s="68"/>
      <c r="V1018" s="68"/>
      <c r="W1018" s="68"/>
      <c r="X1018" s="68"/>
      <c r="Y1018" s="68"/>
      <c r="Z1018" s="68"/>
      <c r="AA1018" s="68"/>
      <c r="AB1018" s="68"/>
      <c r="AC1018" s="68"/>
      <c r="AD1018" s="68"/>
      <c r="AE1018" s="68"/>
    </row>
    <row r="1019" ht="26.25" customHeight="1">
      <c r="A1019" s="68"/>
      <c r="B1019" s="68"/>
      <c r="C1019" s="61" t="s">
        <v>129</v>
      </c>
      <c r="D1019" s="61" t="s">
        <v>130</v>
      </c>
      <c r="E1019" s="68"/>
      <c r="F1019" s="68"/>
      <c r="G1019" s="68"/>
      <c r="H1019" s="68"/>
      <c r="I1019" s="68"/>
      <c r="J1019" s="78"/>
      <c r="K1019" s="68"/>
      <c r="L1019" s="68"/>
      <c r="M1019" s="68"/>
      <c r="N1019" s="68"/>
      <c r="O1019" s="68"/>
      <c r="P1019" s="68"/>
      <c r="Q1019" s="68"/>
      <c r="R1019" s="68"/>
      <c r="S1019" s="68"/>
      <c r="T1019" s="68"/>
      <c r="U1019" s="68"/>
      <c r="V1019" s="68"/>
      <c r="W1019" s="68"/>
      <c r="X1019" s="68"/>
      <c r="Y1019" s="68"/>
      <c r="Z1019" s="68"/>
      <c r="AA1019" s="68"/>
      <c r="AB1019" s="68"/>
      <c r="AC1019" s="68"/>
      <c r="AD1019" s="68"/>
      <c r="AE1019" s="68"/>
    </row>
    <row r="1020" ht="26.25" customHeight="1">
      <c r="A1020" s="68"/>
      <c r="B1020" s="68"/>
      <c r="C1020" s="61" t="s">
        <v>129</v>
      </c>
      <c r="D1020" s="61" t="s">
        <v>130</v>
      </c>
      <c r="E1020" s="68"/>
      <c r="F1020" s="68"/>
      <c r="G1020" s="68"/>
      <c r="H1020" s="68"/>
      <c r="I1020" s="68"/>
      <c r="J1020" s="78"/>
      <c r="K1020" s="68"/>
      <c r="L1020" s="68"/>
      <c r="M1020" s="68"/>
      <c r="N1020" s="68"/>
      <c r="O1020" s="68"/>
      <c r="P1020" s="68"/>
      <c r="Q1020" s="68"/>
      <c r="R1020" s="68"/>
      <c r="S1020" s="68"/>
      <c r="T1020" s="68"/>
      <c r="U1020" s="68"/>
      <c r="V1020" s="68"/>
      <c r="W1020" s="68"/>
      <c r="X1020" s="68"/>
      <c r="Y1020" s="68"/>
      <c r="Z1020" s="68"/>
      <c r="AA1020" s="68"/>
      <c r="AB1020" s="68"/>
      <c r="AC1020" s="68"/>
      <c r="AD1020" s="68"/>
      <c r="AE1020" s="68"/>
    </row>
    <row r="1021" ht="26.25" customHeight="1">
      <c r="A1021" s="68"/>
      <c r="B1021" s="68"/>
      <c r="C1021" s="61" t="s">
        <v>129</v>
      </c>
      <c r="D1021" s="61" t="s">
        <v>130</v>
      </c>
      <c r="E1021" s="68"/>
      <c r="F1021" s="68"/>
      <c r="G1021" s="68"/>
      <c r="H1021" s="68"/>
      <c r="I1021" s="68"/>
      <c r="J1021" s="78"/>
      <c r="K1021" s="68"/>
      <c r="L1021" s="68"/>
      <c r="M1021" s="68"/>
      <c r="N1021" s="68"/>
      <c r="O1021" s="68"/>
      <c r="P1021" s="68"/>
      <c r="Q1021" s="68"/>
      <c r="R1021" s="68"/>
      <c r="S1021" s="68"/>
      <c r="T1021" s="68"/>
      <c r="U1021" s="68"/>
      <c r="V1021" s="68"/>
      <c r="W1021" s="68"/>
      <c r="X1021" s="68"/>
      <c r="Y1021" s="68"/>
      <c r="Z1021" s="68"/>
      <c r="AA1021" s="68"/>
      <c r="AB1021" s="68"/>
      <c r="AC1021" s="68"/>
      <c r="AD1021" s="68"/>
      <c r="AE1021" s="68"/>
    </row>
    <row r="1022" ht="26.25" customHeight="1">
      <c r="A1022" s="68"/>
      <c r="B1022" s="68"/>
      <c r="C1022" s="61" t="s">
        <v>129</v>
      </c>
      <c r="D1022" s="61" t="s">
        <v>130</v>
      </c>
      <c r="E1022" s="68"/>
      <c r="F1022" s="68"/>
      <c r="G1022" s="68"/>
      <c r="H1022" s="68"/>
      <c r="I1022" s="68"/>
      <c r="J1022" s="78"/>
      <c r="K1022" s="68"/>
      <c r="L1022" s="68"/>
      <c r="M1022" s="68"/>
      <c r="N1022" s="68"/>
      <c r="O1022" s="68"/>
      <c r="P1022" s="68"/>
      <c r="Q1022" s="68"/>
      <c r="R1022" s="68"/>
      <c r="S1022" s="68"/>
      <c r="T1022" s="68"/>
      <c r="U1022" s="68"/>
      <c r="V1022" s="68"/>
      <c r="W1022" s="68"/>
      <c r="X1022" s="68"/>
      <c r="Y1022" s="68"/>
      <c r="Z1022" s="68"/>
      <c r="AA1022" s="68"/>
      <c r="AB1022" s="68"/>
      <c r="AC1022" s="68"/>
      <c r="AD1022" s="68"/>
      <c r="AE1022" s="68"/>
    </row>
    <row r="1023" ht="26.25" customHeight="1">
      <c r="A1023" s="68"/>
      <c r="B1023" s="68"/>
      <c r="C1023" s="61" t="s">
        <v>129</v>
      </c>
      <c r="D1023" s="61" t="s">
        <v>130</v>
      </c>
      <c r="E1023" s="68"/>
      <c r="F1023" s="68"/>
      <c r="G1023" s="68"/>
      <c r="H1023" s="68"/>
      <c r="I1023" s="68"/>
      <c r="J1023" s="78"/>
      <c r="K1023" s="68"/>
      <c r="L1023" s="68"/>
      <c r="M1023" s="68"/>
      <c r="N1023" s="68"/>
      <c r="O1023" s="68"/>
      <c r="P1023" s="68"/>
      <c r="Q1023" s="68"/>
      <c r="R1023" s="68"/>
      <c r="S1023" s="68"/>
      <c r="T1023" s="68"/>
      <c r="U1023" s="68"/>
      <c r="V1023" s="68"/>
      <c r="W1023" s="68"/>
      <c r="X1023" s="68"/>
      <c r="Y1023" s="68"/>
      <c r="Z1023" s="68"/>
      <c r="AA1023" s="68"/>
      <c r="AB1023" s="68"/>
      <c r="AC1023" s="68"/>
      <c r="AD1023" s="68"/>
      <c r="AE1023" s="68"/>
    </row>
    <row r="1024" ht="26.25" customHeight="1">
      <c r="A1024" s="68"/>
      <c r="B1024" s="68"/>
      <c r="C1024" s="61" t="s">
        <v>129</v>
      </c>
      <c r="D1024" s="61" t="s">
        <v>130</v>
      </c>
      <c r="E1024" s="68"/>
      <c r="F1024" s="68"/>
      <c r="G1024" s="68"/>
      <c r="H1024" s="68"/>
      <c r="I1024" s="68"/>
      <c r="J1024" s="78"/>
      <c r="K1024" s="68"/>
      <c r="L1024" s="68"/>
      <c r="M1024" s="68"/>
      <c r="N1024" s="68"/>
      <c r="O1024" s="68"/>
      <c r="P1024" s="68"/>
      <c r="Q1024" s="68"/>
      <c r="R1024" s="68"/>
      <c r="S1024" s="68"/>
      <c r="T1024" s="68"/>
      <c r="U1024" s="68"/>
      <c r="V1024" s="68"/>
      <c r="W1024" s="68"/>
      <c r="X1024" s="68"/>
      <c r="Y1024" s="68"/>
      <c r="Z1024" s="68"/>
      <c r="AA1024" s="68"/>
      <c r="AB1024" s="68"/>
      <c r="AC1024" s="68"/>
      <c r="AD1024" s="68"/>
      <c r="AE1024" s="68"/>
    </row>
    <row r="1025" ht="26.25" customHeight="1">
      <c r="A1025" s="68"/>
      <c r="B1025" s="68"/>
      <c r="C1025" s="61" t="s">
        <v>129</v>
      </c>
      <c r="D1025" s="61" t="s">
        <v>130</v>
      </c>
      <c r="E1025" s="68"/>
      <c r="F1025" s="68"/>
      <c r="G1025" s="68"/>
      <c r="H1025" s="68"/>
      <c r="I1025" s="68"/>
      <c r="J1025" s="78"/>
      <c r="K1025" s="68"/>
      <c r="L1025" s="68"/>
      <c r="M1025" s="68"/>
      <c r="N1025" s="68"/>
      <c r="O1025" s="68"/>
      <c r="P1025" s="68"/>
      <c r="Q1025" s="68"/>
      <c r="R1025" s="68"/>
      <c r="S1025" s="68"/>
      <c r="T1025" s="68"/>
      <c r="U1025" s="68"/>
      <c r="V1025" s="68"/>
      <c r="W1025" s="68"/>
      <c r="X1025" s="68"/>
      <c r="Y1025" s="68"/>
      <c r="Z1025" s="68"/>
      <c r="AA1025" s="68"/>
      <c r="AB1025" s="68"/>
      <c r="AC1025" s="68"/>
      <c r="AD1025" s="68"/>
      <c r="AE1025" s="68"/>
    </row>
    <row r="1026" ht="26.25" customHeight="1">
      <c r="A1026" s="68"/>
      <c r="B1026" s="68"/>
      <c r="C1026" s="61" t="s">
        <v>129</v>
      </c>
      <c r="D1026" s="61" t="s">
        <v>130</v>
      </c>
      <c r="E1026" s="68"/>
      <c r="F1026" s="68"/>
      <c r="G1026" s="68"/>
      <c r="H1026" s="68"/>
      <c r="I1026" s="68"/>
      <c r="J1026" s="78"/>
      <c r="K1026" s="68"/>
      <c r="L1026" s="68"/>
      <c r="M1026" s="68"/>
      <c r="N1026" s="68"/>
      <c r="O1026" s="68"/>
      <c r="P1026" s="68"/>
      <c r="Q1026" s="68"/>
      <c r="R1026" s="68"/>
      <c r="S1026" s="68"/>
      <c r="T1026" s="68"/>
      <c r="U1026" s="68"/>
      <c r="V1026" s="68"/>
      <c r="W1026" s="68"/>
      <c r="X1026" s="68"/>
      <c r="Y1026" s="68"/>
      <c r="Z1026" s="68"/>
      <c r="AA1026" s="68"/>
      <c r="AB1026" s="68"/>
      <c r="AC1026" s="68"/>
      <c r="AD1026" s="68"/>
      <c r="AE1026" s="68"/>
    </row>
    <row r="1027" ht="26.25" customHeight="1">
      <c r="A1027" s="68"/>
      <c r="B1027" s="68"/>
      <c r="C1027" s="61" t="s">
        <v>129</v>
      </c>
      <c r="D1027" s="61" t="s">
        <v>130</v>
      </c>
      <c r="E1027" s="68"/>
      <c r="F1027" s="68"/>
      <c r="G1027" s="68"/>
      <c r="H1027" s="68"/>
      <c r="I1027" s="68"/>
      <c r="J1027" s="78"/>
      <c r="K1027" s="68"/>
      <c r="L1027" s="68"/>
      <c r="M1027" s="68"/>
      <c r="N1027" s="68"/>
      <c r="O1027" s="68"/>
      <c r="P1027" s="68"/>
      <c r="Q1027" s="68"/>
      <c r="R1027" s="68"/>
      <c r="S1027" s="68"/>
      <c r="T1027" s="68"/>
      <c r="U1027" s="68"/>
      <c r="V1027" s="68"/>
      <c r="W1027" s="68"/>
      <c r="X1027" s="68"/>
      <c r="Y1027" s="68"/>
      <c r="Z1027" s="68"/>
      <c r="AA1027" s="68"/>
      <c r="AB1027" s="68"/>
      <c r="AC1027" s="68"/>
      <c r="AD1027" s="68"/>
      <c r="AE1027" s="68"/>
    </row>
    <row r="1028" ht="26.25" customHeight="1">
      <c r="A1028" s="68"/>
      <c r="B1028" s="68"/>
      <c r="C1028" s="61" t="s">
        <v>129</v>
      </c>
      <c r="D1028" s="61" t="s">
        <v>130</v>
      </c>
      <c r="E1028" s="68"/>
      <c r="F1028" s="68"/>
      <c r="G1028" s="68"/>
      <c r="H1028" s="68"/>
      <c r="I1028" s="68"/>
      <c r="J1028" s="78"/>
      <c r="K1028" s="68"/>
      <c r="L1028" s="68"/>
      <c r="M1028" s="68"/>
      <c r="N1028" s="68"/>
      <c r="O1028" s="68"/>
      <c r="P1028" s="68"/>
      <c r="Q1028" s="68"/>
      <c r="R1028" s="68"/>
      <c r="S1028" s="68"/>
      <c r="T1028" s="68"/>
      <c r="U1028" s="68"/>
      <c r="V1028" s="68"/>
      <c r="W1028" s="68"/>
      <c r="X1028" s="68"/>
      <c r="Y1028" s="68"/>
      <c r="Z1028" s="68"/>
      <c r="AA1028" s="68"/>
      <c r="AB1028" s="68"/>
      <c r="AC1028" s="68"/>
      <c r="AD1028" s="68"/>
      <c r="AE1028" s="68"/>
    </row>
    <row r="1029" ht="26.25" customHeight="1">
      <c r="A1029" s="68"/>
      <c r="B1029" s="68"/>
      <c r="C1029" s="61" t="s">
        <v>129</v>
      </c>
      <c r="D1029" s="61" t="s">
        <v>130</v>
      </c>
      <c r="E1029" s="68"/>
      <c r="F1029" s="68"/>
      <c r="G1029" s="68"/>
      <c r="H1029" s="68"/>
      <c r="I1029" s="68"/>
      <c r="J1029" s="78"/>
      <c r="K1029" s="68"/>
      <c r="L1029" s="68"/>
      <c r="M1029" s="68"/>
      <c r="N1029" s="68"/>
      <c r="O1029" s="68"/>
      <c r="P1029" s="68"/>
      <c r="Q1029" s="68"/>
      <c r="R1029" s="68"/>
      <c r="S1029" s="68"/>
      <c r="T1029" s="68"/>
      <c r="U1029" s="68"/>
      <c r="V1029" s="68"/>
      <c r="W1029" s="68"/>
      <c r="X1029" s="68"/>
      <c r="Y1029" s="68"/>
      <c r="Z1029" s="68"/>
      <c r="AA1029" s="68"/>
      <c r="AB1029" s="68"/>
      <c r="AC1029" s="68"/>
      <c r="AD1029" s="68"/>
      <c r="AE1029" s="68"/>
    </row>
    <row r="1030" ht="26.25" customHeight="1">
      <c r="A1030" s="68"/>
      <c r="B1030" s="68"/>
      <c r="C1030" s="61" t="s">
        <v>129</v>
      </c>
      <c r="D1030" s="61" t="s">
        <v>130</v>
      </c>
      <c r="E1030" s="68"/>
      <c r="F1030" s="68"/>
      <c r="G1030" s="68"/>
      <c r="H1030" s="68"/>
      <c r="I1030" s="68"/>
      <c r="J1030" s="78"/>
      <c r="K1030" s="68"/>
      <c r="L1030" s="68"/>
      <c r="M1030" s="68"/>
      <c r="N1030" s="68"/>
      <c r="O1030" s="68"/>
      <c r="P1030" s="68"/>
      <c r="Q1030" s="68"/>
      <c r="R1030" s="68"/>
      <c r="S1030" s="68"/>
      <c r="T1030" s="68"/>
      <c r="U1030" s="68"/>
      <c r="V1030" s="68"/>
      <c r="W1030" s="68"/>
      <c r="X1030" s="68"/>
      <c r="Y1030" s="68"/>
      <c r="Z1030" s="68"/>
      <c r="AA1030" s="68"/>
      <c r="AB1030" s="68"/>
      <c r="AC1030" s="68"/>
      <c r="AD1030" s="68"/>
      <c r="AE1030" s="68"/>
    </row>
    <row r="1031" ht="26.25" customHeight="1">
      <c r="A1031" s="68"/>
      <c r="B1031" s="68"/>
      <c r="C1031" s="61" t="s">
        <v>129</v>
      </c>
      <c r="D1031" s="61" t="s">
        <v>130</v>
      </c>
      <c r="E1031" s="68"/>
      <c r="F1031" s="68"/>
      <c r="G1031" s="68"/>
      <c r="H1031" s="68"/>
      <c r="I1031" s="68"/>
      <c r="J1031" s="78"/>
      <c r="K1031" s="68"/>
      <c r="L1031" s="68"/>
      <c r="M1031" s="68"/>
      <c r="N1031" s="68"/>
      <c r="O1031" s="68"/>
      <c r="P1031" s="68"/>
      <c r="Q1031" s="68"/>
      <c r="R1031" s="68"/>
      <c r="S1031" s="68"/>
      <c r="T1031" s="68"/>
      <c r="U1031" s="68"/>
      <c r="V1031" s="68"/>
      <c r="W1031" s="68"/>
      <c r="X1031" s="68"/>
      <c r="Y1031" s="68"/>
      <c r="Z1031" s="68"/>
      <c r="AA1031" s="68"/>
      <c r="AB1031" s="68"/>
      <c r="AC1031" s="68"/>
      <c r="AD1031" s="68"/>
      <c r="AE1031" s="68"/>
    </row>
    <row r="1032" ht="26.25" customHeight="1">
      <c r="A1032" s="68"/>
      <c r="B1032" s="68"/>
      <c r="C1032" s="61" t="s">
        <v>129</v>
      </c>
      <c r="D1032" s="61" t="s">
        <v>130</v>
      </c>
      <c r="E1032" s="68"/>
      <c r="F1032" s="68"/>
      <c r="G1032" s="68"/>
      <c r="H1032" s="68"/>
      <c r="I1032" s="68"/>
      <c r="J1032" s="78"/>
      <c r="K1032" s="68"/>
      <c r="L1032" s="68"/>
      <c r="M1032" s="68"/>
      <c r="N1032" s="68"/>
      <c r="O1032" s="68"/>
      <c r="P1032" s="68"/>
      <c r="Q1032" s="68"/>
      <c r="R1032" s="68"/>
      <c r="S1032" s="68"/>
      <c r="T1032" s="68"/>
      <c r="U1032" s="68"/>
      <c r="V1032" s="68"/>
      <c r="W1032" s="68"/>
      <c r="X1032" s="68"/>
      <c r="Y1032" s="68"/>
      <c r="Z1032" s="68"/>
      <c r="AA1032" s="68"/>
      <c r="AB1032" s="68"/>
      <c r="AC1032" s="68"/>
      <c r="AD1032" s="68"/>
      <c r="AE1032" s="68"/>
    </row>
    <row r="1033" ht="26.25" customHeight="1">
      <c r="A1033" s="68"/>
      <c r="B1033" s="68"/>
      <c r="C1033" s="61" t="s">
        <v>129</v>
      </c>
      <c r="D1033" s="61" t="s">
        <v>130</v>
      </c>
      <c r="E1033" s="68"/>
      <c r="F1033" s="68"/>
      <c r="G1033" s="68"/>
      <c r="H1033" s="68"/>
      <c r="I1033" s="68"/>
      <c r="J1033" s="78"/>
      <c r="K1033" s="68"/>
      <c r="L1033" s="68"/>
      <c r="M1033" s="68"/>
      <c r="N1033" s="68"/>
      <c r="O1033" s="68"/>
      <c r="P1033" s="68"/>
      <c r="Q1033" s="68"/>
      <c r="R1033" s="68"/>
      <c r="S1033" s="68"/>
      <c r="T1033" s="68"/>
      <c r="U1033" s="68"/>
      <c r="V1033" s="68"/>
      <c r="W1033" s="68"/>
      <c r="X1033" s="68"/>
      <c r="Y1033" s="68"/>
      <c r="Z1033" s="68"/>
      <c r="AA1033" s="68"/>
      <c r="AB1033" s="68"/>
      <c r="AC1033" s="68"/>
      <c r="AD1033" s="68"/>
      <c r="AE1033" s="68"/>
    </row>
    <row r="1034" ht="26.25" customHeight="1">
      <c r="A1034" s="68"/>
      <c r="B1034" s="68"/>
      <c r="C1034" s="61" t="s">
        <v>129</v>
      </c>
      <c r="D1034" s="61" t="s">
        <v>130</v>
      </c>
      <c r="E1034" s="68"/>
      <c r="F1034" s="68"/>
      <c r="G1034" s="68"/>
      <c r="H1034" s="68"/>
      <c r="I1034" s="68"/>
      <c r="J1034" s="78"/>
      <c r="K1034" s="68"/>
      <c r="L1034" s="68"/>
      <c r="M1034" s="68"/>
      <c r="N1034" s="68"/>
      <c r="O1034" s="68"/>
      <c r="P1034" s="68"/>
      <c r="Q1034" s="68"/>
      <c r="R1034" s="68"/>
      <c r="S1034" s="68"/>
      <c r="T1034" s="68"/>
      <c r="U1034" s="68"/>
      <c r="V1034" s="68"/>
      <c r="W1034" s="68"/>
      <c r="X1034" s="68"/>
      <c r="Y1034" s="68"/>
      <c r="Z1034" s="68"/>
      <c r="AA1034" s="68"/>
      <c r="AB1034" s="68"/>
      <c r="AC1034" s="68"/>
      <c r="AD1034" s="68"/>
      <c r="AE1034" s="68"/>
    </row>
    <row r="1035" ht="26.25" customHeight="1">
      <c r="A1035" s="68"/>
      <c r="B1035" s="68"/>
      <c r="C1035" s="61" t="s">
        <v>129</v>
      </c>
      <c r="D1035" s="61" t="s">
        <v>130</v>
      </c>
      <c r="E1035" s="68"/>
      <c r="F1035" s="68"/>
      <c r="G1035" s="68"/>
      <c r="H1035" s="68"/>
      <c r="I1035" s="68"/>
      <c r="J1035" s="78"/>
      <c r="K1035" s="68"/>
      <c r="L1035" s="68"/>
      <c r="M1035" s="68"/>
      <c r="N1035" s="68"/>
      <c r="O1035" s="68"/>
      <c r="P1035" s="68"/>
      <c r="Q1035" s="68"/>
      <c r="R1035" s="68"/>
      <c r="S1035" s="68"/>
      <c r="T1035" s="68"/>
      <c r="U1035" s="68"/>
      <c r="V1035" s="68"/>
      <c r="W1035" s="68"/>
      <c r="X1035" s="68"/>
      <c r="Y1035" s="68"/>
      <c r="Z1035" s="68"/>
      <c r="AA1035" s="68"/>
      <c r="AB1035" s="68"/>
      <c r="AC1035" s="68"/>
      <c r="AD1035" s="68"/>
      <c r="AE1035" s="68"/>
    </row>
    <row r="1036" ht="26.25" customHeight="1">
      <c r="A1036" s="68"/>
      <c r="B1036" s="68"/>
      <c r="C1036" s="61" t="s">
        <v>129</v>
      </c>
      <c r="D1036" s="61" t="s">
        <v>130</v>
      </c>
      <c r="E1036" s="68"/>
      <c r="F1036" s="68"/>
      <c r="G1036" s="68"/>
      <c r="H1036" s="68"/>
      <c r="I1036" s="68"/>
      <c r="J1036" s="78"/>
      <c r="K1036" s="68"/>
      <c r="L1036" s="68"/>
      <c r="M1036" s="68"/>
      <c r="N1036" s="68"/>
      <c r="O1036" s="68"/>
      <c r="P1036" s="68"/>
      <c r="Q1036" s="68"/>
      <c r="R1036" s="68"/>
      <c r="S1036" s="68"/>
      <c r="T1036" s="68"/>
      <c r="U1036" s="68"/>
      <c r="V1036" s="68"/>
      <c r="W1036" s="68"/>
      <c r="X1036" s="68"/>
      <c r="Y1036" s="68"/>
      <c r="Z1036" s="68"/>
      <c r="AA1036" s="68"/>
      <c r="AB1036" s="68"/>
      <c r="AC1036" s="68"/>
      <c r="AD1036" s="68"/>
      <c r="AE1036" s="68"/>
    </row>
    <row r="1037" ht="26.25" customHeight="1">
      <c r="A1037" s="68"/>
      <c r="B1037" s="68"/>
      <c r="C1037" s="61" t="s">
        <v>129</v>
      </c>
      <c r="D1037" s="61" t="s">
        <v>130</v>
      </c>
      <c r="E1037" s="68"/>
      <c r="F1037" s="68"/>
      <c r="G1037" s="68"/>
      <c r="H1037" s="68"/>
      <c r="I1037" s="68"/>
      <c r="J1037" s="78"/>
      <c r="K1037" s="68"/>
      <c r="L1037" s="68"/>
      <c r="M1037" s="68"/>
      <c r="N1037" s="68"/>
      <c r="O1037" s="68"/>
      <c r="P1037" s="68"/>
      <c r="Q1037" s="68"/>
      <c r="R1037" s="68"/>
      <c r="S1037" s="68"/>
      <c r="T1037" s="68"/>
      <c r="U1037" s="68"/>
      <c r="V1037" s="68"/>
      <c r="W1037" s="68"/>
      <c r="X1037" s="68"/>
      <c r="Y1037" s="68"/>
      <c r="Z1037" s="68"/>
      <c r="AA1037" s="68"/>
      <c r="AB1037" s="68"/>
      <c r="AC1037" s="68"/>
      <c r="AD1037" s="68"/>
      <c r="AE1037" s="68"/>
    </row>
    <row r="1038" ht="26.25" customHeight="1">
      <c r="A1038" s="68"/>
      <c r="B1038" s="68"/>
      <c r="C1038" s="61" t="s">
        <v>129</v>
      </c>
      <c r="D1038" s="61" t="s">
        <v>130</v>
      </c>
      <c r="E1038" s="68"/>
      <c r="F1038" s="68"/>
      <c r="G1038" s="68"/>
      <c r="H1038" s="68"/>
      <c r="I1038" s="68"/>
      <c r="J1038" s="78"/>
      <c r="K1038" s="68"/>
      <c r="L1038" s="68"/>
      <c r="M1038" s="68"/>
      <c r="N1038" s="68"/>
      <c r="O1038" s="68"/>
      <c r="P1038" s="68"/>
      <c r="Q1038" s="68"/>
      <c r="R1038" s="68"/>
      <c r="S1038" s="68"/>
      <c r="T1038" s="68"/>
      <c r="U1038" s="68"/>
      <c r="V1038" s="68"/>
      <c r="W1038" s="68"/>
      <c r="X1038" s="68"/>
      <c r="Y1038" s="68"/>
      <c r="Z1038" s="68"/>
      <c r="AA1038" s="68"/>
      <c r="AB1038" s="68"/>
      <c r="AC1038" s="68"/>
      <c r="AD1038" s="68"/>
      <c r="AE1038" s="68"/>
    </row>
    <row r="1039" ht="26.25" customHeight="1">
      <c r="A1039" s="68"/>
      <c r="B1039" s="68"/>
      <c r="C1039" s="61" t="s">
        <v>129</v>
      </c>
      <c r="D1039" s="61" t="s">
        <v>130</v>
      </c>
      <c r="E1039" s="68"/>
      <c r="F1039" s="68"/>
      <c r="G1039" s="68"/>
      <c r="H1039" s="68"/>
      <c r="I1039" s="68"/>
      <c r="J1039" s="78"/>
      <c r="K1039" s="68"/>
      <c r="L1039" s="68"/>
      <c r="M1039" s="68"/>
      <c r="N1039" s="68"/>
      <c r="O1039" s="68"/>
      <c r="P1039" s="68"/>
      <c r="Q1039" s="68"/>
      <c r="R1039" s="68"/>
      <c r="S1039" s="68"/>
      <c r="T1039" s="68"/>
      <c r="U1039" s="68"/>
      <c r="V1039" s="68"/>
      <c r="W1039" s="68"/>
      <c r="X1039" s="68"/>
      <c r="Y1039" s="68"/>
      <c r="Z1039" s="68"/>
      <c r="AA1039" s="68"/>
      <c r="AB1039" s="68"/>
      <c r="AC1039" s="68"/>
      <c r="AD1039" s="68"/>
      <c r="AE1039" s="68"/>
    </row>
    <row r="1040" ht="26.25" customHeight="1">
      <c r="A1040" s="68"/>
      <c r="B1040" s="68"/>
      <c r="C1040" s="61" t="s">
        <v>129</v>
      </c>
      <c r="D1040" s="61" t="s">
        <v>130</v>
      </c>
      <c r="E1040" s="68"/>
      <c r="F1040" s="68"/>
      <c r="G1040" s="68"/>
      <c r="H1040" s="68"/>
      <c r="I1040" s="68"/>
      <c r="J1040" s="78"/>
      <c r="K1040" s="68"/>
      <c r="L1040" s="68"/>
      <c r="M1040" s="68"/>
      <c r="N1040" s="68"/>
      <c r="O1040" s="68"/>
      <c r="P1040" s="68"/>
      <c r="Q1040" s="68"/>
      <c r="R1040" s="68"/>
      <c r="S1040" s="68"/>
      <c r="T1040" s="68"/>
      <c r="U1040" s="68"/>
      <c r="V1040" s="68"/>
      <c r="W1040" s="68"/>
      <c r="X1040" s="68"/>
      <c r="Y1040" s="68"/>
      <c r="Z1040" s="68"/>
      <c r="AA1040" s="68"/>
      <c r="AB1040" s="68"/>
      <c r="AC1040" s="68"/>
      <c r="AD1040" s="68"/>
      <c r="AE1040" s="68"/>
    </row>
    <row r="1041" ht="26.25" customHeight="1">
      <c r="A1041" s="68"/>
      <c r="B1041" s="68"/>
      <c r="C1041" s="61" t="s">
        <v>129</v>
      </c>
      <c r="D1041" s="61" t="s">
        <v>130</v>
      </c>
      <c r="E1041" s="68"/>
      <c r="F1041" s="68"/>
      <c r="G1041" s="68"/>
      <c r="H1041" s="68"/>
      <c r="I1041" s="68"/>
      <c r="J1041" s="78"/>
      <c r="K1041" s="68"/>
      <c r="L1041" s="68"/>
      <c r="M1041" s="68"/>
      <c r="N1041" s="68"/>
      <c r="O1041" s="68"/>
      <c r="P1041" s="68"/>
      <c r="Q1041" s="68"/>
      <c r="R1041" s="68"/>
      <c r="S1041" s="68"/>
      <c r="T1041" s="68"/>
      <c r="U1041" s="68"/>
      <c r="V1041" s="68"/>
      <c r="W1041" s="68"/>
      <c r="X1041" s="68"/>
      <c r="Y1041" s="68"/>
      <c r="Z1041" s="68"/>
      <c r="AA1041" s="68"/>
      <c r="AB1041" s="68"/>
      <c r="AC1041" s="68"/>
      <c r="AD1041" s="68"/>
      <c r="AE1041" s="68"/>
    </row>
    <row r="1042" ht="26.25" customHeight="1">
      <c r="A1042" s="68"/>
      <c r="B1042" s="68"/>
      <c r="C1042" s="61" t="s">
        <v>129</v>
      </c>
      <c r="D1042" s="61" t="s">
        <v>130</v>
      </c>
      <c r="E1042" s="68"/>
      <c r="F1042" s="68"/>
      <c r="G1042" s="68"/>
      <c r="H1042" s="68"/>
      <c r="I1042" s="68"/>
      <c r="J1042" s="78"/>
      <c r="K1042" s="68"/>
      <c r="L1042" s="68"/>
      <c r="M1042" s="68"/>
      <c r="N1042" s="68"/>
      <c r="O1042" s="68"/>
      <c r="P1042" s="68"/>
      <c r="Q1042" s="68"/>
      <c r="R1042" s="68"/>
      <c r="S1042" s="68"/>
      <c r="T1042" s="68"/>
      <c r="U1042" s="68"/>
      <c r="V1042" s="68"/>
      <c r="W1042" s="68"/>
      <c r="X1042" s="68"/>
      <c r="Y1042" s="68"/>
      <c r="Z1042" s="68"/>
      <c r="AA1042" s="68"/>
      <c r="AB1042" s="68"/>
      <c r="AC1042" s="68"/>
      <c r="AD1042" s="68"/>
      <c r="AE1042" s="68"/>
    </row>
    <row r="1043" ht="26.25" customHeight="1">
      <c r="A1043" s="68"/>
      <c r="B1043" s="68"/>
      <c r="C1043" s="61" t="s">
        <v>129</v>
      </c>
      <c r="D1043" s="61" t="s">
        <v>130</v>
      </c>
      <c r="E1043" s="68"/>
      <c r="F1043" s="68"/>
      <c r="G1043" s="68"/>
      <c r="H1043" s="68"/>
      <c r="I1043" s="68"/>
      <c r="J1043" s="78"/>
      <c r="K1043" s="68"/>
      <c r="L1043" s="68"/>
      <c r="M1043" s="68"/>
      <c r="N1043" s="68"/>
      <c r="O1043" s="68"/>
      <c r="P1043" s="68"/>
      <c r="Q1043" s="68"/>
      <c r="R1043" s="68"/>
      <c r="S1043" s="68"/>
      <c r="T1043" s="68"/>
      <c r="U1043" s="68"/>
      <c r="V1043" s="68"/>
      <c r="W1043" s="68"/>
      <c r="X1043" s="68"/>
      <c r="Y1043" s="68"/>
      <c r="Z1043" s="68"/>
      <c r="AA1043" s="68"/>
      <c r="AB1043" s="68"/>
      <c r="AC1043" s="68"/>
      <c r="AD1043" s="68"/>
      <c r="AE1043" s="68"/>
    </row>
    <row r="1044" ht="26.25" customHeight="1">
      <c r="A1044" s="68"/>
      <c r="B1044" s="68"/>
      <c r="C1044" s="61" t="s">
        <v>129</v>
      </c>
      <c r="D1044" s="61" t="s">
        <v>130</v>
      </c>
      <c r="E1044" s="68"/>
      <c r="F1044" s="68"/>
      <c r="G1044" s="68"/>
      <c r="H1044" s="68"/>
      <c r="I1044" s="68"/>
      <c r="J1044" s="78"/>
      <c r="K1044" s="68"/>
      <c r="L1044" s="68"/>
      <c r="M1044" s="68"/>
      <c r="N1044" s="68"/>
      <c r="O1044" s="68"/>
      <c r="P1044" s="68"/>
      <c r="Q1044" s="68"/>
      <c r="R1044" s="68"/>
      <c r="S1044" s="68"/>
      <c r="T1044" s="68"/>
      <c r="U1044" s="68"/>
      <c r="V1044" s="68"/>
      <c r="W1044" s="68"/>
      <c r="X1044" s="68"/>
      <c r="Y1044" s="68"/>
      <c r="Z1044" s="68"/>
      <c r="AA1044" s="68"/>
      <c r="AB1044" s="68"/>
      <c r="AC1044" s="68"/>
      <c r="AD1044" s="68"/>
      <c r="AE1044" s="68"/>
    </row>
    <row r="1045" ht="26.25" customHeight="1">
      <c r="A1045" s="68"/>
      <c r="B1045" s="68"/>
      <c r="C1045" s="61" t="s">
        <v>129</v>
      </c>
      <c r="D1045" s="61" t="s">
        <v>130</v>
      </c>
      <c r="E1045" s="68"/>
      <c r="F1045" s="68"/>
      <c r="G1045" s="68"/>
      <c r="H1045" s="68"/>
      <c r="I1045" s="68"/>
      <c r="J1045" s="78"/>
      <c r="K1045" s="68"/>
      <c r="L1045" s="68"/>
      <c r="M1045" s="68"/>
      <c r="N1045" s="68"/>
      <c r="O1045" s="68"/>
      <c r="P1045" s="68"/>
      <c r="Q1045" s="68"/>
      <c r="R1045" s="68"/>
      <c r="S1045" s="68"/>
      <c r="T1045" s="68"/>
      <c r="U1045" s="68"/>
      <c r="V1045" s="68"/>
      <c r="W1045" s="68"/>
      <c r="X1045" s="68"/>
      <c r="Y1045" s="68"/>
      <c r="Z1045" s="68"/>
      <c r="AA1045" s="68"/>
      <c r="AB1045" s="68"/>
      <c r="AC1045" s="68"/>
      <c r="AD1045" s="68"/>
      <c r="AE1045" s="68"/>
    </row>
    <row r="1046" ht="26.25" customHeight="1">
      <c r="A1046" s="68"/>
      <c r="B1046" s="68"/>
      <c r="C1046" s="61" t="s">
        <v>129</v>
      </c>
      <c r="D1046" s="61" t="s">
        <v>130</v>
      </c>
      <c r="E1046" s="68"/>
      <c r="F1046" s="68"/>
      <c r="G1046" s="68"/>
      <c r="H1046" s="68"/>
      <c r="I1046" s="68"/>
      <c r="J1046" s="78"/>
      <c r="K1046" s="68"/>
      <c r="L1046" s="68"/>
      <c r="M1046" s="68"/>
      <c r="N1046" s="68"/>
      <c r="O1046" s="68"/>
      <c r="P1046" s="68"/>
      <c r="Q1046" s="68"/>
      <c r="R1046" s="68"/>
      <c r="S1046" s="68"/>
      <c r="T1046" s="68"/>
      <c r="U1046" s="68"/>
      <c r="V1046" s="68"/>
      <c r="W1046" s="68"/>
      <c r="X1046" s="68"/>
      <c r="Y1046" s="68"/>
      <c r="Z1046" s="68"/>
      <c r="AA1046" s="68"/>
      <c r="AB1046" s="68"/>
      <c r="AC1046" s="68"/>
      <c r="AD1046" s="68"/>
      <c r="AE1046" s="68"/>
    </row>
    <row r="1047" ht="26.25" customHeight="1">
      <c r="A1047" s="68"/>
      <c r="B1047" s="68"/>
      <c r="C1047" s="61" t="s">
        <v>129</v>
      </c>
      <c r="D1047" s="61" t="s">
        <v>130</v>
      </c>
      <c r="E1047" s="68"/>
      <c r="F1047" s="68"/>
      <c r="G1047" s="68"/>
      <c r="H1047" s="68"/>
      <c r="I1047" s="68"/>
      <c r="J1047" s="78"/>
      <c r="K1047" s="68"/>
      <c r="L1047" s="68"/>
      <c r="M1047" s="68"/>
      <c r="N1047" s="68"/>
      <c r="O1047" s="68"/>
      <c r="P1047" s="68"/>
      <c r="Q1047" s="68"/>
      <c r="R1047" s="68"/>
      <c r="S1047" s="68"/>
      <c r="T1047" s="68"/>
      <c r="U1047" s="68"/>
      <c r="V1047" s="68"/>
      <c r="W1047" s="68"/>
      <c r="X1047" s="68"/>
      <c r="Y1047" s="68"/>
      <c r="Z1047" s="68"/>
      <c r="AA1047" s="68"/>
      <c r="AB1047" s="68"/>
      <c r="AC1047" s="68"/>
      <c r="AD1047" s="68"/>
      <c r="AE1047" s="68"/>
    </row>
    <row r="1048" ht="26.25" customHeight="1">
      <c r="A1048" s="68"/>
      <c r="B1048" s="68"/>
      <c r="C1048" s="61" t="s">
        <v>129</v>
      </c>
      <c r="D1048" s="61" t="s">
        <v>130</v>
      </c>
      <c r="E1048" s="68"/>
      <c r="F1048" s="68"/>
      <c r="G1048" s="68"/>
      <c r="H1048" s="68"/>
      <c r="I1048" s="68"/>
      <c r="J1048" s="78"/>
      <c r="K1048" s="68"/>
      <c r="L1048" s="68"/>
      <c r="M1048" s="68"/>
      <c r="N1048" s="68"/>
      <c r="O1048" s="68"/>
      <c r="P1048" s="68"/>
      <c r="Q1048" s="68"/>
      <c r="R1048" s="68"/>
      <c r="S1048" s="68"/>
      <c r="T1048" s="68"/>
      <c r="U1048" s="68"/>
      <c r="V1048" s="68"/>
      <c r="W1048" s="68"/>
      <c r="X1048" s="68"/>
      <c r="Y1048" s="68"/>
      <c r="Z1048" s="68"/>
      <c r="AA1048" s="68"/>
      <c r="AB1048" s="68"/>
      <c r="AC1048" s="68"/>
      <c r="AD1048" s="68"/>
      <c r="AE1048" s="68"/>
    </row>
    <row r="1049" ht="26.25" customHeight="1">
      <c r="A1049" s="68"/>
      <c r="B1049" s="68"/>
      <c r="C1049" s="61" t="s">
        <v>129</v>
      </c>
      <c r="D1049" s="61" t="s">
        <v>130</v>
      </c>
      <c r="E1049" s="68"/>
      <c r="F1049" s="68"/>
      <c r="G1049" s="68"/>
      <c r="H1049" s="68"/>
      <c r="I1049" s="68"/>
      <c r="J1049" s="78"/>
      <c r="K1049" s="68"/>
      <c r="L1049" s="68"/>
      <c r="M1049" s="68"/>
      <c r="N1049" s="68"/>
      <c r="O1049" s="68"/>
      <c r="P1049" s="68"/>
      <c r="Q1049" s="68"/>
      <c r="R1049" s="68"/>
      <c r="S1049" s="68"/>
      <c r="T1049" s="68"/>
      <c r="U1049" s="68"/>
      <c r="V1049" s="68"/>
      <c r="W1049" s="68"/>
      <c r="X1049" s="68"/>
      <c r="Y1049" s="68"/>
      <c r="Z1049" s="68"/>
      <c r="AA1049" s="68"/>
      <c r="AB1049" s="68"/>
      <c r="AC1049" s="68"/>
      <c r="AD1049" s="68"/>
      <c r="AE1049" s="68"/>
    </row>
    <row r="1050" ht="26.25" customHeight="1">
      <c r="A1050" s="68"/>
      <c r="B1050" s="68"/>
      <c r="C1050" s="61" t="s">
        <v>129</v>
      </c>
      <c r="D1050" s="61" t="s">
        <v>130</v>
      </c>
      <c r="E1050" s="68"/>
      <c r="F1050" s="68"/>
      <c r="G1050" s="68"/>
      <c r="H1050" s="68"/>
      <c r="I1050" s="68"/>
      <c r="J1050" s="78"/>
      <c r="K1050" s="68"/>
      <c r="L1050" s="68"/>
      <c r="M1050" s="68"/>
      <c r="N1050" s="68"/>
      <c r="O1050" s="68"/>
      <c r="P1050" s="68"/>
      <c r="Q1050" s="68"/>
      <c r="R1050" s="68"/>
      <c r="S1050" s="68"/>
      <c r="T1050" s="68"/>
      <c r="U1050" s="68"/>
      <c r="V1050" s="68"/>
      <c r="W1050" s="68"/>
      <c r="X1050" s="68"/>
      <c r="Y1050" s="68"/>
      <c r="Z1050" s="68"/>
      <c r="AA1050" s="68"/>
      <c r="AB1050" s="68"/>
      <c r="AC1050" s="68"/>
      <c r="AD1050" s="68"/>
      <c r="AE1050" s="68"/>
    </row>
    <row r="1051" ht="26.25" customHeight="1">
      <c r="A1051" s="68"/>
      <c r="B1051" s="68"/>
      <c r="C1051" s="61" t="s">
        <v>129</v>
      </c>
      <c r="D1051" s="61" t="s">
        <v>130</v>
      </c>
      <c r="E1051" s="68"/>
      <c r="F1051" s="68"/>
      <c r="G1051" s="68"/>
      <c r="H1051" s="68"/>
      <c r="I1051" s="68"/>
      <c r="J1051" s="78"/>
      <c r="K1051" s="68"/>
      <c r="L1051" s="68"/>
      <c r="M1051" s="68"/>
      <c r="N1051" s="68"/>
      <c r="O1051" s="68"/>
      <c r="P1051" s="68"/>
      <c r="Q1051" s="68"/>
      <c r="R1051" s="68"/>
      <c r="S1051" s="68"/>
      <c r="T1051" s="68"/>
      <c r="U1051" s="68"/>
      <c r="V1051" s="68"/>
      <c r="W1051" s="68"/>
      <c r="X1051" s="68"/>
      <c r="Y1051" s="68"/>
      <c r="Z1051" s="68"/>
      <c r="AA1051" s="68"/>
      <c r="AB1051" s="68"/>
      <c r="AC1051" s="68"/>
      <c r="AD1051" s="68"/>
      <c r="AE1051" s="68"/>
    </row>
    <row r="1052" ht="26.25" customHeight="1">
      <c r="A1052" s="68"/>
      <c r="B1052" s="68"/>
      <c r="C1052" s="61" t="s">
        <v>129</v>
      </c>
      <c r="D1052" s="61" t="s">
        <v>130</v>
      </c>
      <c r="E1052" s="68"/>
      <c r="F1052" s="68"/>
      <c r="G1052" s="68"/>
      <c r="H1052" s="68"/>
      <c r="I1052" s="68"/>
      <c r="J1052" s="78"/>
      <c r="K1052" s="68"/>
      <c r="L1052" s="68"/>
      <c r="M1052" s="68"/>
      <c r="N1052" s="68"/>
      <c r="O1052" s="68"/>
      <c r="P1052" s="68"/>
      <c r="Q1052" s="68"/>
      <c r="R1052" s="68"/>
      <c r="S1052" s="68"/>
      <c r="T1052" s="68"/>
      <c r="U1052" s="68"/>
      <c r="V1052" s="68"/>
      <c r="W1052" s="68"/>
      <c r="X1052" s="68"/>
      <c r="Y1052" s="68"/>
      <c r="Z1052" s="68"/>
      <c r="AA1052" s="68"/>
      <c r="AB1052" s="68"/>
      <c r="AC1052" s="68"/>
      <c r="AD1052" s="68"/>
      <c r="AE1052" s="68"/>
    </row>
    <row r="1053" ht="26.25" customHeight="1">
      <c r="A1053" s="68"/>
      <c r="B1053" s="68"/>
      <c r="C1053" s="61" t="s">
        <v>129</v>
      </c>
      <c r="D1053" s="61" t="s">
        <v>130</v>
      </c>
      <c r="E1053" s="68"/>
      <c r="F1053" s="68"/>
      <c r="G1053" s="68"/>
      <c r="H1053" s="68"/>
      <c r="I1053" s="68"/>
      <c r="J1053" s="78"/>
      <c r="K1053" s="68"/>
      <c r="L1053" s="68"/>
      <c r="M1053" s="68"/>
      <c r="N1053" s="68"/>
      <c r="O1053" s="68"/>
      <c r="P1053" s="68"/>
      <c r="Q1053" s="68"/>
      <c r="R1053" s="68"/>
      <c r="S1053" s="68"/>
      <c r="T1053" s="68"/>
      <c r="U1053" s="68"/>
      <c r="V1053" s="68"/>
      <c r="W1053" s="68"/>
      <c r="X1053" s="68"/>
      <c r="Y1053" s="68"/>
      <c r="Z1053" s="68"/>
      <c r="AA1053" s="68"/>
      <c r="AB1053" s="68"/>
      <c r="AC1053" s="68"/>
      <c r="AD1053" s="68"/>
      <c r="AE1053" s="68"/>
    </row>
    <row r="1054" ht="26.25" customHeight="1">
      <c r="A1054" s="68"/>
      <c r="B1054" s="68"/>
      <c r="C1054" s="61" t="s">
        <v>129</v>
      </c>
      <c r="D1054" s="61" t="s">
        <v>130</v>
      </c>
      <c r="E1054" s="68"/>
      <c r="F1054" s="68"/>
      <c r="G1054" s="68"/>
      <c r="H1054" s="68"/>
      <c r="I1054" s="68"/>
      <c r="J1054" s="78"/>
      <c r="K1054" s="68"/>
      <c r="L1054" s="68"/>
      <c r="M1054" s="68"/>
      <c r="N1054" s="68"/>
      <c r="O1054" s="68"/>
      <c r="P1054" s="68"/>
      <c r="Q1054" s="68"/>
      <c r="R1054" s="68"/>
      <c r="S1054" s="68"/>
      <c r="T1054" s="68"/>
      <c r="U1054" s="68"/>
      <c r="V1054" s="68"/>
      <c r="W1054" s="68"/>
      <c r="X1054" s="68"/>
      <c r="Y1054" s="68"/>
      <c r="Z1054" s="68"/>
      <c r="AA1054" s="68"/>
      <c r="AB1054" s="68"/>
      <c r="AC1054" s="68"/>
      <c r="AD1054" s="68"/>
      <c r="AE1054" s="68"/>
    </row>
    <row r="1055" ht="26.25" customHeight="1">
      <c r="A1055" s="68"/>
      <c r="B1055" s="68"/>
      <c r="C1055" s="61" t="s">
        <v>129</v>
      </c>
      <c r="D1055" s="61" t="s">
        <v>130</v>
      </c>
      <c r="E1055" s="68"/>
      <c r="F1055" s="68"/>
      <c r="G1055" s="68"/>
      <c r="H1055" s="68"/>
      <c r="I1055" s="68"/>
      <c r="J1055" s="78"/>
      <c r="K1055" s="68"/>
      <c r="L1055" s="68"/>
      <c r="M1055" s="68"/>
      <c r="N1055" s="68"/>
      <c r="O1055" s="68"/>
      <c r="P1055" s="68"/>
      <c r="Q1055" s="68"/>
      <c r="R1055" s="68"/>
      <c r="S1055" s="68"/>
      <c r="T1055" s="68"/>
      <c r="U1055" s="68"/>
      <c r="V1055" s="68"/>
      <c r="W1055" s="68"/>
      <c r="X1055" s="68"/>
      <c r="Y1055" s="68"/>
      <c r="Z1055" s="68"/>
      <c r="AA1055" s="68"/>
      <c r="AB1055" s="68"/>
      <c r="AC1055" s="68"/>
      <c r="AD1055" s="68"/>
      <c r="AE1055" s="68"/>
    </row>
    <row r="1056" ht="26.25" customHeight="1">
      <c r="A1056" s="68"/>
      <c r="B1056" s="68"/>
      <c r="C1056" s="61" t="s">
        <v>129</v>
      </c>
      <c r="D1056" s="61" t="s">
        <v>130</v>
      </c>
      <c r="E1056" s="68"/>
      <c r="F1056" s="68"/>
      <c r="G1056" s="68"/>
      <c r="H1056" s="68"/>
      <c r="I1056" s="68"/>
      <c r="J1056" s="78"/>
      <c r="K1056" s="68"/>
      <c r="L1056" s="68"/>
      <c r="M1056" s="68"/>
      <c r="N1056" s="68"/>
      <c r="O1056" s="68"/>
      <c r="P1056" s="68"/>
      <c r="Q1056" s="68"/>
      <c r="R1056" s="68"/>
      <c r="S1056" s="68"/>
      <c r="T1056" s="68"/>
      <c r="U1056" s="68"/>
      <c r="V1056" s="68"/>
      <c r="W1056" s="68"/>
      <c r="X1056" s="68"/>
      <c r="Y1056" s="68"/>
      <c r="Z1056" s="68"/>
      <c r="AA1056" s="68"/>
      <c r="AB1056" s="68"/>
      <c r="AC1056" s="68"/>
      <c r="AD1056" s="68"/>
      <c r="AE1056" s="68"/>
    </row>
    <row r="1057" ht="26.25" customHeight="1">
      <c r="A1057" s="68"/>
      <c r="B1057" s="68"/>
      <c r="C1057" s="61" t="s">
        <v>129</v>
      </c>
      <c r="D1057" s="61" t="s">
        <v>130</v>
      </c>
      <c r="E1057" s="68"/>
      <c r="F1057" s="68"/>
      <c r="G1057" s="68"/>
      <c r="H1057" s="68"/>
      <c r="I1057" s="68"/>
      <c r="J1057" s="78"/>
      <c r="K1057" s="68"/>
      <c r="L1057" s="68"/>
      <c r="M1057" s="68"/>
      <c r="N1057" s="68"/>
      <c r="O1057" s="68"/>
      <c r="P1057" s="68"/>
      <c r="Q1057" s="68"/>
      <c r="R1057" s="68"/>
      <c r="S1057" s="68"/>
      <c r="T1057" s="68"/>
      <c r="U1057" s="68"/>
      <c r="V1057" s="68"/>
      <c r="W1057" s="68"/>
      <c r="X1057" s="68"/>
      <c r="Y1057" s="68"/>
      <c r="Z1057" s="68"/>
      <c r="AA1057" s="68"/>
      <c r="AB1057" s="68"/>
      <c r="AC1057" s="68"/>
      <c r="AD1057" s="68"/>
      <c r="AE1057" s="68"/>
    </row>
    <row r="1058" ht="26.25" customHeight="1">
      <c r="A1058" s="68"/>
      <c r="B1058" s="68"/>
      <c r="C1058" s="61" t="s">
        <v>129</v>
      </c>
      <c r="D1058" s="61" t="s">
        <v>130</v>
      </c>
      <c r="E1058" s="68"/>
      <c r="F1058" s="68"/>
      <c r="G1058" s="68"/>
      <c r="H1058" s="68"/>
      <c r="I1058" s="68"/>
      <c r="J1058" s="78"/>
      <c r="K1058" s="68"/>
      <c r="L1058" s="68"/>
      <c r="M1058" s="68"/>
      <c r="N1058" s="68"/>
      <c r="O1058" s="68"/>
      <c r="P1058" s="68"/>
      <c r="Q1058" s="68"/>
      <c r="R1058" s="68"/>
      <c r="S1058" s="68"/>
      <c r="T1058" s="68"/>
      <c r="U1058" s="68"/>
      <c r="V1058" s="68"/>
      <c r="W1058" s="68"/>
      <c r="X1058" s="68"/>
      <c r="Y1058" s="68"/>
      <c r="Z1058" s="68"/>
      <c r="AA1058" s="68"/>
      <c r="AB1058" s="68"/>
      <c r="AC1058" s="68"/>
      <c r="AD1058" s="68"/>
      <c r="AE1058" s="68"/>
    </row>
    <row r="1059" ht="26.25" customHeight="1">
      <c r="A1059" s="68"/>
      <c r="B1059" s="68"/>
      <c r="C1059" s="61" t="s">
        <v>129</v>
      </c>
      <c r="D1059" s="61" t="s">
        <v>130</v>
      </c>
      <c r="E1059" s="68"/>
      <c r="F1059" s="68"/>
      <c r="G1059" s="68"/>
      <c r="H1059" s="68"/>
      <c r="I1059" s="68"/>
      <c r="J1059" s="78"/>
      <c r="K1059" s="68"/>
      <c r="L1059" s="68"/>
      <c r="M1059" s="68"/>
      <c r="N1059" s="68"/>
      <c r="O1059" s="68"/>
      <c r="P1059" s="68"/>
      <c r="Q1059" s="68"/>
      <c r="R1059" s="68"/>
      <c r="S1059" s="68"/>
      <c r="T1059" s="68"/>
      <c r="U1059" s="68"/>
      <c r="V1059" s="68"/>
      <c r="W1059" s="68"/>
      <c r="X1059" s="68"/>
      <c r="Y1059" s="68"/>
      <c r="Z1059" s="68"/>
      <c r="AA1059" s="68"/>
      <c r="AB1059" s="68"/>
      <c r="AC1059" s="68"/>
      <c r="AD1059" s="68"/>
      <c r="AE1059" s="68"/>
    </row>
    <row r="1060" ht="26.25" customHeight="1">
      <c r="A1060" s="68"/>
      <c r="B1060" s="68"/>
      <c r="C1060" s="61" t="s">
        <v>129</v>
      </c>
      <c r="D1060" s="61" t="s">
        <v>130</v>
      </c>
      <c r="E1060" s="68"/>
      <c r="F1060" s="68"/>
      <c r="G1060" s="68"/>
      <c r="H1060" s="68"/>
      <c r="I1060" s="68"/>
      <c r="J1060" s="78"/>
      <c r="K1060" s="68"/>
      <c r="L1060" s="68"/>
      <c r="M1060" s="68"/>
      <c r="N1060" s="68"/>
      <c r="O1060" s="68"/>
      <c r="P1060" s="68"/>
      <c r="Q1060" s="68"/>
      <c r="R1060" s="68"/>
      <c r="S1060" s="68"/>
      <c r="T1060" s="68"/>
      <c r="U1060" s="68"/>
      <c r="V1060" s="68"/>
      <c r="W1060" s="68"/>
      <c r="X1060" s="68"/>
      <c r="Y1060" s="68"/>
      <c r="Z1060" s="68"/>
      <c r="AA1060" s="68"/>
      <c r="AB1060" s="68"/>
      <c r="AC1060" s="68"/>
      <c r="AD1060" s="68"/>
      <c r="AE1060" s="68"/>
    </row>
    <row r="1061" ht="26.25" customHeight="1">
      <c r="A1061" s="68"/>
      <c r="B1061" s="68"/>
      <c r="C1061" s="61" t="s">
        <v>129</v>
      </c>
      <c r="D1061" s="61" t="s">
        <v>130</v>
      </c>
      <c r="E1061" s="68"/>
      <c r="F1061" s="68"/>
      <c r="G1061" s="68"/>
      <c r="H1061" s="68"/>
      <c r="I1061" s="68"/>
      <c r="J1061" s="78"/>
      <c r="K1061" s="68"/>
      <c r="L1061" s="68"/>
      <c r="M1061" s="68"/>
      <c r="N1061" s="68"/>
      <c r="O1061" s="68"/>
      <c r="P1061" s="68"/>
      <c r="Q1061" s="68"/>
      <c r="R1061" s="68"/>
      <c r="S1061" s="68"/>
      <c r="T1061" s="68"/>
      <c r="U1061" s="68"/>
      <c r="V1061" s="68"/>
      <c r="W1061" s="68"/>
      <c r="X1061" s="68"/>
      <c r="Y1061" s="68"/>
      <c r="Z1061" s="68"/>
      <c r="AA1061" s="68"/>
      <c r="AB1061" s="68"/>
      <c r="AC1061" s="68"/>
      <c r="AD1061" s="68"/>
      <c r="AE1061" s="68"/>
    </row>
    <row r="1062" ht="26.25" customHeight="1">
      <c r="A1062" s="68"/>
      <c r="B1062" s="68"/>
      <c r="C1062" s="61" t="s">
        <v>129</v>
      </c>
      <c r="D1062" s="61" t="s">
        <v>130</v>
      </c>
      <c r="E1062" s="68"/>
      <c r="F1062" s="68"/>
      <c r="G1062" s="68"/>
      <c r="H1062" s="68"/>
      <c r="I1062" s="68"/>
      <c r="J1062" s="78"/>
      <c r="K1062" s="68"/>
      <c r="L1062" s="68"/>
      <c r="M1062" s="68"/>
      <c r="N1062" s="68"/>
      <c r="O1062" s="68"/>
      <c r="P1062" s="68"/>
      <c r="Q1062" s="68"/>
      <c r="R1062" s="68"/>
      <c r="S1062" s="68"/>
      <c r="T1062" s="68"/>
      <c r="U1062" s="68"/>
      <c r="V1062" s="68"/>
      <c r="W1062" s="68"/>
      <c r="X1062" s="68"/>
      <c r="Y1062" s="68"/>
      <c r="Z1062" s="68"/>
      <c r="AA1062" s="68"/>
      <c r="AB1062" s="68"/>
      <c r="AC1062" s="68"/>
      <c r="AD1062" s="68"/>
      <c r="AE1062" s="68"/>
    </row>
    <row r="1063" ht="26.25" customHeight="1">
      <c r="A1063" s="68"/>
      <c r="B1063" s="68"/>
      <c r="C1063" s="61" t="s">
        <v>129</v>
      </c>
      <c r="D1063" s="61" t="s">
        <v>130</v>
      </c>
      <c r="E1063" s="68"/>
      <c r="F1063" s="68"/>
      <c r="G1063" s="68"/>
      <c r="H1063" s="68"/>
      <c r="I1063" s="68"/>
      <c r="J1063" s="78"/>
      <c r="K1063" s="68"/>
      <c r="L1063" s="68"/>
      <c r="M1063" s="68"/>
      <c r="N1063" s="68"/>
      <c r="O1063" s="68"/>
      <c r="P1063" s="68"/>
      <c r="Q1063" s="68"/>
      <c r="R1063" s="68"/>
      <c r="S1063" s="68"/>
      <c r="T1063" s="68"/>
      <c r="U1063" s="68"/>
      <c r="V1063" s="68"/>
      <c r="W1063" s="68"/>
      <c r="X1063" s="68"/>
      <c r="Y1063" s="68"/>
      <c r="Z1063" s="68"/>
      <c r="AA1063" s="68"/>
      <c r="AB1063" s="68"/>
      <c r="AC1063" s="68"/>
      <c r="AD1063" s="68"/>
      <c r="AE1063" s="68"/>
    </row>
    <row r="1064" ht="26.25" customHeight="1">
      <c r="A1064" s="68"/>
      <c r="B1064" s="68"/>
      <c r="C1064" s="61" t="s">
        <v>129</v>
      </c>
      <c r="D1064" s="61" t="s">
        <v>130</v>
      </c>
      <c r="E1064" s="68"/>
      <c r="F1064" s="68"/>
      <c r="G1064" s="68"/>
      <c r="H1064" s="68"/>
      <c r="I1064" s="68"/>
      <c r="J1064" s="78"/>
      <c r="K1064" s="68"/>
      <c r="L1064" s="68"/>
      <c r="M1064" s="68"/>
      <c r="N1064" s="68"/>
      <c r="O1064" s="68"/>
      <c r="P1064" s="68"/>
      <c r="Q1064" s="68"/>
      <c r="R1064" s="68"/>
      <c r="S1064" s="68"/>
      <c r="T1064" s="68"/>
      <c r="U1064" s="68"/>
      <c r="V1064" s="68"/>
      <c r="W1064" s="68"/>
      <c r="X1064" s="68"/>
      <c r="Y1064" s="68"/>
      <c r="Z1064" s="68"/>
      <c r="AA1064" s="68"/>
      <c r="AB1064" s="68"/>
      <c r="AC1064" s="68"/>
      <c r="AD1064" s="68"/>
      <c r="AE1064" s="68"/>
    </row>
    <row r="1065" ht="26.25" customHeight="1">
      <c r="A1065" s="68"/>
      <c r="B1065" s="68"/>
      <c r="C1065" s="61" t="s">
        <v>129</v>
      </c>
      <c r="D1065" s="61" t="s">
        <v>130</v>
      </c>
      <c r="E1065" s="68"/>
      <c r="F1065" s="68"/>
      <c r="G1065" s="68"/>
      <c r="H1065" s="68"/>
      <c r="I1065" s="68"/>
      <c r="J1065" s="78"/>
      <c r="K1065" s="68"/>
      <c r="L1065" s="68"/>
      <c r="M1065" s="68"/>
      <c r="N1065" s="68"/>
      <c r="O1065" s="68"/>
      <c r="P1065" s="68"/>
      <c r="Q1065" s="68"/>
      <c r="R1065" s="68"/>
      <c r="S1065" s="68"/>
      <c r="T1065" s="68"/>
      <c r="U1065" s="68"/>
      <c r="V1065" s="68"/>
      <c r="W1065" s="68"/>
      <c r="X1065" s="68"/>
      <c r="Y1065" s="68"/>
      <c r="Z1065" s="68"/>
      <c r="AA1065" s="68"/>
      <c r="AB1065" s="68"/>
      <c r="AC1065" s="68"/>
      <c r="AD1065" s="68"/>
      <c r="AE1065" s="68"/>
    </row>
    <row r="1066" ht="26.25" customHeight="1">
      <c r="A1066" s="68"/>
      <c r="B1066" s="68"/>
      <c r="C1066" s="61" t="s">
        <v>129</v>
      </c>
      <c r="D1066" s="61" t="s">
        <v>130</v>
      </c>
      <c r="E1066" s="68"/>
      <c r="F1066" s="68"/>
      <c r="G1066" s="68"/>
      <c r="H1066" s="68"/>
      <c r="I1066" s="68"/>
      <c r="J1066" s="78"/>
      <c r="K1066" s="68"/>
      <c r="L1066" s="68"/>
      <c r="M1066" s="68"/>
      <c r="N1066" s="68"/>
      <c r="O1066" s="68"/>
      <c r="P1066" s="68"/>
      <c r="Q1066" s="68"/>
      <c r="R1066" s="68"/>
      <c r="S1066" s="68"/>
      <c r="T1066" s="68"/>
      <c r="U1066" s="68"/>
      <c r="V1066" s="68"/>
      <c r="W1066" s="68"/>
      <c r="X1066" s="68"/>
      <c r="Y1066" s="68"/>
      <c r="Z1066" s="68"/>
      <c r="AA1066" s="68"/>
      <c r="AB1066" s="68"/>
      <c r="AC1066" s="68"/>
      <c r="AD1066" s="68"/>
      <c r="AE1066" s="68"/>
    </row>
    <row r="1067" ht="26.25" customHeight="1">
      <c r="A1067" s="68"/>
      <c r="B1067" s="68"/>
      <c r="C1067" s="61" t="s">
        <v>129</v>
      </c>
      <c r="D1067" s="61" t="s">
        <v>130</v>
      </c>
      <c r="E1067" s="68"/>
      <c r="F1067" s="68"/>
      <c r="G1067" s="68"/>
      <c r="H1067" s="68"/>
      <c r="I1067" s="68"/>
      <c r="J1067" s="78"/>
      <c r="K1067" s="68"/>
      <c r="L1067" s="68"/>
      <c r="M1067" s="68"/>
      <c r="N1067" s="68"/>
      <c r="O1067" s="68"/>
      <c r="P1067" s="68"/>
      <c r="Q1067" s="68"/>
      <c r="R1067" s="68"/>
      <c r="S1067" s="68"/>
      <c r="T1067" s="68"/>
      <c r="U1067" s="68"/>
      <c r="V1067" s="68"/>
      <c r="W1067" s="68"/>
      <c r="X1067" s="68"/>
      <c r="Y1067" s="68"/>
      <c r="Z1067" s="68"/>
      <c r="AA1067" s="68"/>
      <c r="AB1067" s="68"/>
      <c r="AC1067" s="68"/>
      <c r="AD1067" s="68"/>
      <c r="AE1067" s="68"/>
    </row>
    <row r="1068" ht="26.25" customHeight="1">
      <c r="A1068" s="68"/>
      <c r="B1068" s="68"/>
      <c r="C1068" s="61" t="s">
        <v>129</v>
      </c>
      <c r="D1068" s="61" t="s">
        <v>130</v>
      </c>
      <c r="E1068" s="68"/>
      <c r="F1068" s="68"/>
      <c r="G1068" s="68"/>
      <c r="H1068" s="68"/>
      <c r="I1068" s="68"/>
      <c r="J1068" s="78"/>
      <c r="K1068" s="68"/>
      <c r="L1068" s="68"/>
      <c r="M1068" s="68"/>
      <c r="N1068" s="68"/>
      <c r="O1068" s="68"/>
      <c r="P1068" s="68"/>
      <c r="Q1068" s="68"/>
      <c r="R1068" s="68"/>
      <c r="S1068" s="68"/>
      <c r="T1068" s="68"/>
      <c r="U1068" s="68"/>
      <c r="V1068" s="68"/>
      <c r="W1068" s="68"/>
      <c r="X1068" s="68"/>
      <c r="Y1068" s="68"/>
      <c r="Z1068" s="68"/>
      <c r="AA1068" s="68"/>
      <c r="AB1068" s="68"/>
      <c r="AC1068" s="68"/>
      <c r="AD1068" s="68"/>
      <c r="AE1068" s="68"/>
    </row>
    <row r="1069" ht="26.25" customHeight="1">
      <c r="A1069" s="68"/>
      <c r="B1069" s="68"/>
      <c r="C1069" s="61" t="s">
        <v>129</v>
      </c>
      <c r="D1069" s="61" t="s">
        <v>130</v>
      </c>
      <c r="E1069" s="68"/>
      <c r="F1069" s="68"/>
      <c r="G1069" s="68"/>
      <c r="H1069" s="68"/>
      <c r="I1069" s="68"/>
      <c r="J1069" s="78"/>
      <c r="K1069" s="68"/>
      <c r="L1069" s="68"/>
      <c r="M1069" s="68"/>
      <c r="N1069" s="68"/>
      <c r="O1069" s="68"/>
      <c r="P1069" s="68"/>
      <c r="Q1069" s="68"/>
      <c r="R1069" s="68"/>
      <c r="S1069" s="68"/>
      <c r="T1069" s="68"/>
      <c r="U1069" s="68"/>
      <c r="V1069" s="68"/>
      <c r="W1069" s="68"/>
      <c r="X1069" s="68"/>
      <c r="Y1069" s="68"/>
      <c r="Z1069" s="68"/>
      <c r="AA1069" s="68"/>
      <c r="AB1069" s="68"/>
      <c r="AC1069" s="68"/>
      <c r="AD1069" s="68"/>
      <c r="AE1069" s="68"/>
    </row>
    <row r="1070" ht="26.25" customHeight="1">
      <c r="A1070" s="68"/>
      <c r="B1070" s="68"/>
      <c r="C1070" s="61" t="s">
        <v>129</v>
      </c>
      <c r="D1070" s="61" t="s">
        <v>130</v>
      </c>
      <c r="E1070" s="68"/>
      <c r="F1070" s="68"/>
      <c r="G1070" s="68"/>
      <c r="H1070" s="68"/>
      <c r="I1070" s="68"/>
      <c r="J1070" s="78"/>
      <c r="K1070" s="68"/>
      <c r="L1070" s="68"/>
      <c r="M1070" s="68"/>
      <c r="N1070" s="68"/>
      <c r="O1070" s="68"/>
      <c r="P1070" s="68"/>
      <c r="Q1070" s="68"/>
      <c r="R1070" s="68"/>
      <c r="S1070" s="68"/>
      <c r="T1070" s="68"/>
      <c r="U1070" s="68"/>
      <c r="V1070" s="68"/>
      <c r="W1070" s="68"/>
      <c r="X1070" s="68"/>
      <c r="Y1070" s="68"/>
      <c r="Z1070" s="68"/>
      <c r="AA1070" s="68"/>
      <c r="AB1070" s="68"/>
      <c r="AC1070" s="68"/>
      <c r="AD1070" s="68"/>
      <c r="AE1070" s="68"/>
    </row>
    <row r="1071" ht="26.25" customHeight="1">
      <c r="A1071" s="68"/>
      <c r="B1071" s="68"/>
      <c r="C1071" s="61" t="s">
        <v>129</v>
      </c>
      <c r="D1071" s="61" t="s">
        <v>130</v>
      </c>
      <c r="E1071" s="68"/>
      <c r="F1071" s="68"/>
      <c r="G1071" s="68"/>
      <c r="H1071" s="68"/>
      <c r="I1071" s="68"/>
      <c r="J1071" s="78"/>
      <c r="K1071" s="68"/>
      <c r="L1071" s="68"/>
      <c r="M1071" s="68"/>
      <c r="N1071" s="68"/>
      <c r="O1071" s="68"/>
      <c r="P1071" s="68"/>
      <c r="Q1071" s="68"/>
      <c r="R1071" s="68"/>
      <c r="S1071" s="68"/>
      <c r="T1071" s="68"/>
      <c r="U1071" s="68"/>
      <c r="V1071" s="68"/>
      <c r="W1071" s="68"/>
      <c r="X1071" s="68"/>
      <c r="Y1071" s="68"/>
      <c r="Z1071" s="68"/>
      <c r="AA1071" s="68"/>
      <c r="AB1071" s="68"/>
      <c r="AC1071" s="68"/>
      <c r="AD1071" s="68"/>
      <c r="AE1071" s="68"/>
    </row>
    <row r="1072" ht="26.25" customHeight="1">
      <c r="A1072" s="68"/>
      <c r="B1072" s="68"/>
      <c r="C1072" s="61" t="s">
        <v>129</v>
      </c>
      <c r="D1072" s="61" t="s">
        <v>130</v>
      </c>
      <c r="E1072" s="68"/>
      <c r="F1072" s="68"/>
      <c r="G1072" s="68"/>
      <c r="H1072" s="68"/>
      <c r="I1072" s="68"/>
      <c r="J1072" s="78"/>
      <c r="K1072" s="68"/>
      <c r="L1072" s="68"/>
      <c r="M1072" s="68"/>
      <c r="N1072" s="68"/>
      <c r="O1072" s="68"/>
      <c r="P1072" s="68"/>
      <c r="Q1072" s="68"/>
      <c r="R1072" s="68"/>
      <c r="S1072" s="68"/>
      <c r="T1072" s="68"/>
      <c r="U1072" s="68"/>
      <c r="V1072" s="68"/>
      <c r="W1072" s="68"/>
      <c r="X1072" s="68"/>
      <c r="Y1072" s="68"/>
      <c r="Z1072" s="68"/>
      <c r="AA1072" s="68"/>
      <c r="AB1072" s="68"/>
      <c r="AC1072" s="68"/>
      <c r="AD1072" s="68"/>
      <c r="AE1072" s="68"/>
    </row>
    <row r="1073" ht="26.25" customHeight="1">
      <c r="A1073" s="68"/>
      <c r="B1073" s="68"/>
      <c r="C1073" s="61" t="s">
        <v>129</v>
      </c>
      <c r="D1073" s="61" t="s">
        <v>130</v>
      </c>
      <c r="E1073" s="68"/>
      <c r="F1073" s="68"/>
      <c r="G1073" s="68"/>
      <c r="H1073" s="68"/>
      <c r="I1073" s="68"/>
      <c r="J1073" s="78"/>
      <c r="K1073" s="68"/>
      <c r="L1073" s="68"/>
      <c r="M1073" s="68"/>
      <c r="N1073" s="68"/>
      <c r="O1073" s="68"/>
      <c r="P1073" s="68"/>
      <c r="Q1073" s="68"/>
      <c r="R1073" s="68"/>
      <c r="S1073" s="68"/>
      <c r="T1073" s="68"/>
      <c r="U1073" s="68"/>
      <c r="V1073" s="68"/>
      <c r="W1073" s="68"/>
      <c r="X1073" s="68"/>
      <c r="Y1073" s="68"/>
      <c r="Z1073" s="68"/>
      <c r="AA1073" s="68"/>
      <c r="AB1073" s="68"/>
      <c r="AC1073" s="68"/>
      <c r="AD1073" s="68"/>
      <c r="AE1073" s="68"/>
    </row>
    <row r="1074" ht="26.25" customHeight="1">
      <c r="A1074" s="68"/>
      <c r="B1074" s="68"/>
      <c r="C1074" s="61" t="s">
        <v>129</v>
      </c>
      <c r="D1074" s="61" t="s">
        <v>130</v>
      </c>
      <c r="E1074" s="68"/>
      <c r="F1074" s="68"/>
      <c r="G1074" s="68"/>
      <c r="H1074" s="68"/>
      <c r="I1074" s="68"/>
      <c r="J1074" s="78"/>
      <c r="K1074" s="68"/>
      <c r="L1074" s="68"/>
      <c r="M1074" s="68"/>
      <c r="N1074" s="68"/>
      <c r="O1074" s="68"/>
      <c r="P1074" s="68"/>
      <c r="Q1074" s="68"/>
      <c r="R1074" s="68"/>
      <c r="S1074" s="68"/>
      <c r="T1074" s="68"/>
      <c r="U1074" s="68"/>
      <c r="V1074" s="68"/>
      <c r="W1074" s="68"/>
      <c r="X1074" s="68"/>
      <c r="Y1074" s="68"/>
      <c r="Z1074" s="68"/>
      <c r="AA1074" s="68"/>
      <c r="AB1074" s="68"/>
      <c r="AC1074" s="68"/>
      <c r="AD1074" s="68"/>
      <c r="AE1074" s="68"/>
    </row>
    <row r="1075" ht="26.25" customHeight="1">
      <c r="A1075" s="68"/>
      <c r="B1075" s="68"/>
      <c r="C1075" s="61" t="s">
        <v>129</v>
      </c>
      <c r="D1075" s="61" t="s">
        <v>130</v>
      </c>
      <c r="E1075" s="68"/>
      <c r="F1075" s="68"/>
      <c r="G1075" s="68"/>
      <c r="H1075" s="68"/>
      <c r="I1075" s="68"/>
      <c r="J1075" s="78"/>
      <c r="K1075" s="68"/>
      <c r="L1075" s="68"/>
      <c r="M1075" s="68"/>
      <c r="N1075" s="68"/>
      <c r="O1075" s="68"/>
      <c r="P1075" s="68"/>
      <c r="Q1075" s="68"/>
      <c r="R1075" s="68"/>
      <c r="S1075" s="68"/>
      <c r="T1075" s="68"/>
      <c r="U1075" s="68"/>
      <c r="V1075" s="68"/>
      <c r="W1075" s="68"/>
      <c r="X1075" s="68"/>
      <c r="Y1075" s="68"/>
      <c r="Z1075" s="68"/>
      <c r="AA1075" s="68"/>
      <c r="AB1075" s="68"/>
      <c r="AC1075" s="68"/>
      <c r="AD1075" s="68"/>
      <c r="AE1075" s="68"/>
    </row>
    <row r="1076" ht="26.25" customHeight="1">
      <c r="A1076" s="68"/>
      <c r="B1076" s="68"/>
      <c r="C1076" s="61" t="s">
        <v>129</v>
      </c>
      <c r="D1076" s="61" t="s">
        <v>130</v>
      </c>
      <c r="E1076" s="68"/>
      <c r="F1076" s="68"/>
      <c r="G1076" s="68"/>
      <c r="H1076" s="68"/>
      <c r="I1076" s="68"/>
      <c r="J1076" s="78"/>
      <c r="K1076" s="68"/>
      <c r="L1076" s="68"/>
      <c r="M1076" s="68"/>
      <c r="N1076" s="68"/>
      <c r="O1076" s="68"/>
      <c r="P1076" s="68"/>
      <c r="Q1076" s="68"/>
      <c r="R1076" s="68"/>
      <c r="S1076" s="68"/>
      <c r="T1076" s="68"/>
      <c r="U1076" s="68"/>
      <c r="V1076" s="68"/>
      <c r="W1076" s="68"/>
      <c r="X1076" s="68"/>
      <c r="Y1076" s="68"/>
      <c r="Z1076" s="68"/>
      <c r="AA1076" s="68"/>
      <c r="AB1076" s="68"/>
      <c r="AC1076" s="68"/>
      <c r="AD1076" s="68"/>
      <c r="AE1076" s="68"/>
    </row>
    <row r="1077" ht="26.25" customHeight="1">
      <c r="A1077" s="68"/>
      <c r="B1077" s="68"/>
      <c r="C1077" s="61" t="s">
        <v>129</v>
      </c>
      <c r="D1077" s="61" t="s">
        <v>130</v>
      </c>
      <c r="E1077" s="68"/>
      <c r="F1077" s="68"/>
      <c r="G1077" s="68"/>
      <c r="H1077" s="68"/>
      <c r="I1077" s="68"/>
      <c r="J1077" s="78"/>
      <c r="K1077" s="68"/>
      <c r="L1077" s="68"/>
      <c r="M1077" s="68"/>
      <c r="N1077" s="68"/>
      <c r="O1077" s="68"/>
      <c r="P1077" s="68"/>
      <c r="Q1077" s="68"/>
      <c r="R1077" s="68"/>
      <c r="S1077" s="68"/>
      <c r="T1077" s="68"/>
      <c r="U1077" s="68"/>
      <c r="V1077" s="68"/>
      <c r="W1077" s="68"/>
      <c r="X1077" s="68"/>
      <c r="Y1077" s="68"/>
      <c r="Z1077" s="68"/>
      <c r="AA1077" s="68"/>
      <c r="AB1077" s="68"/>
      <c r="AC1077" s="68"/>
      <c r="AD1077" s="68"/>
      <c r="AE1077" s="68"/>
    </row>
    <row r="1078" ht="26.25" customHeight="1">
      <c r="A1078" s="68"/>
      <c r="B1078" s="68"/>
      <c r="C1078" s="61" t="s">
        <v>129</v>
      </c>
      <c r="D1078" s="61" t="s">
        <v>130</v>
      </c>
      <c r="E1078" s="68"/>
      <c r="F1078" s="68"/>
      <c r="G1078" s="68"/>
      <c r="H1078" s="68"/>
      <c r="I1078" s="68"/>
      <c r="J1078" s="78"/>
      <c r="K1078" s="68"/>
      <c r="L1078" s="68"/>
      <c r="M1078" s="68"/>
      <c r="N1078" s="68"/>
      <c r="O1078" s="68"/>
      <c r="P1078" s="68"/>
      <c r="Q1078" s="68"/>
      <c r="R1078" s="68"/>
      <c r="S1078" s="68"/>
      <c r="T1078" s="68"/>
      <c r="U1078" s="68"/>
      <c r="V1078" s="68"/>
      <c r="W1078" s="68"/>
      <c r="X1078" s="68"/>
      <c r="Y1078" s="68"/>
      <c r="Z1078" s="68"/>
      <c r="AA1078" s="68"/>
      <c r="AB1078" s="68"/>
      <c r="AC1078" s="68"/>
      <c r="AD1078" s="68"/>
      <c r="AE1078" s="68"/>
    </row>
    <row r="1079" ht="26.25" customHeight="1">
      <c r="A1079" s="68"/>
      <c r="B1079" s="68"/>
      <c r="C1079" s="61" t="s">
        <v>129</v>
      </c>
      <c r="D1079" s="61" t="s">
        <v>130</v>
      </c>
      <c r="E1079" s="68"/>
      <c r="F1079" s="68"/>
      <c r="G1079" s="68"/>
      <c r="H1079" s="68"/>
      <c r="I1079" s="68"/>
      <c r="J1079" s="78"/>
      <c r="K1079" s="68"/>
      <c r="L1079" s="68"/>
      <c r="M1079" s="68"/>
      <c r="N1079" s="68"/>
      <c r="O1079" s="68"/>
      <c r="P1079" s="68"/>
      <c r="Q1079" s="68"/>
      <c r="R1079" s="68"/>
      <c r="S1079" s="68"/>
      <c r="T1079" s="68"/>
      <c r="U1079" s="68"/>
      <c r="V1079" s="68"/>
      <c r="W1079" s="68"/>
      <c r="X1079" s="68"/>
      <c r="Y1079" s="68"/>
      <c r="Z1079" s="68"/>
      <c r="AA1079" s="68"/>
      <c r="AB1079" s="68"/>
      <c r="AC1079" s="68"/>
      <c r="AD1079" s="68"/>
      <c r="AE1079" s="68"/>
    </row>
    <row r="1080" ht="26.25" customHeight="1">
      <c r="A1080" s="68"/>
      <c r="B1080" s="68"/>
      <c r="C1080" s="61" t="s">
        <v>129</v>
      </c>
      <c r="D1080" s="61" t="s">
        <v>130</v>
      </c>
      <c r="E1080" s="68"/>
      <c r="F1080" s="68"/>
      <c r="G1080" s="68"/>
      <c r="H1080" s="68"/>
      <c r="I1080" s="68"/>
      <c r="J1080" s="78"/>
      <c r="K1080" s="68"/>
      <c r="L1080" s="68"/>
      <c r="M1080" s="68"/>
      <c r="N1080" s="68"/>
      <c r="O1080" s="68"/>
      <c r="P1080" s="68"/>
      <c r="Q1080" s="68"/>
      <c r="R1080" s="68"/>
      <c r="S1080" s="68"/>
      <c r="T1080" s="68"/>
      <c r="U1080" s="68"/>
      <c r="V1080" s="68"/>
      <c r="W1080" s="68"/>
      <c r="X1080" s="68"/>
      <c r="Y1080" s="68"/>
      <c r="Z1080" s="68"/>
      <c r="AA1080" s="68"/>
      <c r="AB1080" s="68"/>
      <c r="AC1080" s="68"/>
      <c r="AD1080" s="68"/>
      <c r="AE1080" s="68"/>
    </row>
    <row r="1081" ht="26.25" customHeight="1">
      <c r="A1081" s="68"/>
      <c r="B1081" s="68"/>
      <c r="C1081" s="61" t="s">
        <v>129</v>
      </c>
      <c r="D1081" s="61" t="s">
        <v>130</v>
      </c>
      <c r="E1081" s="68"/>
      <c r="F1081" s="68"/>
      <c r="G1081" s="68"/>
      <c r="H1081" s="68"/>
      <c r="I1081" s="68"/>
      <c r="J1081" s="78"/>
      <c r="K1081" s="68"/>
      <c r="L1081" s="68"/>
      <c r="M1081" s="68"/>
      <c r="N1081" s="68"/>
      <c r="O1081" s="68"/>
      <c r="P1081" s="68"/>
      <c r="Q1081" s="68"/>
      <c r="R1081" s="68"/>
      <c r="S1081" s="68"/>
      <c r="T1081" s="68"/>
      <c r="U1081" s="68"/>
      <c r="V1081" s="68"/>
      <c r="W1081" s="68"/>
      <c r="X1081" s="68"/>
      <c r="Y1081" s="68"/>
      <c r="Z1081" s="68"/>
      <c r="AA1081" s="68"/>
      <c r="AB1081" s="68"/>
      <c r="AC1081" s="68"/>
      <c r="AD1081" s="68"/>
      <c r="AE1081" s="68"/>
    </row>
    <row r="1082" ht="26.25" customHeight="1">
      <c r="A1082" s="68"/>
      <c r="B1082" s="68"/>
      <c r="C1082" s="61" t="s">
        <v>129</v>
      </c>
      <c r="D1082" s="61" t="s">
        <v>130</v>
      </c>
      <c r="E1082" s="68"/>
      <c r="F1082" s="68"/>
      <c r="G1082" s="68"/>
      <c r="H1082" s="68"/>
      <c r="I1082" s="68"/>
      <c r="J1082" s="78"/>
      <c r="K1082" s="68"/>
      <c r="L1082" s="68"/>
      <c r="M1082" s="68"/>
      <c r="N1082" s="68"/>
      <c r="O1082" s="68"/>
      <c r="P1082" s="68"/>
      <c r="Q1082" s="68"/>
      <c r="R1082" s="68"/>
      <c r="S1082" s="68"/>
      <c r="T1082" s="68"/>
      <c r="U1082" s="68"/>
      <c r="V1082" s="68"/>
      <c r="W1082" s="68"/>
      <c r="X1082" s="68"/>
      <c r="Y1082" s="68"/>
      <c r="Z1082" s="68"/>
      <c r="AA1082" s="68"/>
      <c r="AB1082" s="68"/>
      <c r="AC1082" s="68"/>
      <c r="AD1082" s="68"/>
      <c r="AE1082" s="68"/>
    </row>
    <row r="1083" ht="26.25" customHeight="1">
      <c r="A1083" s="68"/>
      <c r="B1083" s="68"/>
      <c r="C1083" s="61" t="s">
        <v>129</v>
      </c>
      <c r="D1083" s="61" t="s">
        <v>130</v>
      </c>
      <c r="E1083" s="68"/>
      <c r="F1083" s="68"/>
      <c r="G1083" s="68"/>
      <c r="H1083" s="68"/>
      <c r="I1083" s="68"/>
      <c r="J1083" s="78"/>
      <c r="K1083" s="68"/>
      <c r="L1083" s="68"/>
      <c r="M1083" s="68"/>
      <c r="N1083" s="68"/>
      <c r="O1083" s="68"/>
      <c r="P1083" s="68"/>
      <c r="Q1083" s="68"/>
      <c r="R1083" s="68"/>
      <c r="S1083" s="68"/>
      <c r="T1083" s="68"/>
      <c r="U1083" s="68"/>
      <c r="V1083" s="68"/>
      <c r="W1083" s="68"/>
      <c r="X1083" s="68"/>
      <c r="Y1083" s="68"/>
      <c r="Z1083" s="68"/>
      <c r="AA1083" s="68"/>
      <c r="AB1083" s="68"/>
      <c r="AC1083" s="68"/>
      <c r="AD1083" s="68"/>
      <c r="AE1083" s="68"/>
    </row>
    <row r="1084" ht="26.25" customHeight="1">
      <c r="A1084" s="68"/>
      <c r="B1084" s="68"/>
      <c r="C1084" s="61" t="s">
        <v>129</v>
      </c>
      <c r="D1084" s="61" t="s">
        <v>130</v>
      </c>
      <c r="E1084" s="68"/>
      <c r="F1084" s="68"/>
      <c r="G1084" s="68"/>
      <c r="H1084" s="68"/>
      <c r="I1084" s="68"/>
      <c r="J1084" s="78"/>
      <c r="K1084" s="68"/>
      <c r="L1084" s="68"/>
      <c r="M1084" s="68"/>
      <c r="N1084" s="68"/>
      <c r="O1084" s="68"/>
      <c r="P1084" s="68"/>
      <c r="Q1084" s="68"/>
      <c r="R1084" s="68"/>
      <c r="S1084" s="68"/>
      <c r="T1084" s="68"/>
      <c r="U1084" s="68"/>
      <c r="V1084" s="68"/>
      <c r="W1084" s="68"/>
      <c r="X1084" s="68"/>
      <c r="Y1084" s="68"/>
      <c r="Z1084" s="68"/>
      <c r="AA1084" s="68"/>
      <c r="AB1084" s="68"/>
      <c r="AC1084" s="68"/>
      <c r="AD1084" s="68"/>
      <c r="AE1084" s="68"/>
    </row>
    <row r="1085" ht="26.25" customHeight="1">
      <c r="A1085" s="68"/>
      <c r="B1085" s="68"/>
      <c r="C1085" s="61" t="s">
        <v>129</v>
      </c>
      <c r="D1085" s="61" t="s">
        <v>130</v>
      </c>
      <c r="E1085" s="68"/>
      <c r="F1085" s="68"/>
      <c r="G1085" s="68"/>
      <c r="H1085" s="68"/>
      <c r="I1085" s="68"/>
      <c r="J1085" s="78"/>
      <c r="K1085" s="68"/>
      <c r="L1085" s="68"/>
      <c r="M1085" s="68"/>
      <c r="N1085" s="68"/>
      <c r="O1085" s="68"/>
      <c r="P1085" s="68"/>
      <c r="Q1085" s="68"/>
      <c r="R1085" s="68"/>
      <c r="S1085" s="68"/>
      <c r="T1085" s="68"/>
      <c r="U1085" s="68"/>
      <c r="V1085" s="68"/>
      <c r="W1085" s="68"/>
      <c r="X1085" s="68"/>
      <c r="Y1085" s="68"/>
      <c r="Z1085" s="68"/>
      <c r="AA1085" s="68"/>
      <c r="AB1085" s="68"/>
      <c r="AC1085" s="68"/>
      <c r="AD1085" s="68"/>
      <c r="AE1085" s="68"/>
    </row>
    <row r="1086" ht="26.25" customHeight="1">
      <c r="A1086" s="68"/>
      <c r="B1086" s="68"/>
      <c r="C1086" s="61" t="s">
        <v>129</v>
      </c>
      <c r="D1086" s="61" t="s">
        <v>130</v>
      </c>
      <c r="E1086" s="68"/>
      <c r="F1086" s="68"/>
      <c r="G1086" s="68"/>
      <c r="H1086" s="68"/>
      <c r="I1086" s="68"/>
      <c r="J1086" s="78"/>
      <c r="K1086" s="68"/>
      <c r="L1086" s="68"/>
      <c r="M1086" s="68"/>
      <c r="N1086" s="68"/>
      <c r="O1086" s="68"/>
      <c r="P1086" s="68"/>
      <c r="Q1086" s="68"/>
      <c r="R1086" s="68"/>
      <c r="S1086" s="68"/>
      <c r="T1086" s="68"/>
      <c r="U1086" s="68"/>
      <c r="V1086" s="68"/>
      <c r="W1086" s="68"/>
      <c r="X1086" s="68"/>
      <c r="Y1086" s="68"/>
      <c r="Z1086" s="68"/>
      <c r="AA1086" s="68"/>
      <c r="AB1086" s="68"/>
      <c r="AC1086" s="68"/>
      <c r="AD1086" s="68"/>
      <c r="AE1086" s="68"/>
    </row>
    <row r="1087" ht="26.25" customHeight="1">
      <c r="A1087" s="68"/>
      <c r="B1087" s="68"/>
      <c r="C1087" s="61" t="s">
        <v>129</v>
      </c>
      <c r="D1087" s="61" t="s">
        <v>130</v>
      </c>
      <c r="E1087" s="68"/>
      <c r="F1087" s="68"/>
      <c r="G1087" s="68"/>
      <c r="H1087" s="68"/>
      <c r="I1087" s="68"/>
      <c r="J1087" s="78"/>
      <c r="K1087" s="68"/>
      <c r="L1087" s="68"/>
      <c r="M1087" s="68"/>
      <c r="N1087" s="68"/>
      <c r="O1087" s="68"/>
      <c r="P1087" s="68"/>
      <c r="Q1087" s="68"/>
      <c r="R1087" s="68"/>
      <c r="S1087" s="68"/>
      <c r="T1087" s="68"/>
      <c r="U1087" s="68"/>
      <c r="V1087" s="68"/>
      <c r="W1087" s="68"/>
      <c r="X1087" s="68"/>
      <c r="Y1087" s="68"/>
      <c r="Z1087" s="68"/>
      <c r="AA1087" s="68"/>
      <c r="AB1087" s="68"/>
      <c r="AC1087" s="68"/>
      <c r="AD1087" s="68"/>
      <c r="AE1087" s="68"/>
    </row>
    <row r="1088" ht="26.25" customHeight="1">
      <c r="A1088" s="68"/>
      <c r="B1088" s="68"/>
      <c r="C1088" s="61" t="s">
        <v>129</v>
      </c>
      <c r="D1088" s="61" t="s">
        <v>130</v>
      </c>
      <c r="E1088" s="68"/>
      <c r="F1088" s="68"/>
      <c r="G1088" s="68"/>
      <c r="H1088" s="68"/>
      <c r="I1088" s="68"/>
      <c r="J1088" s="78"/>
      <c r="K1088" s="68"/>
      <c r="L1088" s="68"/>
      <c r="M1088" s="68"/>
      <c r="N1088" s="68"/>
      <c r="O1088" s="68"/>
      <c r="P1088" s="68"/>
      <c r="Q1088" s="68"/>
      <c r="R1088" s="68"/>
      <c r="S1088" s="68"/>
      <c r="T1088" s="68"/>
      <c r="U1088" s="68"/>
      <c r="V1088" s="68"/>
      <c r="W1088" s="68"/>
      <c r="X1088" s="68"/>
      <c r="Y1088" s="68"/>
      <c r="Z1088" s="68"/>
      <c r="AA1088" s="68"/>
      <c r="AB1088" s="68"/>
      <c r="AC1088" s="68"/>
      <c r="AD1088" s="68"/>
      <c r="AE1088" s="68"/>
    </row>
    <row r="1089" ht="26.25" customHeight="1">
      <c r="A1089" s="68"/>
      <c r="B1089" s="68"/>
      <c r="C1089" s="61" t="s">
        <v>129</v>
      </c>
      <c r="D1089" s="61" t="s">
        <v>130</v>
      </c>
      <c r="E1089" s="68"/>
      <c r="F1089" s="68"/>
      <c r="G1089" s="68"/>
      <c r="H1089" s="68"/>
      <c r="I1089" s="68"/>
      <c r="J1089" s="78"/>
      <c r="K1089" s="68"/>
      <c r="L1089" s="68"/>
      <c r="M1089" s="68"/>
      <c r="N1089" s="68"/>
      <c r="O1089" s="68"/>
      <c r="P1089" s="68"/>
      <c r="Q1089" s="68"/>
      <c r="R1089" s="68"/>
      <c r="S1089" s="68"/>
      <c r="T1089" s="68"/>
      <c r="U1089" s="68"/>
      <c r="V1089" s="68"/>
      <c r="W1089" s="68"/>
      <c r="X1089" s="68"/>
      <c r="Y1089" s="68"/>
      <c r="Z1089" s="68"/>
      <c r="AA1089" s="68"/>
      <c r="AB1089" s="68"/>
      <c r="AC1089" s="68"/>
      <c r="AD1089" s="68"/>
      <c r="AE1089" s="68"/>
    </row>
    <row r="1090" ht="26.25" customHeight="1">
      <c r="A1090" s="68"/>
      <c r="B1090" s="68"/>
      <c r="C1090" s="61" t="s">
        <v>129</v>
      </c>
      <c r="D1090" s="61" t="s">
        <v>130</v>
      </c>
      <c r="E1090" s="68"/>
      <c r="F1090" s="68"/>
      <c r="G1090" s="68"/>
      <c r="H1090" s="68"/>
      <c r="I1090" s="68"/>
      <c r="J1090" s="78"/>
      <c r="K1090" s="68"/>
      <c r="L1090" s="68"/>
      <c r="M1090" s="68"/>
      <c r="N1090" s="68"/>
      <c r="O1090" s="68"/>
      <c r="P1090" s="68"/>
      <c r="Q1090" s="68"/>
      <c r="R1090" s="68"/>
      <c r="S1090" s="68"/>
      <c r="T1090" s="68"/>
      <c r="U1090" s="68"/>
      <c r="V1090" s="68"/>
      <c r="W1090" s="68"/>
      <c r="X1090" s="68"/>
      <c r="Y1090" s="68"/>
      <c r="Z1090" s="68"/>
      <c r="AA1090" s="68"/>
      <c r="AB1090" s="68"/>
      <c r="AC1090" s="68"/>
      <c r="AD1090" s="68"/>
      <c r="AE1090" s="68"/>
    </row>
    <row r="1091" ht="26.25" customHeight="1">
      <c r="A1091" s="68"/>
      <c r="B1091" s="68"/>
      <c r="C1091" s="61" t="s">
        <v>129</v>
      </c>
      <c r="D1091" s="61" t="s">
        <v>130</v>
      </c>
      <c r="E1091" s="68"/>
      <c r="F1091" s="68"/>
      <c r="G1091" s="68"/>
      <c r="H1091" s="68"/>
      <c r="I1091" s="68"/>
      <c r="J1091" s="78"/>
      <c r="K1091" s="68"/>
      <c r="L1091" s="68"/>
      <c r="M1091" s="68"/>
      <c r="N1091" s="68"/>
      <c r="O1091" s="68"/>
      <c r="P1091" s="68"/>
      <c r="Q1091" s="68"/>
      <c r="R1091" s="68"/>
      <c r="S1091" s="68"/>
      <c r="T1091" s="68"/>
      <c r="U1091" s="68"/>
      <c r="V1091" s="68"/>
      <c r="W1091" s="68"/>
      <c r="X1091" s="68"/>
      <c r="Y1091" s="68"/>
      <c r="Z1091" s="68"/>
      <c r="AA1091" s="68"/>
      <c r="AB1091" s="68"/>
      <c r="AC1091" s="68"/>
      <c r="AD1091" s="68"/>
      <c r="AE1091" s="68"/>
    </row>
    <row r="1092" ht="26.25" customHeight="1">
      <c r="A1092" s="68"/>
      <c r="B1092" s="68"/>
      <c r="C1092" s="61" t="s">
        <v>129</v>
      </c>
      <c r="D1092" s="61" t="s">
        <v>130</v>
      </c>
      <c r="E1092" s="68"/>
      <c r="F1092" s="68"/>
      <c r="G1092" s="68"/>
      <c r="H1092" s="68"/>
      <c r="I1092" s="68"/>
      <c r="J1092" s="78"/>
      <c r="K1092" s="68"/>
      <c r="L1092" s="68"/>
      <c r="M1092" s="68"/>
      <c r="N1092" s="68"/>
      <c r="O1092" s="68"/>
      <c r="P1092" s="68"/>
      <c r="Q1092" s="68"/>
      <c r="R1092" s="68"/>
      <c r="S1092" s="68"/>
      <c r="T1092" s="68"/>
      <c r="U1092" s="68"/>
      <c r="V1092" s="68"/>
      <c r="W1092" s="68"/>
      <c r="X1092" s="68"/>
      <c r="Y1092" s="68"/>
      <c r="Z1092" s="68"/>
      <c r="AA1092" s="68"/>
      <c r="AB1092" s="68"/>
      <c r="AC1092" s="68"/>
      <c r="AD1092" s="68"/>
      <c r="AE1092" s="68"/>
    </row>
    <row r="1093" ht="26.25" customHeight="1">
      <c r="A1093" s="68"/>
      <c r="B1093" s="68"/>
      <c r="C1093" s="61" t="s">
        <v>129</v>
      </c>
      <c r="D1093" s="61" t="s">
        <v>130</v>
      </c>
      <c r="E1093" s="68"/>
      <c r="F1093" s="68"/>
      <c r="G1093" s="68"/>
      <c r="H1093" s="68"/>
      <c r="I1093" s="68"/>
      <c r="J1093" s="78"/>
      <c r="K1093" s="68"/>
      <c r="L1093" s="68"/>
      <c r="M1093" s="68"/>
      <c r="N1093" s="68"/>
      <c r="O1093" s="68"/>
      <c r="P1093" s="68"/>
      <c r="Q1093" s="68"/>
      <c r="R1093" s="68"/>
      <c r="S1093" s="68"/>
      <c r="T1093" s="68"/>
      <c r="U1093" s="68"/>
      <c r="V1093" s="68"/>
      <c r="W1093" s="68"/>
      <c r="X1093" s="68"/>
      <c r="Y1093" s="68"/>
      <c r="Z1093" s="68"/>
      <c r="AA1093" s="68"/>
      <c r="AB1093" s="68"/>
      <c r="AC1093" s="68"/>
      <c r="AD1093" s="68"/>
      <c r="AE1093" s="68"/>
    </row>
    <row r="1094" ht="26.25" customHeight="1">
      <c r="A1094" s="68"/>
      <c r="B1094" s="68"/>
      <c r="C1094" s="61" t="s">
        <v>129</v>
      </c>
      <c r="D1094" s="61" t="s">
        <v>130</v>
      </c>
      <c r="E1094" s="68"/>
      <c r="F1094" s="68"/>
      <c r="G1094" s="68"/>
      <c r="H1094" s="68"/>
      <c r="I1094" s="68"/>
      <c r="J1094" s="78"/>
      <c r="K1094" s="68"/>
      <c r="L1094" s="68"/>
      <c r="M1094" s="68"/>
      <c r="N1094" s="68"/>
      <c r="O1094" s="68"/>
      <c r="P1094" s="68"/>
      <c r="Q1094" s="68"/>
      <c r="R1094" s="68"/>
      <c r="S1094" s="68"/>
      <c r="T1094" s="68"/>
      <c r="U1094" s="68"/>
      <c r="V1094" s="68"/>
      <c r="W1094" s="68"/>
      <c r="X1094" s="68"/>
      <c r="Y1094" s="68"/>
      <c r="Z1094" s="68"/>
      <c r="AA1094" s="68"/>
      <c r="AB1094" s="68"/>
      <c r="AC1094" s="68"/>
      <c r="AD1094" s="68"/>
      <c r="AE1094" s="68"/>
    </row>
    <row r="1095" ht="26.25" customHeight="1">
      <c r="A1095" s="68"/>
      <c r="B1095" s="68"/>
      <c r="C1095" s="61" t="s">
        <v>129</v>
      </c>
      <c r="D1095" s="61" t="s">
        <v>130</v>
      </c>
      <c r="E1095" s="68"/>
      <c r="F1095" s="68"/>
      <c r="G1095" s="68"/>
      <c r="H1095" s="68"/>
      <c r="I1095" s="68"/>
      <c r="J1095" s="78"/>
      <c r="K1095" s="68"/>
      <c r="L1095" s="68"/>
      <c r="M1095" s="68"/>
      <c r="N1095" s="68"/>
      <c r="O1095" s="68"/>
      <c r="P1095" s="68"/>
      <c r="Q1095" s="68"/>
      <c r="R1095" s="68"/>
      <c r="S1095" s="68"/>
      <c r="T1095" s="68"/>
      <c r="U1095" s="68"/>
      <c r="V1095" s="68"/>
      <c r="W1095" s="68"/>
      <c r="X1095" s="68"/>
      <c r="Y1095" s="68"/>
      <c r="Z1095" s="68"/>
      <c r="AA1095" s="68"/>
      <c r="AB1095" s="68"/>
      <c r="AC1095" s="68"/>
      <c r="AD1095" s="68"/>
      <c r="AE1095" s="68"/>
    </row>
    <row r="1096" ht="26.25" customHeight="1">
      <c r="A1096" s="68"/>
      <c r="B1096" s="68"/>
      <c r="C1096" s="61" t="s">
        <v>129</v>
      </c>
      <c r="D1096" s="61" t="s">
        <v>130</v>
      </c>
      <c r="E1096" s="68"/>
      <c r="F1096" s="68"/>
      <c r="G1096" s="68"/>
      <c r="H1096" s="68"/>
      <c r="I1096" s="68"/>
      <c r="J1096" s="78"/>
      <c r="K1096" s="68"/>
      <c r="L1096" s="68"/>
      <c r="M1096" s="68"/>
      <c r="N1096" s="68"/>
      <c r="O1096" s="68"/>
      <c r="P1096" s="68"/>
      <c r="Q1096" s="68"/>
      <c r="R1096" s="68"/>
      <c r="S1096" s="68"/>
      <c r="T1096" s="68"/>
      <c r="U1096" s="68"/>
      <c r="V1096" s="68"/>
      <c r="W1096" s="68"/>
      <c r="X1096" s="68"/>
      <c r="Y1096" s="68"/>
      <c r="Z1096" s="68"/>
      <c r="AA1096" s="68"/>
      <c r="AB1096" s="68"/>
      <c r="AC1096" s="68"/>
      <c r="AD1096" s="68"/>
      <c r="AE1096" s="68"/>
    </row>
    <row r="1097" ht="26.25" customHeight="1">
      <c r="A1097" s="68"/>
      <c r="B1097" s="68"/>
      <c r="C1097" s="61" t="s">
        <v>129</v>
      </c>
      <c r="D1097" s="61" t="s">
        <v>130</v>
      </c>
      <c r="E1097" s="68"/>
      <c r="F1097" s="68"/>
      <c r="G1097" s="68"/>
      <c r="H1097" s="68"/>
      <c r="I1097" s="68"/>
      <c r="J1097" s="78"/>
      <c r="K1097" s="68"/>
      <c r="L1097" s="68"/>
      <c r="M1097" s="68"/>
      <c r="N1097" s="68"/>
      <c r="O1097" s="68"/>
      <c r="P1097" s="68"/>
      <c r="Q1097" s="68"/>
      <c r="R1097" s="68"/>
      <c r="S1097" s="68"/>
      <c r="T1097" s="68"/>
      <c r="U1097" s="68"/>
      <c r="V1097" s="68"/>
      <c r="W1097" s="68"/>
      <c r="X1097" s="68"/>
      <c r="Y1097" s="68"/>
      <c r="Z1097" s="68"/>
      <c r="AA1097" s="68"/>
      <c r="AB1097" s="68"/>
      <c r="AC1097" s="68"/>
      <c r="AD1097" s="68"/>
      <c r="AE1097" s="68"/>
    </row>
    <row r="1098" ht="26.25" customHeight="1">
      <c r="A1098" s="68"/>
      <c r="B1098" s="68"/>
      <c r="C1098" s="61" t="s">
        <v>129</v>
      </c>
      <c r="D1098" s="61" t="s">
        <v>130</v>
      </c>
      <c r="E1098" s="68"/>
      <c r="F1098" s="68"/>
      <c r="G1098" s="68"/>
      <c r="H1098" s="68"/>
      <c r="I1098" s="68"/>
      <c r="J1098" s="78"/>
      <c r="K1098" s="68"/>
      <c r="L1098" s="68"/>
      <c r="M1098" s="68"/>
      <c r="N1098" s="68"/>
      <c r="O1098" s="68"/>
      <c r="P1098" s="68"/>
      <c r="Q1098" s="68"/>
      <c r="R1098" s="68"/>
      <c r="S1098" s="68"/>
      <c r="T1098" s="68"/>
      <c r="U1098" s="68"/>
      <c r="V1098" s="68"/>
      <c r="W1098" s="68"/>
      <c r="X1098" s="68"/>
      <c r="Y1098" s="68"/>
      <c r="Z1098" s="68"/>
      <c r="AA1098" s="68"/>
      <c r="AB1098" s="68"/>
      <c r="AC1098" s="68"/>
      <c r="AD1098" s="68"/>
      <c r="AE1098" s="68"/>
    </row>
    <row r="1099" ht="26.25" customHeight="1">
      <c r="A1099" s="68"/>
      <c r="B1099" s="68"/>
      <c r="C1099" s="61" t="s">
        <v>129</v>
      </c>
      <c r="D1099" s="61" t="s">
        <v>130</v>
      </c>
      <c r="E1099" s="68"/>
      <c r="F1099" s="68"/>
      <c r="G1099" s="68"/>
      <c r="H1099" s="68"/>
      <c r="I1099" s="68"/>
      <c r="J1099" s="78"/>
      <c r="K1099" s="68"/>
      <c r="L1099" s="68"/>
      <c r="M1099" s="68"/>
      <c r="N1099" s="68"/>
      <c r="O1099" s="68"/>
      <c r="P1099" s="68"/>
      <c r="Q1099" s="68"/>
      <c r="R1099" s="68"/>
      <c r="S1099" s="68"/>
      <c r="T1099" s="68"/>
      <c r="U1099" s="68"/>
      <c r="V1099" s="68"/>
      <c r="W1099" s="68"/>
      <c r="X1099" s="68"/>
      <c r="Y1099" s="68"/>
      <c r="Z1099" s="68"/>
      <c r="AA1099" s="68"/>
      <c r="AB1099" s="68"/>
      <c r="AC1099" s="68"/>
      <c r="AD1099" s="68"/>
      <c r="AE1099" s="68"/>
    </row>
    <row r="1100" ht="26.25" customHeight="1">
      <c r="A1100" s="68"/>
      <c r="B1100" s="68"/>
      <c r="C1100" s="61" t="s">
        <v>129</v>
      </c>
      <c r="D1100" s="61" t="s">
        <v>130</v>
      </c>
      <c r="E1100" s="68"/>
      <c r="F1100" s="68"/>
      <c r="G1100" s="68"/>
      <c r="H1100" s="68"/>
      <c r="I1100" s="68"/>
      <c r="J1100" s="78"/>
      <c r="K1100" s="68"/>
      <c r="L1100" s="68"/>
      <c r="M1100" s="68"/>
      <c r="N1100" s="68"/>
      <c r="O1100" s="68"/>
      <c r="P1100" s="68"/>
      <c r="Q1100" s="68"/>
      <c r="R1100" s="68"/>
      <c r="S1100" s="68"/>
      <c r="T1100" s="68"/>
      <c r="U1100" s="68"/>
      <c r="V1100" s="68"/>
      <c r="W1100" s="68"/>
      <c r="X1100" s="68"/>
      <c r="Y1100" s="68"/>
      <c r="Z1100" s="68"/>
      <c r="AA1100" s="68"/>
      <c r="AB1100" s="68"/>
      <c r="AC1100" s="68"/>
      <c r="AD1100" s="68"/>
      <c r="AE1100" s="68"/>
    </row>
    <row r="1101" ht="26.25" customHeight="1">
      <c r="A1101" s="68"/>
      <c r="B1101" s="68"/>
      <c r="C1101" s="61" t="s">
        <v>129</v>
      </c>
      <c r="D1101" s="61" t="s">
        <v>130</v>
      </c>
      <c r="E1101" s="68"/>
      <c r="F1101" s="68"/>
      <c r="G1101" s="68"/>
      <c r="H1101" s="68"/>
      <c r="I1101" s="68"/>
      <c r="J1101" s="78"/>
      <c r="K1101" s="68"/>
      <c r="L1101" s="68"/>
      <c r="M1101" s="68"/>
      <c r="N1101" s="68"/>
      <c r="O1101" s="68"/>
      <c r="P1101" s="68"/>
      <c r="Q1101" s="68"/>
      <c r="R1101" s="68"/>
      <c r="S1101" s="68"/>
      <c r="T1101" s="68"/>
      <c r="U1101" s="68"/>
      <c r="V1101" s="68"/>
      <c r="W1101" s="68"/>
      <c r="X1101" s="68"/>
      <c r="Y1101" s="68"/>
      <c r="Z1101" s="68"/>
      <c r="AA1101" s="68"/>
      <c r="AB1101" s="68"/>
      <c r="AC1101" s="68"/>
      <c r="AD1101" s="68"/>
      <c r="AE1101" s="68"/>
    </row>
    <row r="1102" ht="26.25" customHeight="1">
      <c r="A1102" s="68"/>
      <c r="B1102" s="68"/>
      <c r="C1102" s="61" t="s">
        <v>129</v>
      </c>
      <c r="D1102" s="61" t="s">
        <v>130</v>
      </c>
      <c r="E1102" s="68"/>
      <c r="F1102" s="68"/>
      <c r="G1102" s="68"/>
      <c r="H1102" s="68"/>
      <c r="I1102" s="68"/>
      <c r="J1102" s="78"/>
      <c r="K1102" s="68"/>
      <c r="L1102" s="68"/>
      <c r="M1102" s="68"/>
      <c r="N1102" s="68"/>
      <c r="O1102" s="68"/>
      <c r="P1102" s="68"/>
      <c r="Q1102" s="68"/>
      <c r="R1102" s="68"/>
      <c r="S1102" s="68"/>
      <c r="T1102" s="68"/>
      <c r="U1102" s="68"/>
      <c r="V1102" s="68"/>
      <c r="W1102" s="68"/>
      <c r="X1102" s="68"/>
      <c r="Y1102" s="68"/>
      <c r="Z1102" s="68"/>
      <c r="AA1102" s="68"/>
      <c r="AB1102" s="68"/>
      <c r="AC1102" s="68"/>
      <c r="AD1102" s="68"/>
      <c r="AE1102" s="68"/>
    </row>
    <row r="1103" ht="26.25" customHeight="1">
      <c r="A1103" s="68"/>
      <c r="B1103" s="68"/>
      <c r="C1103" s="61" t="s">
        <v>129</v>
      </c>
      <c r="D1103" s="61" t="s">
        <v>130</v>
      </c>
      <c r="E1103" s="68"/>
      <c r="F1103" s="68"/>
      <c r="G1103" s="68"/>
      <c r="H1103" s="68"/>
      <c r="I1103" s="68"/>
      <c r="J1103" s="78"/>
      <c r="K1103" s="68"/>
      <c r="L1103" s="68"/>
      <c r="M1103" s="68"/>
      <c r="N1103" s="68"/>
      <c r="O1103" s="68"/>
      <c r="P1103" s="68"/>
      <c r="Q1103" s="68"/>
      <c r="R1103" s="68"/>
      <c r="S1103" s="68"/>
      <c r="T1103" s="68"/>
      <c r="U1103" s="68"/>
      <c r="V1103" s="68"/>
      <c r="W1103" s="68"/>
      <c r="X1103" s="68"/>
      <c r="Y1103" s="68"/>
      <c r="Z1103" s="68"/>
      <c r="AA1103" s="68"/>
      <c r="AB1103" s="68"/>
      <c r="AC1103" s="68"/>
      <c r="AD1103" s="68"/>
      <c r="AE1103" s="68"/>
    </row>
    <row r="1104" ht="26.25" customHeight="1">
      <c r="A1104" s="68"/>
      <c r="B1104" s="68"/>
      <c r="C1104" s="61" t="s">
        <v>129</v>
      </c>
      <c r="D1104" s="61" t="s">
        <v>130</v>
      </c>
      <c r="E1104" s="68"/>
      <c r="F1104" s="68"/>
      <c r="G1104" s="68"/>
      <c r="H1104" s="68"/>
      <c r="I1104" s="68"/>
      <c r="J1104" s="78"/>
      <c r="K1104" s="68"/>
      <c r="L1104" s="68"/>
      <c r="M1104" s="68"/>
      <c r="N1104" s="68"/>
      <c r="O1104" s="68"/>
      <c r="P1104" s="68"/>
      <c r="Q1104" s="68"/>
      <c r="R1104" s="68"/>
      <c r="S1104" s="68"/>
      <c r="T1104" s="68"/>
      <c r="U1104" s="68"/>
      <c r="V1104" s="68"/>
      <c r="W1104" s="68"/>
      <c r="X1104" s="68"/>
      <c r="Y1104" s="68"/>
      <c r="Z1104" s="68"/>
      <c r="AA1104" s="68"/>
      <c r="AB1104" s="68"/>
      <c r="AC1104" s="68"/>
      <c r="AD1104" s="68"/>
      <c r="AE1104" s="68"/>
    </row>
    <row r="1105" ht="26.25" customHeight="1">
      <c r="A1105" s="68"/>
      <c r="B1105" s="68"/>
      <c r="C1105" s="61" t="s">
        <v>129</v>
      </c>
      <c r="D1105" s="61" t="s">
        <v>130</v>
      </c>
      <c r="E1105" s="68"/>
      <c r="F1105" s="68"/>
      <c r="G1105" s="68"/>
      <c r="H1105" s="68"/>
      <c r="I1105" s="68"/>
      <c r="J1105" s="78"/>
      <c r="K1105" s="68"/>
      <c r="L1105" s="68"/>
      <c r="M1105" s="68"/>
      <c r="N1105" s="68"/>
      <c r="O1105" s="68"/>
      <c r="P1105" s="68"/>
      <c r="Q1105" s="68"/>
      <c r="R1105" s="68"/>
      <c r="S1105" s="68"/>
      <c r="T1105" s="68"/>
      <c r="U1105" s="68"/>
      <c r="V1105" s="68"/>
      <c r="W1105" s="68"/>
      <c r="X1105" s="68"/>
      <c r="Y1105" s="68"/>
      <c r="Z1105" s="68"/>
      <c r="AA1105" s="68"/>
      <c r="AB1105" s="68"/>
      <c r="AC1105" s="68"/>
      <c r="AD1105" s="68"/>
      <c r="AE1105" s="68"/>
    </row>
    <row r="1106" ht="26.25" customHeight="1">
      <c r="A1106" s="68"/>
      <c r="B1106" s="68"/>
      <c r="C1106" s="61" t="s">
        <v>129</v>
      </c>
      <c r="D1106" s="61" t="s">
        <v>130</v>
      </c>
      <c r="E1106" s="68"/>
      <c r="F1106" s="68"/>
      <c r="G1106" s="68"/>
      <c r="H1106" s="68"/>
      <c r="I1106" s="68"/>
      <c r="J1106" s="78"/>
      <c r="K1106" s="68"/>
      <c r="L1106" s="68"/>
      <c r="M1106" s="68"/>
      <c r="N1106" s="68"/>
      <c r="O1106" s="68"/>
      <c r="P1106" s="68"/>
      <c r="Q1106" s="68"/>
      <c r="R1106" s="68"/>
      <c r="S1106" s="68"/>
      <c r="T1106" s="68"/>
      <c r="U1106" s="68"/>
      <c r="V1106" s="68"/>
      <c r="W1106" s="68"/>
      <c r="X1106" s="68"/>
      <c r="Y1106" s="68"/>
      <c r="Z1106" s="68"/>
      <c r="AA1106" s="68"/>
      <c r="AB1106" s="68"/>
      <c r="AC1106" s="68"/>
      <c r="AD1106" s="68"/>
      <c r="AE1106" s="68"/>
    </row>
    <row r="1107" ht="26.25" customHeight="1">
      <c r="A1107" s="68"/>
      <c r="B1107" s="68"/>
      <c r="C1107" s="61" t="s">
        <v>129</v>
      </c>
      <c r="D1107" s="61" t="s">
        <v>130</v>
      </c>
      <c r="E1107" s="68"/>
      <c r="F1107" s="68"/>
      <c r="G1107" s="68"/>
      <c r="H1107" s="68"/>
      <c r="I1107" s="68"/>
      <c r="J1107" s="78"/>
      <c r="K1107" s="68"/>
      <c r="L1107" s="68"/>
      <c r="M1107" s="68"/>
      <c r="N1107" s="68"/>
      <c r="O1107" s="68"/>
      <c r="P1107" s="68"/>
      <c r="Q1107" s="68"/>
      <c r="R1107" s="68"/>
      <c r="S1107" s="68"/>
      <c r="T1107" s="68"/>
      <c r="U1107" s="68"/>
      <c r="V1107" s="68"/>
      <c r="W1107" s="68"/>
      <c r="X1107" s="68"/>
      <c r="Y1107" s="68"/>
      <c r="Z1107" s="68"/>
      <c r="AA1107" s="68"/>
      <c r="AB1107" s="68"/>
      <c r="AC1107" s="68"/>
      <c r="AD1107" s="68"/>
      <c r="AE1107" s="68"/>
    </row>
    <row r="1108" ht="26.25" customHeight="1">
      <c r="A1108" s="68"/>
      <c r="B1108" s="68"/>
      <c r="C1108" s="61" t="s">
        <v>129</v>
      </c>
      <c r="D1108" s="61" t="s">
        <v>130</v>
      </c>
      <c r="E1108" s="68"/>
      <c r="F1108" s="68"/>
      <c r="G1108" s="68"/>
      <c r="H1108" s="68"/>
      <c r="I1108" s="68"/>
      <c r="J1108" s="78"/>
      <c r="K1108" s="68"/>
      <c r="L1108" s="68"/>
      <c r="M1108" s="68"/>
      <c r="N1108" s="68"/>
      <c r="O1108" s="68"/>
      <c r="P1108" s="68"/>
      <c r="Q1108" s="68"/>
      <c r="R1108" s="68"/>
      <c r="S1108" s="68"/>
      <c r="T1108" s="68"/>
      <c r="U1108" s="68"/>
      <c r="V1108" s="68"/>
      <c r="W1108" s="68"/>
      <c r="X1108" s="68"/>
      <c r="Y1108" s="68"/>
      <c r="Z1108" s="68"/>
      <c r="AA1108" s="68"/>
      <c r="AB1108" s="68"/>
      <c r="AC1108" s="68"/>
      <c r="AD1108" s="68"/>
      <c r="AE1108" s="68"/>
    </row>
    <row r="1109" ht="26.25" customHeight="1">
      <c r="A1109" s="68"/>
      <c r="B1109" s="68"/>
      <c r="C1109" s="61" t="s">
        <v>129</v>
      </c>
      <c r="D1109" s="61" t="s">
        <v>130</v>
      </c>
      <c r="E1109" s="68"/>
      <c r="F1109" s="68"/>
      <c r="G1109" s="68"/>
      <c r="H1109" s="68"/>
      <c r="I1109" s="68"/>
      <c r="J1109" s="78"/>
      <c r="K1109" s="68"/>
      <c r="L1109" s="68"/>
      <c r="M1109" s="68"/>
      <c r="N1109" s="68"/>
      <c r="O1109" s="68"/>
      <c r="P1109" s="68"/>
      <c r="Q1109" s="68"/>
      <c r="R1109" s="68"/>
      <c r="S1109" s="68"/>
      <c r="T1109" s="68"/>
      <c r="U1109" s="68"/>
      <c r="V1109" s="68"/>
      <c r="W1109" s="68"/>
      <c r="X1109" s="68"/>
      <c r="Y1109" s="68"/>
      <c r="Z1109" s="68"/>
      <c r="AA1109" s="68"/>
      <c r="AB1109" s="68"/>
      <c r="AC1109" s="68"/>
      <c r="AD1109" s="68"/>
      <c r="AE1109" s="68"/>
    </row>
    <row r="1110" ht="26.25" customHeight="1">
      <c r="A1110" s="68"/>
      <c r="B1110" s="68"/>
      <c r="C1110" s="61" t="s">
        <v>129</v>
      </c>
      <c r="D1110" s="61" t="s">
        <v>130</v>
      </c>
      <c r="E1110" s="68"/>
      <c r="F1110" s="68"/>
      <c r="G1110" s="68"/>
      <c r="H1110" s="68"/>
      <c r="I1110" s="68"/>
      <c r="J1110" s="78"/>
      <c r="K1110" s="68"/>
      <c r="L1110" s="68"/>
      <c r="M1110" s="68"/>
      <c r="N1110" s="68"/>
      <c r="O1110" s="68"/>
      <c r="P1110" s="68"/>
      <c r="Q1110" s="68"/>
      <c r="R1110" s="68"/>
      <c r="S1110" s="68"/>
      <c r="T1110" s="68"/>
      <c r="U1110" s="68"/>
      <c r="V1110" s="68"/>
      <c r="W1110" s="68"/>
      <c r="X1110" s="68"/>
      <c r="Y1110" s="68"/>
      <c r="Z1110" s="68"/>
      <c r="AA1110" s="68"/>
      <c r="AB1110" s="68"/>
      <c r="AC1110" s="68"/>
      <c r="AD1110" s="68"/>
      <c r="AE1110" s="68"/>
    </row>
    <row r="1111" ht="26.25" customHeight="1">
      <c r="A1111" s="68"/>
      <c r="B1111" s="68"/>
      <c r="C1111" s="61" t="s">
        <v>129</v>
      </c>
      <c r="D1111" s="61" t="s">
        <v>130</v>
      </c>
      <c r="E1111" s="68"/>
      <c r="F1111" s="68"/>
      <c r="G1111" s="68"/>
      <c r="H1111" s="68"/>
      <c r="I1111" s="68"/>
      <c r="J1111" s="78"/>
      <c r="K1111" s="68"/>
      <c r="L1111" s="68"/>
      <c r="M1111" s="68"/>
      <c r="N1111" s="68"/>
      <c r="O1111" s="68"/>
      <c r="P1111" s="68"/>
      <c r="Q1111" s="68"/>
      <c r="R1111" s="68"/>
      <c r="S1111" s="68"/>
      <c r="T1111" s="68"/>
      <c r="U1111" s="68"/>
      <c r="V1111" s="68"/>
      <c r="W1111" s="68"/>
      <c r="X1111" s="68"/>
      <c r="Y1111" s="68"/>
      <c r="Z1111" s="68"/>
      <c r="AA1111" s="68"/>
      <c r="AB1111" s="68"/>
      <c r="AC1111" s="68"/>
      <c r="AD1111" s="68"/>
      <c r="AE1111" s="68"/>
    </row>
    <row r="1112" ht="26.25" customHeight="1">
      <c r="A1112" s="68"/>
      <c r="B1112" s="68"/>
      <c r="C1112" s="61" t="s">
        <v>129</v>
      </c>
      <c r="D1112" s="61" t="s">
        <v>130</v>
      </c>
      <c r="E1112" s="68"/>
      <c r="F1112" s="68"/>
      <c r="G1112" s="68"/>
      <c r="H1112" s="68"/>
      <c r="I1112" s="68"/>
      <c r="J1112" s="78"/>
      <c r="K1112" s="68"/>
      <c r="L1112" s="68"/>
      <c r="M1112" s="68"/>
      <c r="N1112" s="68"/>
      <c r="O1112" s="68"/>
      <c r="P1112" s="68"/>
      <c r="Q1112" s="68"/>
      <c r="R1112" s="68"/>
      <c r="S1112" s="68"/>
      <c r="T1112" s="68"/>
      <c r="U1112" s="68"/>
      <c r="V1112" s="68"/>
      <c r="W1112" s="68"/>
      <c r="X1112" s="68"/>
      <c r="Y1112" s="68"/>
      <c r="Z1112" s="68"/>
      <c r="AA1112" s="68"/>
      <c r="AB1112" s="68"/>
      <c r="AC1112" s="68"/>
      <c r="AD1112" s="68"/>
      <c r="AE1112" s="68"/>
    </row>
    <row r="1113" ht="26.25" customHeight="1">
      <c r="A1113" s="68"/>
      <c r="B1113" s="68"/>
      <c r="C1113" s="61" t="s">
        <v>129</v>
      </c>
      <c r="D1113" s="61" t="s">
        <v>130</v>
      </c>
      <c r="E1113" s="68"/>
      <c r="F1113" s="68"/>
      <c r="G1113" s="68"/>
      <c r="H1113" s="68"/>
      <c r="I1113" s="68"/>
      <c r="J1113" s="78"/>
      <c r="K1113" s="68"/>
      <c r="L1113" s="68"/>
      <c r="M1113" s="68"/>
      <c r="N1113" s="68"/>
      <c r="O1113" s="68"/>
      <c r="P1113" s="68"/>
      <c r="Q1113" s="68"/>
      <c r="R1113" s="68"/>
      <c r="S1113" s="68"/>
      <c r="T1113" s="68"/>
      <c r="U1113" s="68"/>
      <c r="V1113" s="68"/>
      <c r="W1113" s="68"/>
      <c r="X1113" s="68"/>
      <c r="Y1113" s="68"/>
      <c r="Z1113" s="68"/>
      <c r="AA1113" s="68"/>
      <c r="AB1113" s="68"/>
      <c r="AC1113" s="68"/>
      <c r="AD1113" s="68"/>
      <c r="AE1113" s="68"/>
    </row>
    <row r="1114" ht="26.25" customHeight="1">
      <c r="A1114" s="68"/>
      <c r="B1114" s="68"/>
      <c r="C1114" s="61" t="s">
        <v>129</v>
      </c>
      <c r="D1114" s="61" t="s">
        <v>130</v>
      </c>
      <c r="E1114" s="68"/>
      <c r="F1114" s="68"/>
      <c r="G1114" s="68"/>
      <c r="H1114" s="68"/>
      <c r="I1114" s="68"/>
      <c r="J1114" s="78"/>
      <c r="K1114" s="68"/>
      <c r="L1114" s="68"/>
      <c r="M1114" s="68"/>
      <c r="N1114" s="68"/>
      <c r="O1114" s="68"/>
      <c r="P1114" s="68"/>
      <c r="Q1114" s="68"/>
      <c r="R1114" s="68"/>
      <c r="S1114" s="68"/>
      <c r="T1114" s="68"/>
      <c r="U1114" s="68"/>
      <c r="V1114" s="68"/>
      <c r="W1114" s="68"/>
      <c r="X1114" s="68"/>
      <c r="Y1114" s="68"/>
      <c r="Z1114" s="68"/>
      <c r="AA1114" s="68"/>
      <c r="AB1114" s="68"/>
      <c r="AC1114" s="68"/>
      <c r="AD1114" s="68"/>
      <c r="AE1114" s="68"/>
    </row>
    <row r="1115" ht="26.25" customHeight="1">
      <c r="A1115" s="68"/>
      <c r="B1115" s="68"/>
      <c r="C1115" s="61" t="s">
        <v>129</v>
      </c>
      <c r="D1115" s="61" t="s">
        <v>130</v>
      </c>
      <c r="E1115" s="68"/>
      <c r="F1115" s="68"/>
      <c r="G1115" s="68"/>
      <c r="H1115" s="68"/>
      <c r="I1115" s="68"/>
      <c r="J1115" s="78"/>
      <c r="K1115" s="68"/>
      <c r="L1115" s="68"/>
      <c r="M1115" s="68"/>
      <c r="N1115" s="68"/>
      <c r="O1115" s="68"/>
      <c r="P1115" s="68"/>
      <c r="Q1115" s="68"/>
      <c r="R1115" s="68"/>
      <c r="S1115" s="68"/>
      <c r="T1115" s="68"/>
      <c r="U1115" s="68"/>
      <c r="V1115" s="68"/>
      <c r="W1115" s="68"/>
      <c r="X1115" s="68"/>
      <c r="Y1115" s="68"/>
      <c r="Z1115" s="68"/>
      <c r="AA1115" s="68"/>
      <c r="AB1115" s="68"/>
      <c r="AC1115" s="68"/>
      <c r="AD1115" s="68"/>
      <c r="AE1115" s="68"/>
    </row>
    <row r="1116" ht="26.25" customHeight="1">
      <c r="A1116" s="68"/>
      <c r="B1116" s="68"/>
      <c r="C1116" s="61" t="s">
        <v>129</v>
      </c>
      <c r="D1116" s="61" t="s">
        <v>130</v>
      </c>
      <c r="E1116" s="68"/>
      <c r="F1116" s="68"/>
      <c r="G1116" s="68"/>
      <c r="H1116" s="68"/>
      <c r="I1116" s="68"/>
      <c r="J1116" s="78"/>
      <c r="K1116" s="68"/>
      <c r="L1116" s="68"/>
      <c r="M1116" s="68"/>
      <c r="N1116" s="68"/>
      <c r="O1116" s="68"/>
      <c r="P1116" s="68"/>
      <c r="Q1116" s="68"/>
      <c r="R1116" s="68"/>
      <c r="S1116" s="68"/>
      <c r="T1116" s="68"/>
      <c r="U1116" s="68"/>
      <c r="V1116" s="68"/>
      <c r="W1116" s="68"/>
      <c r="X1116" s="68"/>
      <c r="Y1116" s="68"/>
      <c r="Z1116" s="68"/>
      <c r="AA1116" s="68"/>
      <c r="AB1116" s="68"/>
      <c r="AC1116" s="68"/>
      <c r="AD1116" s="68"/>
      <c r="AE1116" s="68"/>
    </row>
    <row r="1117" ht="26.25" customHeight="1">
      <c r="A1117" s="68"/>
      <c r="B1117" s="68"/>
      <c r="C1117" s="61" t="s">
        <v>129</v>
      </c>
      <c r="D1117" s="61" t="s">
        <v>130</v>
      </c>
      <c r="E1117" s="68"/>
      <c r="F1117" s="68"/>
      <c r="G1117" s="68"/>
      <c r="H1117" s="68"/>
      <c r="I1117" s="68"/>
      <c r="J1117" s="78"/>
      <c r="K1117" s="68"/>
      <c r="L1117" s="68"/>
      <c r="M1117" s="68"/>
      <c r="N1117" s="68"/>
      <c r="O1117" s="68"/>
      <c r="P1117" s="68"/>
      <c r="Q1117" s="68"/>
      <c r="R1117" s="68"/>
      <c r="S1117" s="68"/>
      <c r="T1117" s="68"/>
      <c r="U1117" s="68"/>
      <c r="V1117" s="68"/>
      <c r="W1117" s="68"/>
      <c r="X1117" s="68"/>
      <c r="Y1117" s="68"/>
      <c r="Z1117" s="68"/>
      <c r="AA1117" s="68"/>
      <c r="AB1117" s="68"/>
      <c r="AC1117" s="68"/>
      <c r="AD1117" s="68"/>
      <c r="AE1117" s="68"/>
    </row>
    <row r="1118" ht="26.25" customHeight="1">
      <c r="A1118" s="68"/>
      <c r="B1118" s="68"/>
      <c r="C1118" s="61" t="s">
        <v>129</v>
      </c>
      <c r="D1118" s="61" t="s">
        <v>130</v>
      </c>
      <c r="E1118" s="68"/>
      <c r="F1118" s="68"/>
      <c r="G1118" s="68"/>
      <c r="H1118" s="68"/>
      <c r="I1118" s="68"/>
      <c r="J1118" s="78"/>
      <c r="K1118" s="68"/>
      <c r="L1118" s="68"/>
      <c r="M1118" s="68"/>
      <c r="N1118" s="68"/>
      <c r="O1118" s="68"/>
      <c r="P1118" s="68"/>
      <c r="Q1118" s="68"/>
      <c r="R1118" s="68"/>
      <c r="S1118" s="68"/>
      <c r="T1118" s="68"/>
      <c r="U1118" s="68"/>
      <c r="V1118" s="68"/>
      <c r="W1118" s="68"/>
      <c r="X1118" s="68"/>
      <c r="Y1118" s="68"/>
      <c r="Z1118" s="68"/>
      <c r="AA1118" s="68"/>
      <c r="AB1118" s="68"/>
      <c r="AC1118" s="68"/>
      <c r="AD1118" s="68"/>
      <c r="AE1118" s="68"/>
    </row>
    <row r="1119" ht="26.25" customHeight="1">
      <c r="A1119" s="68"/>
      <c r="B1119" s="68"/>
      <c r="C1119" s="61" t="s">
        <v>129</v>
      </c>
      <c r="D1119" s="61" t="s">
        <v>130</v>
      </c>
      <c r="E1119" s="68"/>
      <c r="F1119" s="68"/>
      <c r="G1119" s="68"/>
      <c r="H1119" s="68"/>
      <c r="I1119" s="68"/>
      <c r="J1119" s="78"/>
      <c r="K1119" s="68"/>
      <c r="L1119" s="68"/>
      <c r="M1119" s="68"/>
      <c r="N1119" s="68"/>
      <c r="O1119" s="68"/>
      <c r="P1119" s="68"/>
      <c r="Q1119" s="68"/>
      <c r="R1119" s="68"/>
      <c r="S1119" s="68"/>
      <c r="T1119" s="68"/>
      <c r="U1119" s="68"/>
      <c r="V1119" s="68"/>
      <c r="W1119" s="68"/>
      <c r="X1119" s="68"/>
      <c r="Y1119" s="68"/>
      <c r="Z1119" s="68"/>
      <c r="AA1119" s="68"/>
      <c r="AB1119" s="68"/>
      <c r="AC1119" s="68"/>
      <c r="AD1119" s="68"/>
      <c r="AE1119" s="68"/>
    </row>
    <row r="1120" ht="26.25" customHeight="1">
      <c r="A1120" s="68"/>
      <c r="B1120" s="68"/>
      <c r="C1120" s="61" t="s">
        <v>129</v>
      </c>
      <c r="D1120" s="61" t="s">
        <v>130</v>
      </c>
      <c r="E1120" s="68"/>
      <c r="F1120" s="68"/>
      <c r="G1120" s="68"/>
      <c r="H1120" s="68"/>
      <c r="I1120" s="68"/>
      <c r="J1120" s="78"/>
      <c r="K1120" s="68"/>
      <c r="L1120" s="68"/>
      <c r="M1120" s="68"/>
      <c r="N1120" s="68"/>
      <c r="O1120" s="68"/>
      <c r="P1120" s="68"/>
      <c r="Q1120" s="68"/>
      <c r="R1120" s="68"/>
      <c r="S1120" s="68"/>
      <c r="T1120" s="68"/>
      <c r="U1120" s="68"/>
      <c r="V1120" s="68"/>
      <c r="W1120" s="68"/>
      <c r="X1120" s="68"/>
      <c r="Y1120" s="68"/>
      <c r="Z1120" s="68"/>
      <c r="AA1120" s="68"/>
      <c r="AB1120" s="68"/>
      <c r="AC1120" s="68"/>
      <c r="AD1120" s="68"/>
      <c r="AE1120" s="68"/>
    </row>
    <row r="1121" ht="26.25" customHeight="1">
      <c r="A1121" s="68"/>
      <c r="B1121" s="68"/>
      <c r="C1121" s="61" t="s">
        <v>129</v>
      </c>
      <c r="D1121" s="61" t="s">
        <v>130</v>
      </c>
      <c r="E1121" s="68"/>
      <c r="F1121" s="68"/>
      <c r="G1121" s="68"/>
      <c r="H1121" s="68"/>
      <c r="I1121" s="68"/>
      <c r="J1121" s="78"/>
      <c r="K1121" s="68"/>
      <c r="L1121" s="68"/>
      <c r="M1121" s="68"/>
      <c r="N1121" s="68"/>
      <c r="O1121" s="68"/>
      <c r="P1121" s="68"/>
      <c r="Q1121" s="68"/>
      <c r="R1121" s="68"/>
      <c r="S1121" s="68"/>
      <c r="T1121" s="68"/>
      <c r="U1121" s="68"/>
      <c r="V1121" s="68"/>
      <c r="W1121" s="68"/>
      <c r="X1121" s="68"/>
      <c r="Y1121" s="68"/>
      <c r="Z1121" s="68"/>
      <c r="AA1121" s="68"/>
      <c r="AB1121" s="68"/>
      <c r="AC1121" s="68"/>
      <c r="AD1121" s="68"/>
      <c r="AE1121" s="68"/>
    </row>
    <row r="1122" ht="26.25" customHeight="1">
      <c r="A1122" s="68"/>
      <c r="B1122" s="68"/>
      <c r="C1122" s="61" t="s">
        <v>129</v>
      </c>
      <c r="D1122" s="61" t="s">
        <v>130</v>
      </c>
      <c r="E1122" s="68"/>
      <c r="F1122" s="68"/>
      <c r="G1122" s="68"/>
      <c r="H1122" s="68"/>
      <c r="I1122" s="68"/>
      <c r="J1122" s="78"/>
      <c r="K1122" s="68"/>
      <c r="L1122" s="68"/>
      <c r="M1122" s="68"/>
      <c r="N1122" s="68"/>
      <c r="O1122" s="68"/>
      <c r="P1122" s="68"/>
      <c r="Q1122" s="68"/>
      <c r="R1122" s="68"/>
      <c r="S1122" s="68"/>
      <c r="T1122" s="68"/>
      <c r="U1122" s="68"/>
      <c r="V1122" s="68"/>
      <c r="W1122" s="68"/>
      <c r="X1122" s="68"/>
      <c r="Y1122" s="68"/>
      <c r="Z1122" s="68"/>
      <c r="AA1122" s="68"/>
      <c r="AB1122" s="68"/>
      <c r="AC1122" s="68"/>
      <c r="AD1122" s="68"/>
      <c r="AE1122" s="68"/>
    </row>
    <row r="1123" ht="26.25" customHeight="1">
      <c r="A1123" s="68"/>
      <c r="B1123" s="68"/>
      <c r="C1123" s="61" t="s">
        <v>129</v>
      </c>
      <c r="D1123" s="61" t="s">
        <v>130</v>
      </c>
      <c r="E1123" s="68"/>
      <c r="F1123" s="68"/>
      <c r="G1123" s="68"/>
      <c r="H1123" s="68"/>
      <c r="I1123" s="68"/>
      <c r="J1123" s="78"/>
      <c r="K1123" s="68"/>
      <c r="L1123" s="68"/>
      <c r="M1123" s="68"/>
      <c r="N1123" s="68"/>
      <c r="O1123" s="68"/>
      <c r="P1123" s="68"/>
      <c r="Q1123" s="68"/>
      <c r="R1123" s="68"/>
      <c r="S1123" s="68"/>
      <c r="T1123" s="68"/>
      <c r="U1123" s="68"/>
      <c r="V1123" s="68"/>
      <c r="W1123" s="68"/>
      <c r="X1123" s="68"/>
      <c r="Y1123" s="68"/>
      <c r="Z1123" s="68"/>
      <c r="AA1123" s="68"/>
      <c r="AB1123" s="68"/>
      <c r="AC1123" s="68"/>
      <c r="AD1123" s="68"/>
      <c r="AE1123" s="68"/>
    </row>
    <row r="1124" ht="26.25" customHeight="1">
      <c r="A1124" s="68"/>
      <c r="B1124" s="68"/>
      <c r="C1124" s="61" t="s">
        <v>129</v>
      </c>
      <c r="D1124" s="61" t="s">
        <v>130</v>
      </c>
      <c r="E1124" s="68"/>
      <c r="F1124" s="68"/>
      <c r="G1124" s="68"/>
      <c r="H1124" s="68"/>
      <c r="I1124" s="68"/>
      <c r="J1124" s="78"/>
      <c r="K1124" s="68"/>
      <c r="L1124" s="68"/>
      <c r="M1124" s="68"/>
      <c r="N1124" s="68"/>
      <c r="O1124" s="68"/>
      <c r="P1124" s="68"/>
      <c r="Q1124" s="68"/>
      <c r="R1124" s="68"/>
      <c r="S1124" s="68"/>
      <c r="T1124" s="68"/>
      <c r="U1124" s="68"/>
      <c r="V1124" s="68"/>
      <c r="W1124" s="68"/>
      <c r="X1124" s="68"/>
      <c r="Y1124" s="68"/>
      <c r="Z1124" s="68"/>
      <c r="AA1124" s="68"/>
      <c r="AB1124" s="68"/>
      <c r="AC1124" s="68"/>
      <c r="AD1124" s="68"/>
      <c r="AE1124" s="68"/>
    </row>
    <row r="1125" ht="26.25" customHeight="1">
      <c r="A1125" s="68"/>
      <c r="B1125" s="68"/>
      <c r="C1125" s="61" t="s">
        <v>129</v>
      </c>
      <c r="D1125" s="61" t="s">
        <v>130</v>
      </c>
      <c r="E1125" s="68"/>
      <c r="F1125" s="68"/>
      <c r="G1125" s="68"/>
      <c r="H1125" s="68"/>
      <c r="I1125" s="68"/>
      <c r="J1125" s="78"/>
      <c r="K1125" s="68"/>
      <c r="L1125" s="68"/>
      <c r="M1125" s="68"/>
      <c r="N1125" s="68"/>
      <c r="O1125" s="68"/>
      <c r="P1125" s="68"/>
      <c r="Q1125" s="68"/>
      <c r="R1125" s="68"/>
      <c r="S1125" s="68"/>
      <c r="T1125" s="68"/>
      <c r="U1125" s="68"/>
      <c r="V1125" s="68"/>
      <c r="W1125" s="68"/>
      <c r="X1125" s="68"/>
      <c r="Y1125" s="68"/>
      <c r="Z1125" s="68"/>
      <c r="AA1125" s="68"/>
      <c r="AB1125" s="68"/>
      <c r="AC1125" s="68"/>
      <c r="AD1125" s="68"/>
      <c r="AE1125" s="68"/>
    </row>
    <row r="1126" ht="26.25" customHeight="1">
      <c r="A1126" s="68"/>
      <c r="B1126" s="68"/>
      <c r="C1126" s="61" t="s">
        <v>129</v>
      </c>
      <c r="D1126" s="61" t="s">
        <v>130</v>
      </c>
      <c r="E1126" s="68"/>
      <c r="F1126" s="68"/>
      <c r="G1126" s="68"/>
      <c r="H1126" s="68"/>
      <c r="I1126" s="68"/>
      <c r="J1126" s="78"/>
      <c r="K1126" s="68"/>
      <c r="L1126" s="68"/>
      <c r="M1126" s="68"/>
      <c r="N1126" s="68"/>
      <c r="O1126" s="68"/>
      <c r="P1126" s="68"/>
      <c r="Q1126" s="68"/>
      <c r="R1126" s="68"/>
      <c r="S1126" s="68"/>
      <c r="T1126" s="68"/>
      <c r="U1126" s="68"/>
      <c r="V1126" s="68"/>
      <c r="W1126" s="68"/>
      <c r="X1126" s="68"/>
      <c r="Y1126" s="68"/>
      <c r="Z1126" s="68"/>
      <c r="AA1126" s="68"/>
      <c r="AB1126" s="68"/>
      <c r="AC1126" s="68"/>
      <c r="AD1126" s="68"/>
      <c r="AE1126" s="68"/>
    </row>
    <row r="1127" ht="26.25" customHeight="1">
      <c r="A1127" s="68"/>
      <c r="B1127" s="68"/>
      <c r="C1127" s="61" t="s">
        <v>129</v>
      </c>
      <c r="D1127" s="61" t="s">
        <v>130</v>
      </c>
      <c r="E1127" s="68"/>
      <c r="F1127" s="68"/>
      <c r="G1127" s="68"/>
      <c r="H1127" s="68"/>
      <c r="I1127" s="68"/>
      <c r="J1127" s="78"/>
      <c r="K1127" s="68"/>
      <c r="L1127" s="68"/>
      <c r="M1127" s="68"/>
      <c r="N1127" s="68"/>
      <c r="O1127" s="68"/>
      <c r="P1127" s="68"/>
      <c r="Q1127" s="68"/>
      <c r="R1127" s="68"/>
      <c r="S1127" s="68"/>
      <c r="T1127" s="68"/>
      <c r="U1127" s="68"/>
      <c r="V1127" s="68"/>
      <c r="W1127" s="68"/>
      <c r="X1127" s="68"/>
      <c r="Y1127" s="68"/>
      <c r="Z1127" s="68"/>
      <c r="AA1127" s="68"/>
      <c r="AB1127" s="68"/>
      <c r="AC1127" s="68"/>
      <c r="AD1127" s="68"/>
      <c r="AE1127" s="68"/>
    </row>
    <row r="1128" ht="26.25" customHeight="1">
      <c r="A1128" s="68"/>
      <c r="B1128" s="68"/>
      <c r="C1128" s="61" t="s">
        <v>129</v>
      </c>
      <c r="D1128" s="61" t="s">
        <v>130</v>
      </c>
      <c r="E1128" s="68"/>
      <c r="F1128" s="68"/>
      <c r="G1128" s="68"/>
      <c r="H1128" s="68"/>
      <c r="I1128" s="68"/>
      <c r="J1128" s="78"/>
      <c r="K1128" s="68"/>
      <c r="L1128" s="68"/>
      <c r="M1128" s="68"/>
      <c r="N1128" s="68"/>
      <c r="O1128" s="68"/>
      <c r="P1128" s="68"/>
      <c r="Q1128" s="68"/>
      <c r="R1128" s="68"/>
      <c r="S1128" s="68"/>
      <c r="T1128" s="68"/>
      <c r="U1128" s="68"/>
      <c r="V1128" s="68"/>
      <c r="W1128" s="68"/>
      <c r="X1128" s="68"/>
      <c r="Y1128" s="68"/>
      <c r="Z1128" s="68"/>
      <c r="AA1128" s="68"/>
      <c r="AB1128" s="68"/>
      <c r="AC1128" s="68"/>
      <c r="AD1128" s="68"/>
      <c r="AE1128" s="68"/>
    </row>
    <row r="1129" ht="26.25" customHeight="1">
      <c r="A1129" s="68"/>
      <c r="B1129" s="68"/>
      <c r="C1129" s="61" t="s">
        <v>129</v>
      </c>
      <c r="D1129" s="61" t="s">
        <v>130</v>
      </c>
      <c r="E1129" s="68"/>
      <c r="F1129" s="68"/>
      <c r="G1129" s="68"/>
      <c r="H1129" s="68"/>
      <c r="I1129" s="68"/>
      <c r="J1129" s="78"/>
      <c r="K1129" s="68"/>
      <c r="L1129" s="68"/>
      <c r="M1129" s="68"/>
      <c r="N1129" s="68"/>
      <c r="O1129" s="68"/>
      <c r="P1129" s="68"/>
      <c r="Q1129" s="68"/>
      <c r="R1129" s="68"/>
      <c r="S1129" s="68"/>
      <c r="T1129" s="68"/>
      <c r="U1129" s="68"/>
      <c r="V1129" s="68"/>
      <c r="W1129" s="68"/>
      <c r="X1129" s="68"/>
      <c r="Y1129" s="68"/>
      <c r="Z1129" s="68"/>
      <c r="AA1129" s="68"/>
      <c r="AB1129" s="68"/>
      <c r="AC1129" s="68"/>
      <c r="AD1129" s="68"/>
      <c r="AE1129" s="68"/>
    </row>
    <row r="1130" ht="26.25" customHeight="1">
      <c r="A1130" s="68"/>
      <c r="B1130" s="68"/>
      <c r="C1130" s="61" t="s">
        <v>129</v>
      </c>
      <c r="D1130" s="61" t="s">
        <v>130</v>
      </c>
      <c r="E1130" s="68"/>
      <c r="F1130" s="68"/>
      <c r="G1130" s="68"/>
      <c r="H1130" s="68"/>
      <c r="I1130" s="68"/>
      <c r="J1130" s="78"/>
      <c r="K1130" s="68"/>
      <c r="L1130" s="68"/>
      <c r="M1130" s="68"/>
      <c r="N1130" s="68"/>
      <c r="O1130" s="68"/>
      <c r="P1130" s="68"/>
      <c r="Q1130" s="68"/>
      <c r="R1130" s="68"/>
      <c r="S1130" s="68"/>
      <c r="T1130" s="68"/>
      <c r="U1130" s="68"/>
      <c r="V1130" s="68"/>
      <c r="W1130" s="68"/>
      <c r="X1130" s="68"/>
      <c r="Y1130" s="68"/>
      <c r="Z1130" s="68"/>
      <c r="AA1130" s="68"/>
      <c r="AB1130" s="68"/>
      <c r="AC1130" s="68"/>
      <c r="AD1130" s="68"/>
      <c r="AE1130" s="68"/>
    </row>
    <row r="1131" ht="26.25" customHeight="1">
      <c r="A1131" s="68"/>
      <c r="B1131" s="68"/>
      <c r="C1131" s="61" t="s">
        <v>129</v>
      </c>
      <c r="D1131" s="61" t="s">
        <v>130</v>
      </c>
      <c r="E1131" s="68"/>
      <c r="F1131" s="68"/>
      <c r="G1131" s="68"/>
      <c r="H1131" s="68"/>
      <c r="I1131" s="68"/>
      <c r="J1131" s="78"/>
      <c r="K1131" s="68"/>
      <c r="L1131" s="68"/>
      <c r="M1131" s="68"/>
      <c r="N1131" s="68"/>
      <c r="O1131" s="68"/>
      <c r="P1131" s="68"/>
      <c r="Q1131" s="68"/>
      <c r="R1131" s="68"/>
      <c r="S1131" s="68"/>
      <c r="T1131" s="68"/>
      <c r="U1131" s="68"/>
      <c r="V1131" s="68"/>
      <c r="W1131" s="68"/>
      <c r="X1131" s="68"/>
      <c r="Y1131" s="68"/>
      <c r="Z1131" s="68"/>
      <c r="AA1131" s="68"/>
      <c r="AB1131" s="68"/>
      <c r="AC1131" s="68"/>
      <c r="AD1131" s="68"/>
      <c r="AE1131" s="68"/>
    </row>
    <row r="1132" ht="26.25" customHeight="1">
      <c r="A1132" s="68"/>
      <c r="B1132" s="68"/>
      <c r="C1132" s="61" t="s">
        <v>129</v>
      </c>
      <c r="D1132" s="61" t="s">
        <v>130</v>
      </c>
      <c r="E1132" s="68"/>
      <c r="F1132" s="68"/>
      <c r="G1132" s="68"/>
      <c r="H1132" s="68"/>
      <c r="I1132" s="68"/>
      <c r="J1132" s="78"/>
      <c r="K1132" s="68"/>
      <c r="L1132" s="68"/>
      <c r="M1132" s="68"/>
      <c r="N1132" s="68"/>
      <c r="O1132" s="68"/>
      <c r="P1132" s="68"/>
      <c r="Q1132" s="68"/>
      <c r="R1132" s="68"/>
      <c r="S1132" s="68"/>
      <c r="T1132" s="68"/>
      <c r="U1132" s="68"/>
      <c r="V1132" s="68"/>
      <c r="W1132" s="68"/>
      <c r="X1132" s="68"/>
      <c r="Y1132" s="68"/>
      <c r="Z1132" s="68"/>
      <c r="AA1132" s="68"/>
      <c r="AB1132" s="68"/>
      <c r="AC1132" s="68"/>
      <c r="AD1132" s="68"/>
      <c r="AE1132" s="68"/>
    </row>
    <row r="1133" ht="26.25" customHeight="1">
      <c r="A1133" s="68"/>
      <c r="B1133" s="68"/>
      <c r="C1133" s="61" t="s">
        <v>129</v>
      </c>
      <c r="D1133" s="61" t="s">
        <v>130</v>
      </c>
      <c r="E1133" s="68"/>
      <c r="F1133" s="68"/>
      <c r="G1133" s="68"/>
      <c r="H1133" s="68"/>
      <c r="I1133" s="68"/>
      <c r="J1133" s="78"/>
      <c r="K1133" s="68"/>
      <c r="L1133" s="68"/>
      <c r="M1133" s="68"/>
      <c r="N1133" s="68"/>
      <c r="O1133" s="68"/>
      <c r="P1133" s="68"/>
      <c r="Q1133" s="68"/>
      <c r="R1133" s="68"/>
      <c r="S1133" s="68"/>
      <c r="T1133" s="68"/>
      <c r="U1133" s="68"/>
      <c r="V1133" s="68"/>
      <c r="W1133" s="68"/>
      <c r="X1133" s="68"/>
      <c r="Y1133" s="68"/>
      <c r="Z1133" s="68"/>
      <c r="AA1133" s="68"/>
      <c r="AB1133" s="68"/>
      <c r="AC1133" s="68"/>
      <c r="AD1133" s="68"/>
      <c r="AE1133" s="68"/>
    </row>
    <row r="1134" ht="26.25" customHeight="1">
      <c r="A1134" s="68"/>
      <c r="B1134" s="68"/>
      <c r="C1134" s="61" t="s">
        <v>129</v>
      </c>
      <c r="D1134" s="61" t="s">
        <v>130</v>
      </c>
      <c r="E1134" s="68"/>
      <c r="F1134" s="68"/>
      <c r="G1134" s="68"/>
      <c r="H1134" s="68"/>
      <c r="I1134" s="68"/>
      <c r="J1134" s="78"/>
      <c r="K1134" s="68"/>
      <c r="L1134" s="68"/>
      <c r="M1134" s="68"/>
      <c r="N1134" s="68"/>
      <c r="O1134" s="68"/>
      <c r="P1134" s="68"/>
      <c r="Q1134" s="68"/>
      <c r="R1134" s="68"/>
      <c r="S1134" s="68"/>
      <c r="T1134" s="68"/>
      <c r="U1134" s="68"/>
      <c r="V1134" s="68"/>
      <c r="W1134" s="68"/>
      <c r="X1134" s="68"/>
      <c r="Y1134" s="68"/>
      <c r="Z1134" s="68"/>
      <c r="AA1134" s="68"/>
      <c r="AB1134" s="68"/>
      <c r="AC1134" s="68"/>
      <c r="AD1134" s="68"/>
      <c r="AE1134" s="68"/>
    </row>
    <row r="1135" ht="26.25" customHeight="1">
      <c r="A1135" s="68"/>
      <c r="B1135" s="68"/>
      <c r="C1135" s="61" t="s">
        <v>129</v>
      </c>
      <c r="D1135" s="61" t="s">
        <v>130</v>
      </c>
      <c r="E1135" s="68"/>
      <c r="F1135" s="68"/>
      <c r="G1135" s="68"/>
      <c r="H1135" s="68"/>
      <c r="I1135" s="68"/>
      <c r="J1135" s="78"/>
      <c r="K1135" s="68"/>
      <c r="L1135" s="68"/>
      <c r="M1135" s="68"/>
      <c r="N1135" s="68"/>
      <c r="O1135" s="68"/>
      <c r="P1135" s="68"/>
      <c r="Q1135" s="68"/>
      <c r="R1135" s="68"/>
      <c r="S1135" s="68"/>
      <c r="T1135" s="68"/>
      <c r="U1135" s="68"/>
      <c r="V1135" s="68"/>
      <c r="W1135" s="68"/>
      <c r="X1135" s="68"/>
      <c r="Y1135" s="68"/>
      <c r="Z1135" s="68"/>
      <c r="AA1135" s="68"/>
      <c r="AB1135" s="68"/>
      <c r="AC1135" s="68"/>
      <c r="AD1135" s="68"/>
      <c r="AE1135" s="68"/>
    </row>
    <row r="1136" ht="26.25" customHeight="1">
      <c r="A1136" s="68"/>
      <c r="B1136" s="68"/>
      <c r="C1136" s="61" t="s">
        <v>129</v>
      </c>
      <c r="D1136" s="61" t="s">
        <v>130</v>
      </c>
      <c r="E1136" s="68"/>
      <c r="F1136" s="68"/>
      <c r="G1136" s="68"/>
      <c r="H1136" s="68"/>
      <c r="I1136" s="68"/>
      <c r="J1136" s="78"/>
      <c r="K1136" s="68"/>
      <c r="L1136" s="68"/>
      <c r="M1136" s="68"/>
      <c r="N1136" s="68"/>
      <c r="O1136" s="68"/>
      <c r="P1136" s="68"/>
      <c r="Q1136" s="68"/>
      <c r="R1136" s="68"/>
      <c r="S1136" s="68"/>
      <c r="T1136" s="68"/>
      <c r="U1136" s="68"/>
      <c r="V1136" s="68"/>
      <c r="W1136" s="68"/>
      <c r="X1136" s="68"/>
      <c r="Y1136" s="68"/>
      <c r="Z1136" s="68"/>
      <c r="AA1136" s="68"/>
      <c r="AB1136" s="68"/>
      <c r="AC1136" s="68"/>
      <c r="AD1136" s="68"/>
      <c r="AE1136" s="68"/>
    </row>
    <row r="1137" ht="26.25" customHeight="1">
      <c r="A1137" s="68"/>
      <c r="B1137" s="68"/>
      <c r="C1137" s="61" t="s">
        <v>129</v>
      </c>
      <c r="D1137" s="61" t="s">
        <v>130</v>
      </c>
      <c r="E1137" s="68"/>
      <c r="F1137" s="68"/>
      <c r="G1137" s="68"/>
      <c r="H1137" s="68"/>
      <c r="I1137" s="68"/>
      <c r="J1137" s="78"/>
      <c r="K1137" s="68"/>
      <c r="L1137" s="68"/>
      <c r="M1137" s="68"/>
      <c r="N1137" s="68"/>
      <c r="O1137" s="68"/>
      <c r="P1137" s="68"/>
      <c r="Q1137" s="68"/>
      <c r="R1137" s="68"/>
      <c r="S1137" s="68"/>
      <c r="T1137" s="68"/>
      <c r="U1137" s="68"/>
      <c r="V1137" s="68"/>
      <c r="W1137" s="68"/>
      <c r="X1137" s="68"/>
      <c r="Y1137" s="68"/>
      <c r="Z1137" s="68"/>
      <c r="AA1137" s="68"/>
      <c r="AB1137" s="68"/>
      <c r="AC1137" s="68"/>
      <c r="AD1137" s="68"/>
      <c r="AE1137" s="68"/>
    </row>
    <row r="1138" ht="26.25" customHeight="1">
      <c r="A1138" s="68"/>
      <c r="B1138" s="68"/>
      <c r="C1138" s="61" t="s">
        <v>129</v>
      </c>
      <c r="D1138" s="61" t="s">
        <v>130</v>
      </c>
      <c r="E1138" s="68"/>
      <c r="F1138" s="68"/>
      <c r="G1138" s="68"/>
      <c r="H1138" s="68"/>
      <c r="I1138" s="68"/>
      <c r="J1138" s="78"/>
      <c r="K1138" s="68"/>
      <c r="L1138" s="68"/>
      <c r="M1138" s="68"/>
      <c r="N1138" s="68"/>
      <c r="O1138" s="68"/>
      <c r="P1138" s="68"/>
      <c r="Q1138" s="68"/>
      <c r="R1138" s="68"/>
      <c r="S1138" s="68"/>
      <c r="T1138" s="68"/>
      <c r="U1138" s="68"/>
      <c r="V1138" s="68"/>
      <c r="W1138" s="68"/>
      <c r="X1138" s="68"/>
      <c r="Y1138" s="68"/>
      <c r="Z1138" s="68"/>
      <c r="AA1138" s="68"/>
      <c r="AB1138" s="68"/>
      <c r="AC1138" s="68"/>
      <c r="AD1138" s="68"/>
      <c r="AE1138" s="68"/>
    </row>
    <row r="1139" ht="26.25" customHeight="1">
      <c r="A1139" s="68"/>
      <c r="B1139" s="68"/>
      <c r="C1139" s="61" t="s">
        <v>129</v>
      </c>
      <c r="D1139" s="61" t="s">
        <v>130</v>
      </c>
      <c r="E1139" s="68"/>
      <c r="F1139" s="68"/>
      <c r="G1139" s="68"/>
      <c r="H1139" s="68"/>
      <c r="I1139" s="68"/>
      <c r="J1139" s="78"/>
      <c r="K1139" s="68"/>
      <c r="L1139" s="68"/>
      <c r="M1139" s="68"/>
      <c r="N1139" s="68"/>
      <c r="O1139" s="68"/>
      <c r="P1139" s="68"/>
      <c r="Q1139" s="68"/>
      <c r="R1139" s="68"/>
      <c r="S1139" s="68"/>
      <c r="T1139" s="68"/>
      <c r="U1139" s="68"/>
      <c r="V1139" s="68"/>
      <c r="W1139" s="68"/>
      <c r="X1139" s="68"/>
      <c r="Y1139" s="68"/>
      <c r="Z1139" s="68"/>
      <c r="AA1139" s="68"/>
      <c r="AB1139" s="68"/>
      <c r="AC1139" s="68"/>
      <c r="AD1139" s="68"/>
      <c r="AE1139" s="68"/>
    </row>
    <row r="1140" ht="26.25" customHeight="1">
      <c r="A1140" s="68"/>
      <c r="B1140" s="68"/>
      <c r="C1140" s="61" t="s">
        <v>129</v>
      </c>
      <c r="D1140" s="61" t="s">
        <v>130</v>
      </c>
      <c r="E1140" s="68"/>
      <c r="F1140" s="68"/>
      <c r="G1140" s="68"/>
      <c r="H1140" s="68"/>
      <c r="I1140" s="68"/>
      <c r="J1140" s="78"/>
      <c r="K1140" s="68"/>
      <c r="L1140" s="68"/>
      <c r="M1140" s="68"/>
      <c r="N1140" s="68"/>
      <c r="O1140" s="68"/>
      <c r="P1140" s="68"/>
      <c r="Q1140" s="68"/>
      <c r="R1140" s="68"/>
      <c r="S1140" s="68"/>
      <c r="T1140" s="68"/>
      <c r="U1140" s="68"/>
      <c r="V1140" s="68"/>
      <c r="W1140" s="68"/>
      <c r="X1140" s="68"/>
      <c r="Y1140" s="68"/>
      <c r="Z1140" s="68"/>
      <c r="AA1140" s="68"/>
      <c r="AB1140" s="68"/>
      <c r="AC1140" s="68"/>
      <c r="AD1140" s="68"/>
      <c r="AE1140" s="68"/>
    </row>
    <row r="1141" ht="26.25" customHeight="1">
      <c r="A1141" s="68"/>
      <c r="B1141" s="68"/>
      <c r="C1141" s="61" t="s">
        <v>129</v>
      </c>
      <c r="D1141" s="61" t="s">
        <v>130</v>
      </c>
      <c r="E1141" s="68"/>
      <c r="F1141" s="68"/>
      <c r="G1141" s="68"/>
      <c r="H1141" s="68"/>
      <c r="I1141" s="68"/>
      <c r="J1141" s="78"/>
      <c r="K1141" s="68"/>
      <c r="L1141" s="68"/>
      <c r="M1141" s="68"/>
      <c r="N1141" s="68"/>
      <c r="O1141" s="68"/>
      <c r="P1141" s="68"/>
      <c r="Q1141" s="68"/>
      <c r="R1141" s="68"/>
      <c r="S1141" s="68"/>
      <c r="T1141" s="68"/>
      <c r="U1141" s="68"/>
      <c r="V1141" s="68"/>
      <c r="W1141" s="68"/>
      <c r="X1141" s="68"/>
      <c r="Y1141" s="68"/>
      <c r="Z1141" s="68"/>
      <c r="AA1141" s="68"/>
      <c r="AB1141" s="68"/>
      <c r="AC1141" s="68"/>
      <c r="AD1141" s="68"/>
      <c r="AE1141" s="68"/>
    </row>
    <row r="1142" ht="26.25" customHeight="1">
      <c r="A1142" s="68"/>
      <c r="B1142" s="68"/>
      <c r="C1142" s="61" t="s">
        <v>129</v>
      </c>
      <c r="D1142" s="61" t="s">
        <v>130</v>
      </c>
      <c r="E1142" s="68"/>
      <c r="F1142" s="68"/>
      <c r="G1142" s="68"/>
      <c r="H1142" s="68"/>
      <c r="I1142" s="68"/>
      <c r="J1142" s="78"/>
      <c r="K1142" s="68"/>
      <c r="L1142" s="68"/>
      <c r="M1142" s="68"/>
      <c r="N1142" s="68"/>
      <c r="O1142" s="68"/>
      <c r="P1142" s="68"/>
      <c r="Q1142" s="68"/>
      <c r="R1142" s="68"/>
      <c r="S1142" s="68"/>
      <c r="T1142" s="68"/>
      <c r="U1142" s="68"/>
      <c r="V1142" s="68"/>
      <c r="W1142" s="68"/>
      <c r="X1142" s="68"/>
      <c r="Y1142" s="68"/>
      <c r="Z1142" s="68"/>
      <c r="AA1142" s="68"/>
      <c r="AB1142" s="68"/>
      <c r="AC1142" s="68"/>
      <c r="AD1142" s="68"/>
      <c r="AE1142" s="68"/>
    </row>
    <row r="1143" ht="26.25" customHeight="1">
      <c r="A1143" s="68"/>
      <c r="B1143" s="68"/>
      <c r="C1143" s="61" t="s">
        <v>129</v>
      </c>
      <c r="D1143" s="61" t="s">
        <v>130</v>
      </c>
      <c r="E1143" s="68"/>
      <c r="F1143" s="68"/>
      <c r="G1143" s="68"/>
      <c r="H1143" s="68"/>
      <c r="I1143" s="68"/>
      <c r="J1143" s="78"/>
      <c r="K1143" s="68"/>
      <c r="L1143" s="68"/>
      <c r="M1143" s="68"/>
      <c r="N1143" s="68"/>
      <c r="O1143" s="68"/>
      <c r="P1143" s="68"/>
      <c r="Q1143" s="68"/>
      <c r="R1143" s="68"/>
      <c r="S1143" s="68"/>
      <c r="T1143" s="68"/>
      <c r="U1143" s="68"/>
      <c r="V1143" s="68"/>
      <c r="W1143" s="68"/>
      <c r="X1143" s="68"/>
      <c r="Y1143" s="68"/>
      <c r="Z1143" s="68"/>
      <c r="AA1143" s="68"/>
      <c r="AB1143" s="68"/>
      <c r="AC1143" s="68"/>
      <c r="AD1143" s="68"/>
      <c r="AE1143" s="68"/>
    </row>
    <row r="1144" ht="26.25" customHeight="1">
      <c r="A1144" s="68"/>
      <c r="B1144" s="68"/>
      <c r="C1144" s="61" t="s">
        <v>129</v>
      </c>
      <c r="D1144" s="61" t="s">
        <v>130</v>
      </c>
      <c r="E1144" s="68"/>
      <c r="F1144" s="68"/>
      <c r="G1144" s="68"/>
      <c r="H1144" s="68"/>
      <c r="I1144" s="68"/>
      <c r="J1144" s="78"/>
      <c r="K1144" s="68"/>
      <c r="L1144" s="68"/>
      <c r="M1144" s="68"/>
      <c r="N1144" s="68"/>
      <c r="O1144" s="68"/>
      <c r="P1144" s="68"/>
      <c r="Q1144" s="68"/>
      <c r="R1144" s="68"/>
      <c r="S1144" s="68"/>
      <c r="T1144" s="68"/>
      <c r="U1144" s="68"/>
      <c r="V1144" s="68"/>
      <c r="W1144" s="68"/>
      <c r="X1144" s="68"/>
      <c r="Y1144" s="68"/>
      <c r="Z1144" s="68"/>
      <c r="AA1144" s="68"/>
      <c r="AB1144" s="68"/>
      <c r="AC1144" s="68"/>
      <c r="AD1144" s="68"/>
      <c r="AE1144" s="68"/>
    </row>
    <row r="1145" ht="26.25" customHeight="1">
      <c r="A1145" s="68"/>
      <c r="B1145" s="68"/>
      <c r="C1145" s="61" t="s">
        <v>129</v>
      </c>
      <c r="D1145" s="61" t="s">
        <v>130</v>
      </c>
      <c r="E1145" s="68"/>
      <c r="F1145" s="68"/>
      <c r="G1145" s="68"/>
      <c r="H1145" s="68"/>
      <c r="I1145" s="68"/>
      <c r="J1145" s="78"/>
      <c r="K1145" s="68"/>
      <c r="L1145" s="68"/>
      <c r="M1145" s="68"/>
      <c r="N1145" s="68"/>
      <c r="O1145" s="68"/>
      <c r="P1145" s="68"/>
      <c r="Q1145" s="68"/>
      <c r="R1145" s="68"/>
      <c r="S1145" s="68"/>
      <c r="T1145" s="68"/>
      <c r="U1145" s="68"/>
      <c r="V1145" s="68"/>
      <c r="W1145" s="68"/>
      <c r="X1145" s="68"/>
      <c r="Y1145" s="68"/>
      <c r="Z1145" s="68"/>
      <c r="AA1145" s="68"/>
      <c r="AB1145" s="68"/>
      <c r="AC1145" s="68"/>
      <c r="AD1145" s="68"/>
      <c r="AE1145" s="68"/>
    </row>
    <row r="1146" ht="26.25" customHeight="1">
      <c r="A1146" s="68"/>
      <c r="B1146" s="68"/>
      <c r="C1146" s="61" t="s">
        <v>129</v>
      </c>
      <c r="D1146" s="61" t="s">
        <v>130</v>
      </c>
      <c r="E1146" s="68"/>
      <c r="F1146" s="68"/>
      <c r="G1146" s="68"/>
      <c r="H1146" s="68"/>
      <c r="I1146" s="68"/>
      <c r="J1146" s="78"/>
      <c r="K1146" s="68"/>
      <c r="L1146" s="68"/>
      <c r="M1146" s="68"/>
      <c r="N1146" s="68"/>
      <c r="O1146" s="68"/>
      <c r="P1146" s="68"/>
      <c r="Q1146" s="68"/>
      <c r="R1146" s="68"/>
      <c r="S1146" s="68"/>
      <c r="T1146" s="68"/>
      <c r="U1146" s="68"/>
      <c r="V1146" s="68"/>
      <c r="W1146" s="68"/>
      <c r="X1146" s="68"/>
      <c r="Y1146" s="68"/>
      <c r="Z1146" s="68"/>
      <c r="AA1146" s="68"/>
      <c r="AB1146" s="68"/>
      <c r="AC1146" s="68"/>
      <c r="AD1146" s="68"/>
      <c r="AE1146" s="68"/>
    </row>
    <row r="1147" ht="26.25" customHeight="1">
      <c r="A1147" s="68"/>
      <c r="B1147" s="68"/>
      <c r="C1147" s="61" t="s">
        <v>129</v>
      </c>
      <c r="D1147" s="61" t="s">
        <v>130</v>
      </c>
      <c r="E1147" s="68"/>
      <c r="F1147" s="68"/>
      <c r="G1147" s="68"/>
      <c r="H1147" s="68"/>
      <c r="I1147" s="68"/>
      <c r="J1147" s="78"/>
      <c r="K1147" s="68"/>
      <c r="L1147" s="68"/>
      <c r="M1147" s="68"/>
      <c r="N1147" s="68"/>
      <c r="O1147" s="68"/>
      <c r="P1147" s="68"/>
      <c r="Q1147" s="68"/>
      <c r="R1147" s="68"/>
      <c r="S1147" s="68"/>
      <c r="T1147" s="68"/>
      <c r="U1147" s="68"/>
      <c r="V1147" s="68"/>
      <c r="W1147" s="68"/>
      <c r="X1147" s="68"/>
      <c r="Y1147" s="68"/>
      <c r="Z1147" s="68"/>
      <c r="AA1147" s="68"/>
      <c r="AB1147" s="68"/>
      <c r="AC1147" s="68"/>
      <c r="AD1147" s="68"/>
      <c r="AE1147" s="68"/>
    </row>
    <row r="1148" ht="26.25" customHeight="1">
      <c r="A1148" s="68"/>
      <c r="B1148" s="68"/>
      <c r="C1148" s="61" t="s">
        <v>129</v>
      </c>
      <c r="D1148" s="61" t="s">
        <v>130</v>
      </c>
      <c r="E1148" s="68"/>
      <c r="F1148" s="68"/>
      <c r="G1148" s="68"/>
      <c r="H1148" s="68"/>
      <c r="I1148" s="68"/>
      <c r="J1148" s="78"/>
      <c r="K1148" s="68"/>
      <c r="L1148" s="68"/>
      <c r="M1148" s="68"/>
      <c r="N1148" s="68"/>
      <c r="O1148" s="68"/>
      <c r="P1148" s="68"/>
      <c r="Q1148" s="68"/>
      <c r="R1148" s="68"/>
      <c r="S1148" s="68"/>
      <c r="T1148" s="68"/>
      <c r="U1148" s="68"/>
      <c r="V1148" s="68"/>
      <c r="W1148" s="68"/>
      <c r="X1148" s="68"/>
      <c r="Y1148" s="68"/>
      <c r="Z1148" s="68"/>
      <c r="AA1148" s="68"/>
      <c r="AB1148" s="68"/>
      <c r="AC1148" s="68"/>
      <c r="AD1148" s="68"/>
      <c r="AE1148" s="68"/>
    </row>
    <row r="1149" ht="26.25" customHeight="1">
      <c r="A1149" s="68"/>
      <c r="B1149" s="68"/>
      <c r="C1149" s="61" t="s">
        <v>129</v>
      </c>
      <c r="D1149" s="61" t="s">
        <v>130</v>
      </c>
      <c r="E1149" s="68"/>
      <c r="F1149" s="68"/>
      <c r="G1149" s="68"/>
      <c r="H1149" s="68"/>
      <c r="I1149" s="68"/>
      <c r="J1149" s="78"/>
      <c r="K1149" s="68"/>
      <c r="L1149" s="68"/>
      <c r="M1149" s="68"/>
      <c r="N1149" s="68"/>
      <c r="O1149" s="68"/>
      <c r="P1149" s="68"/>
      <c r="Q1149" s="68"/>
      <c r="R1149" s="68"/>
      <c r="S1149" s="68"/>
      <c r="T1149" s="68"/>
      <c r="U1149" s="68"/>
      <c r="V1149" s="68"/>
      <c r="W1149" s="68"/>
      <c r="X1149" s="68"/>
      <c r="Y1149" s="68"/>
      <c r="Z1149" s="68"/>
      <c r="AA1149" s="68"/>
      <c r="AB1149" s="68"/>
      <c r="AC1149" s="68"/>
      <c r="AD1149" s="68"/>
      <c r="AE1149" s="68"/>
    </row>
    <row r="1150" ht="26.25" customHeight="1">
      <c r="A1150" s="68"/>
      <c r="B1150" s="68"/>
      <c r="C1150" s="61" t="s">
        <v>129</v>
      </c>
      <c r="D1150" s="61" t="s">
        <v>130</v>
      </c>
      <c r="E1150" s="68"/>
      <c r="F1150" s="68"/>
      <c r="G1150" s="68"/>
      <c r="H1150" s="68"/>
      <c r="I1150" s="68"/>
      <c r="J1150" s="78"/>
      <c r="K1150" s="68"/>
      <c r="L1150" s="68"/>
      <c r="M1150" s="68"/>
      <c r="N1150" s="68"/>
      <c r="O1150" s="68"/>
      <c r="P1150" s="68"/>
      <c r="Q1150" s="68"/>
      <c r="R1150" s="68"/>
      <c r="S1150" s="68"/>
      <c r="T1150" s="68"/>
      <c r="U1150" s="68"/>
      <c r="V1150" s="68"/>
      <c r="W1150" s="68"/>
      <c r="X1150" s="68"/>
      <c r="Y1150" s="68"/>
      <c r="Z1150" s="68"/>
      <c r="AA1150" s="68"/>
      <c r="AB1150" s="68"/>
      <c r="AC1150" s="68"/>
      <c r="AD1150" s="68"/>
      <c r="AE1150" s="68"/>
    </row>
    <row r="1151" ht="26.25" customHeight="1">
      <c r="A1151" s="68"/>
      <c r="B1151" s="68"/>
      <c r="C1151" s="61" t="s">
        <v>129</v>
      </c>
      <c r="D1151" s="61" t="s">
        <v>130</v>
      </c>
      <c r="E1151" s="68"/>
      <c r="F1151" s="68"/>
      <c r="G1151" s="68"/>
      <c r="H1151" s="68"/>
      <c r="I1151" s="68"/>
      <c r="J1151" s="78"/>
      <c r="K1151" s="68"/>
      <c r="L1151" s="68"/>
      <c r="M1151" s="68"/>
      <c r="N1151" s="68"/>
      <c r="O1151" s="68"/>
      <c r="P1151" s="68"/>
      <c r="Q1151" s="68"/>
      <c r="R1151" s="68"/>
      <c r="S1151" s="68"/>
      <c r="T1151" s="68"/>
      <c r="U1151" s="68"/>
      <c r="V1151" s="68"/>
      <c r="W1151" s="68"/>
      <c r="X1151" s="68"/>
      <c r="Y1151" s="68"/>
      <c r="Z1151" s="68"/>
      <c r="AA1151" s="68"/>
      <c r="AB1151" s="68"/>
      <c r="AC1151" s="68"/>
      <c r="AD1151" s="68"/>
      <c r="AE1151" s="68"/>
    </row>
    <row r="1152" ht="26.25" customHeight="1">
      <c r="A1152" s="68"/>
      <c r="B1152" s="68"/>
      <c r="C1152" s="61" t="s">
        <v>129</v>
      </c>
      <c r="D1152" s="61" t="s">
        <v>130</v>
      </c>
      <c r="E1152" s="68"/>
      <c r="F1152" s="68"/>
      <c r="G1152" s="68"/>
      <c r="H1152" s="68"/>
      <c r="I1152" s="68"/>
      <c r="J1152" s="78"/>
      <c r="K1152" s="68"/>
      <c r="L1152" s="68"/>
      <c r="M1152" s="68"/>
      <c r="N1152" s="68"/>
      <c r="O1152" s="68"/>
      <c r="P1152" s="68"/>
      <c r="Q1152" s="68"/>
      <c r="R1152" s="68"/>
      <c r="S1152" s="68"/>
      <c r="T1152" s="68"/>
      <c r="U1152" s="68"/>
      <c r="V1152" s="68"/>
      <c r="W1152" s="68"/>
      <c r="X1152" s="68"/>
      <c r="Y1152" s="68"/>
      <c r="Z1152" s="68"/>
      <c r="AA1152" s="68"/>
      <c r="AB1152" s="68"/>
      <c r="AC1152" s="68"/>
      <c r="AD1152" s="68"/>
      <c r="AE1152" s="68"/>
    </row>
    <row r="1153" ht="26.25" customHeight="1">
      <c r="A1153" s="68"/>
      <c r="B1153" s="68"/>
      <c r="C1153" s="61" t="s">
        <v>129</v>
      </c>
      <c r="D1153" s="61" t="s">
        <v>130</v>
      </c>
      <c r="E1153" s="68"/>
      <c r="F1153" s="68"/>
      <c r="G1153" s="68"/>
      <c r="H1153" s="68"/>
      <c r="I1153" s="68"/>
      <c r="J1153" s="78"/>
      <c r="K1153" s="68"/>
      <c r="L1153" s="68"/>
      <c r="M1153" s="68"/>
      <c r="N1153" s="68"/>
      <c r="O1153" s="68"/>
      <c r="P1153" s="68"/>
      <c r="Q1153" s="68"/>
      <c r="R1153" s="68"/>
      <c r="S1153" s="68"/>
      <c r="T1153" s="68"/>
      <c r="U1153" s="68"/>
      <c r="V1153" s="68"/>
      <c r="W1153" s="68"/>
      <c r="X1153" s="68"/>
      <c r="Y1153" s="68"/>
      <c r="Z1153" s="68"/>
      <c r="AA1153" s="68"/>
      <c r="AB1153" s="68"/>
      <c r="AC1153" s="68"/>
      <c r="AD1153" s="68"/>
      <c r="AE1153" s="68"/>
    </row>
    <row r="1154" ht="26.25" customHeight="1">
      <c r="A1154" s="68"/>
      <c r="B1154" s="68"/>
      <c r="C1154" s="61" t="s">
        <v>129</v>
      </c>
      <c r="D1154" s="61" t="s">
        <v>130</v>
      </c>
      <c r="E1154" s="68"/>
      <c r="F1154" s="68"/>
      <c r="G1154" s="68"/>
      <c r="H1154" s="68"/>
      <c r="I1154" s="68"/>
      <c r="J1154" s="78"/>
      <c r="K1154" s="68"/>
      <c r="L1154" s="68"/>
      <c r="M1154" s="68"/>
      <c r="N1154" s="68"/>
      <c r="O1154" s="68"/>
      <c r="P1154" s="68"/>
      <c r="Q1154" s="68"/>
      <c r="R1154" s="68"/>
      <c r="S1154" s="68"/>
      <c r="T1154" s="68"/>
      <c r="U1154" s="68"/>
      <c r="V1154" s="68"/>
      <c r="W1154" s="68"/>
      <c r="X1154" s="68"/>
      <c r="Y1154" s="68"/>
      <c r="Z1154" s="68"/>
      <c r="AA1154" s="68"/>
      <c r="AB1154" s="68"/>
      <c r="AC1154" s="68"/>
      <c r="AD1154" s="68"/>
      <c r="AE1154" s="68"/>
    </row>
    <row r="1155" ht="26.25" customHeight="1">
      <c r="A1155" s="68"/>
      <c r="B1155" s="68"/>
      <c r="C1155" s="61" t="s">
        <v>129</v>
      </c>
      <c r="D1155" s="61" t="s">
        <v>130</v>
      </c>
      <c r="E1155" s="68"/>
      <c r="F1155" s="68"/>
      <c r="G1155" s="68"/>
      <c r="H1155" s="68"/>
      <c r="I1155" s="68"/>
      <c r="J1155" s="78"/>
      <c r="K1155" s="68"/>
      <c r="L1155" s="68"/>
      <c r="M1155" s="68"/>
      <c r="N1155" s="68"/>
      <c r="O1155" s="68"/>
      <c r="P1155" s="68"/>
      <c r="Q1155" s="68"/>
      <c r="R1155" s="68"/>
      <c r="S1155" s="68"/>
      <c r="T1155" s="68"/>
      <c r="U1155" s="68"/>
      <c r="V1155" s="68"/>
      <c r="W1155" s="68"/>
      <c r="X1155" s="68"/>
      <c r="Y1155" s="68"/>
      <c r="Z1155" s="68"/>
      <c r="AA1155" s="68"/>
      <c r="AB1155" s="68"/>
      <c r="AC1155" s="68"/>
      <c r="AD1155" s="68"/>
      <c r="AE1155" s="68"/>
    </row>
    <row r="1156" ht="26.25" customHeight="1">
      <c r="A1156" s="68"/>
      <c r="B1156" s="68"/>
      <c r="C1156" s="61" t="s">
        <v>129</v>
      </c>
      <c r="D1156" s="61" t="s">
        <v>130</v>
      </c>
      <c r="E1156" s="68"/>
      <c r="F1156" s="68"/>
      <c r="G1156" s="68"/>
      <c r="H1156" s="68"/>
      <c r="I1156" s="68"/>
      <c r="J1156" s="78"/>
      <c r="K1156" s="68"/>
      <c r="L1156" s="68"/>
      <c r="M1156" s="68"/>
      <c r="N1156" s="68"/>
      <c r="O1156" s="68"/>
      <c r="P1156" s="68"/>
      <c r="Q1156" s="68"/>
      <c r="R1156" s="68"/>
      <c r="S1156" s="68"/>
      <c r="T1156" s="68"/>
      <c r="U1156" s="68"/>
      <c r="V1156" s="68"/>
      <c r="W1156" s="68"/>
      <c r="X1156" s="68"/>
      <c r="Y1156" s="68"/>
      <c r="Z1156" s="68"/>
      <c r="AA1156" s="68"/>
      <c r="AB1156" s="68"/>
      <c r="AC1156" s="68"/>
      <c r="AD1156" s="68"/>
      <c r="AE1156" s="68"/>
    </row>
    <row r="1157" ht="26.25" customHeight="1">
      <c r="A1157" s="68"/>
      <c r="B1157" s="68"/>
      <c r="C1157" s="61" t="s">
        <v>129</v>
      </c>
      <c r="D1157" s="61" t="s">
        <v>130</v>
      </c>
      <c r="E1157" s="68"/>
      <c r="F1157" s="68"/>
      <c r="G1157" s="68"/>
      <c r="H1157" s="68"/>
      <c r="I1157" s="68"/>
      <c r="J1157" s="78"/>
      <c r="K1157" s="68"/>
      <c r="L1157" s="68"/>
      <c r="M1157" s="68"/>
      <c r="N1157" s="68"/>
      <c r="O1157" s="68"/>
      <c r="P1157" s="68"/>
      <c r="Q1157" s="68"/>
      <c r="R1157" s="68"/>
      <c r="S1157" s="68"/>
      <c r="T1157" s="68"/>
      <c r="U1157" s="68"/>
      <c r="V1157" s="68"/>
      <c r="W1157" s="68"/>
      <c r="X1157" s="68"/>
      <c r="Y1157" s="68"/>
      <c r="Z1157" s="68"/>
      <c r="AA1157" s="68"/>
      <c r="AB1157" s="68"/>
      <c r="AC1157" s="68"/>
      <c r="AD1157" s="68"/>
      <c r="AE1157" s="68"/>
    </row>
    <row r="1158" ht="26.25" customHeight="1">
      <c r="A1158" s="68"/>
      <c r="B1158" s="68"/>
      <c r="C1158" s="61" t="s">
        <v>129</v>
      </c>
      <c r="D1158" s="61" t="s">
        <v>130</v>
      </c>
      <c r="E1158" s="68"/>
      <c r="F1158" s="68"/>
      <c r="G1158" s="68"/>
      <c r="H1158" s="68"/>
      <c r="I1158" s="68"/>
      <c r="J1158" s="78"/>
      <c r="K1158" s="68"/>
      <c r="L1158" s="68"/>
      <c r="M1158" s="68"/>
      <c r="N1158" s="68"/>
      <c r="O1158" s="68"/>
      <c r="P1158" s="68"/>
      <c r="Q1158" s="68"/>
      <c r="R1158" s="68"/>
      <c r="S1158" s="68"/>
      <c r="T1158" s="68"/>
      <c r="U1158" s="68"/>
      <c r="V1158" s="68"/>
      <c r="W1158" s="68"/>
      <c r="X1158" s="68"/>
      <c r="Y1158" s="68"/>
      <c r="Z1158" s="68"/>
      <c r="AA1158" s="68"/>
      <c r="AB1158" s="68"/>
      <c r="AC1158" s="68"/>
      <c r="AD1158" s="68"/>
      <c r="AE1158" s="68"/>
    </row>
    <row r="1159" ht="26.25" customHeight="1">
      <c r="A1159" s="68"/>
      <c r="B1159" s="68"/>
      <c r="C1159" s="61" t="s">
        <v>129</v>
      </c>
      <c r="D1159" s="61" t="s">
        <v>130</v>
      </c>
      <c r="E1159" s="68"/>
      <c r="F1159" s="68"/>
      <c r="G1159" s="68"/>
      <c r="H1159" s="68"/>
      <c r="I1159" s="68"/>
      <c r="J1159" s="78"/>
      <c r="K1159" s="68"/>
      <c r="L1159" s="68"/>
      <c r="M1159" s="68"/>
      <c r="N1159" s="68"/>
      <c r="O1159" s="68"/>
      <c r="P1159" s="68"/>
      <c r="Q1159" s="68"/>
      <c r="R1159" s="68"/>
      <c r="S1159" s="68"/>
      <c r="T1159" s="68"/>
      <c r="U1159" s="68"/>
      <c r="V1159" s="68"/>
      <c r="W1159" s="68"/>
      <c r="X1159" s="68"/>
      <c r="Y1159" s="68"/>
      <c r="Z1159" s="68"/>
      <c r="AA1159" s="68"/>
      <c r="AB1159" s="68"/>
      <c r="AC1159" s="68"/>
      <c r="AD1159" s="68"/>
      <c r="AE1159" s="68"/>
    </row>
    <row r="1160" ht="26.25" customHeight="1">
      <c r="A1160" s="68"/>
      <c r="B1160" s="68"/>
      <c r="C1160" s="61" t="s">
        <v>129</v>
      </c>
      <c r="D1160" s="61" t="s">
        <v>130</v>
      </c>
      <c r="E1160" s="68"/>
      <c r="F1160" s="68"/>
      <c r="G1160" s="68"/>
      <c r="H1160" s="68"/>
      <c r="I1160" s="68"/>
      <c r="J1160" s="78"/>
      <c r="K1160" s="68"/>
      <c r="L1160" s="68"/>
      <c r="M1160" s="68"/>
      <c r="N1160" s="68"/>
      <c r="O1160" s="68"/>
      <c r="P1160" s="68"/>
      <c r="Q1160" s="68"/>
      <c r="R1160" s="68"/>
      <c r="S1160" s="68"/>
      <c r="T1160" s="68"/>
      <c r="U1160" s="68"/>
      <c r="V1160" s="68"/>
      <c r="W1160" s="68"/>
      <c r="X1160" s="68"/>
      <c r="Y1160" s="68"/>
      <c r="Z1160" s="68"/>
      <c r="AA1160" s="68"/>
      <c r="AB1160" s="68"/>
      <c r="AC1160" s="68"/>
      <c r="AD1160" s="68"/>
      <c r="AE1160" s="68"/>
    </row>
    <row r="1161" ht="26.25" customHeight="1">
      <c r="A1161" s="68"/>
      <c r="B1161" s="68"/>
      <c r="C1161" s="61" t="s">
        <v>129</v>
      </c>
      <c r="D1161" s="61" t="s">
        <v>130</v>
      </c>
      <c r="E1161" s="68"/>
      <c r="F1161" s="68"/>
      <c r="G1161" s="68"/>
      <c r="H1161" s="68"/>
      <c r="I1161" s="68"/>
      <c r="J1161" s="78"/>
      <c r="K1161" s="68"/>
      <c r="L1161" s="68"/>
      <c r="M1161" s="68"/>
      <c r="N1161" s="68"/>
      <c r="O1161" s="68"/>
      <c r="P1161" s="68"/>
      <c r="Q1161" s="68"/>
      <c r="R1161" s="68"/>
      <c r="S1161" s="68"/>
      <c r="T1161" s="68"/>
      <c r="U1161" s="68"/>
      <c r="V1161" s="68"/>
      <c r="W1161" s="68"/>
      <c r="X1161" s="68"/>
      <c r="Y1161" s="68"/>
      <c r="Z1161" s="68"/>
      <c r="AA1161" s="68"/>
      <c r="AB1161" s="68"/>
      <c r="AC1161" s="68"/>
      <c r="AD1161" s="68"/>
      <c r="AE1161" s="68"/>
    </row>
    <row r="1162" ht="26.25" customHeight="1">
      <c r="A1162" s="68"/>
      <c r="B1162" s="68"/>
      <c r="C1162" s="61" t="s">
        <v>129</v>
      </c>
      <c r="D1162" s="61" t="s">
        <v>130</v>
      </c>
      <c r="E1162" s="68"/>
      <c r="F1162" s="68"/>
      <c r="G1162" s="68"/>
      <c r="H1162" s="68"/>
      <c r="I1162" s="68"/>
      <c r="J1162" s="78"/>
      <c r="K1162" s="68"/>
      <c r="L1162" s="68"/>
      <c r="M1162" s="68"/>
      <c r="N1162" s="68"/>
      <c r="O1162" s="68"/>
      <c r="P1162" s="68"/>
      <c r="Q1162" s="68"/>
      <c r="R1162" s="68"/>
      <c r="S1162" s="68"/>
      <c r="T1162" s="68"/>
      <c r="U1162" s="68"/>
      <c r="V1162" s="68"/>
      <c r="W1162" s="68"/>
      <c r="X1162" s="68"/>
      <c r="Y1162" s="68"/>
      <c r="Z1162" s="68"/>
      <c r="AA1162" s="68"/>
      <c r="AB1162" s="68"/>
      <c r="AC1162" s="68"/>
      <c r="AD1162" s="68"/>
      <c r="AE1162" s="68"/>
    </row>
    <row r="1163" ht="26.25" customHeight="1">
      <c r="A1163" s="68"/>
      <c r="B1163" s="68"/>
      <c r="C1163" s="61" t="s">
        <v>129</v>
      </c>
      <c r="D1163" s="61" t="s">
        <v>130</v>
      </c>
      <c r="E1163" s="68"/>
      <c r="F1163" s="68"/>
      <c r="G1163" s="68"/>
      <c r="H1163" s="68"/>
      <c r="I1163" s="68"/>
      <c r="J1163" s="78"/>
      <c r="K1163" s="68"/>
      <c r="L1163" s="68"/>
      <c r="M1163" s="68"/>
      <c r="N1163" s="68"/>
      <c r="O1163" s="68"/>
      <c r="P1163" s="68"/>
      <c r="Q1163" s="68"/>
      <c r="R1163" s="68"/>
      <c r="S1163" s="68"/>
      <c r="T1163" s="68"/>
      <c r="U1163" s="68"/>
      <c r="V1163" s="68"/>
      <c r="W1163" s="68"/>
      <c r="X1163" s="68"/>
      <c r="Y1163" s="68"/>
      <c r="Z1163" s="68"/>
      <c r="AA1163" s="68"/>
      <c r="AB1163" s="68"/>
      <c r="AC1163" s="68"/>
      <c r="AD1163" s="68"/>
      <c r="AE1163" s="68"/>
    </row>
    <row r="1164" ht="26.25" customHeight="1">
      <c r="A1164" s="68"/>
      <c r="B1164" s="68"/>
      <c r="C1164" s="61" t="s">
        <v>129</v>
      </c>
      <c r="D1164" s="61" t="s">
        <v>130</v>
      </c>
      <c r="E1164" s="68"/>
      <c r="F1164" s="68"/>
      <c r="G1164" s="68"/>
      <c r="H1164" s="68"/>
      <c r="I1164" s="68"/>
      <c r="J1164" s="78"/>
      <c r="K1164" s="68"/>
      <c r="L1164" s="68"/>
      <c r="M1164" s="68"/>
      <c r="N1164" s="68"/>
      <c r="O1164" s="68"/>
      <c r="P1164" s="68"/>
      <c r="Q1164" s="68"/>
      <c r="R1164" s="68"/>
      <c r="S1164" s="68"/>
      <c r="T1164" s="68"/>
      <c r="U1164" s="68"/>
      <c r="V1164" s="68"/>
      <c r="W1164" s="68"/>
      <c r="X1164" s="68"/>
      <c r="Y1164" s="68"/>
      <c r="Z1164" s="68"/>
      <c r="AA1164" s="68"/>
      <c r="AB1164" s="68"/>
      <c r="AC1164" s="68"/>
      <c r="AD1164" s="68"/>
      <c r="AE1164" s="68"/>
    </row>
    <row r="1165" ht="26.25" customHeight="1">
      <c r="A1165" s="68"/>
      <c r="B1165" s="68"/>
      <c r="C1165" s="61" t="s">
        <v>129</v>
      </c>
      <c r="D1165" s="61" t="s">
        <v>130</v>
      </c>
      <c r="E1165" s="68"/>
      <c r="F1165" s="68"/>
      <c r="G1165" s="68"/>
      <c r="H1165" s="68"/>
      <c r="I1165" s="68"/>
      <c r="J1165" s="78"/>
      <c r="K1165" s="68"/>
      <c r="L1165" s="68"/>
      <c r="M1165" s="68"/>
      <c r="N1165" s="68"/>
      <c r="O1165" s="68"/>
      <c r="P1165" s="68"/>
      <c r="Q1165" s="68"/>
      <c r="R1165" s="68"/>
      <c r="S1165" s="68"/>
      <c r="T1165" s="68"/>
      <c r="U1165" s="68"/>
      <c r="V1165" s="68"/>
      <c r="W1165" s="68"/>
      <c r="X1165" s="68"/>
      <c r="Y1165" s="68"/>
      <c r="Z1165" s="68"/>
      <c r="AA1165" s="68"/>
      <c r="AB1165" s="68"/>
      <c r="AC1165" s="68"/>
      <c r="AD1165" s="68"/>
      <c r="AE1165" s="68"/>
    </row>
    <row r="1166" ht="26.25" customHeight="1">
      <c r="A1166" s="68"/>
      <c r="B1166" s="68"/>
      <c r="C1166" s="61" t="s">
        <v>129</v>
      </c>
      <c r="D1166" s="61" t="s">
        <v>130</v>
      </c>
      <c r="E1166" s="68"/>
      <c r="F1166" s="68"/>
      <c r="G1166" s="68"/>
      <c r="H1166" s="68"/>
      <c r="I1166" s="68"/>
      <c r="J1166" s="78"/>
      <c r="K1166" s="68"/>
      <c r="L1166" s="68"/>
      <c r="M1166" s="68"/>
      <c r="N1166" s="68"/>
      <c r="O1166" s="68"/>
      <c r="P1166" s="68"/>
      <c r="Q1166" s="68"/>
      <c r="R1166" s="68"/>
      <c r="S1166" s="68"/>
      <c r="T1166" s="68"/>
      <c r="U1166" s="68"/>
      <c r="V1166" s="68"/>
      <c r="W1166" s="68"/>
      <c r="X1166" s="68"/>
      <c r="Y1166" s="68"/>
      <c r="Z1166" s="68"/>
      <c r="AA1166" s="68"/>
      <c r="AB1166" s="68"/>
      <c r="AC1166" s="68"/>
      <c r="AD1166" s="68"/>
      <c r="AE1166" s="68"/>
    </row>
    <row r="1167" ht="26.25" customHeight="1">
      <c r="A1167" s="68"/>
      <c r="B1167" s="68"/>
      <c r="C1167" s="61" t="s">
        <v>129</v>
      </c>
      <c r="D1167" s="61" t="s">
        <v>130</v>
      </c>
      <c r="E1167" s="68"/>
      <c r="F1167" s="68"/>
      <c r="G1167" s="68"/>
      <c r="H1167" s="68"/>
      <c r="I1167" s="68"/>
      <c r="J1167" s="78"/>
      <c r="K1167" s="68"/>
      <c r="L1167" s="68"/>
      <c r="M1167" s="68"/>
      <c r="N1167" s="68"/>
      <c r="O1167" s="68"/>
      <c r="P1167" s="68"/>
      <c r="Q1167" s="68"/>
      <c r="R1167" s="68"/>
      <c r="S1167" s="68"/>
      <c r="T1167" s="68"/>
      <c r="U1167" s="68"/>
      <c r="V1167" s="68"/>
      <c r="W1167" s="68"/>
      <c r="X1167" s="68"/>
      <c r="Y1167" s="68"/>
      <c r="Z1167" s="68"/>
      <c r="AA1167" s="68"/>
      <c r="AB1167" s="68"/>
      <c r="AC1167" s="68"/>
      <c r="AD1167" s="68"/>
      <c r="AE1167" s="68"/>
    </row>
    <row r="1168" ht="26.25" customHeight="1">
      <c r="A1168" s="68"/>
      <c r="B1168" s="68"/>
      <c r="C1168" s="61" t="s">
        <v>129</v>
      </c>
      <c r="D1168" s="61" t="s">
        <v>130</v>
      </c>
      <c r="E1168" s="68"/>
      <c r="F1168" s="68"/>
      <c r="G1168" s="68"/>
      <c r="H1168" s="68"/>
      <c r="I1168" s="68"/>
      <c r="J1168" s="78"/>
      <c r="K1168" s="68"/>
      <c r="L1168" s="68"/>
      <c r="M1168" s="68"/>
      <c r="N1168" s="68"/>
      <c r="O1168" s="68"/>
      <c r="P1168" s="68"/>
      <c r="Q1168" s="68"/>
      <c r="R1168" s="68"/>
      <c r="S1168" s="68"/>
      <c r="T1168" s="68"/>
      <c r="U1168" s="68"/>
      <c r="V1168" s="68"/>
      <c r="W1168" s="68"/>
      <c r="X1168" s="68"/>
      <c r="Y1168" s="68"/>
      <c r="Z1168" s="68"/>
      <c r="AA1168" s="68"/>
      <c r="AB1168" s="68"/>
      <c r="AC1168" s="68"/>
      <c r="AD1168" s="68"/>
      <c r="AE1168" s="68"/>
    </row>
    <row r="1169" ht="26.25" customHeight="1">
      <c r="A1169" s="68"/>
      <c r="B1169" s="68"/>
      <c r="C1169" s="61" t="s">
        <v>129</v>
      </c>
      <c r="D1169" s="61" t="s">
        <v>130</v>
      </c>
      <c r="E1169" s="68"/>
      <c r="F1169" s="68"/>
      <c r="G1169" s="68"/>
      <c r="H1169" s="68"/>
      <c r="I1169" s="68"/>
      <c r="J1169" s="78"/>
      <c r="K1169" s="68"/>
      <c r="L1169" s="68"/>
      <c r="M1169" s="68"/>
      <c r="N1169" s="68"/>
      <c r="O1169" s="68"/>
      <c r="P1169" s="68"/>
      <c r="Q1169" s="68"/>
      <c r="R1169" s="68"/>
      <c r="S1169" s="68"/>
      <c r="T1169" s="68"/>
      <c r="U1169" s="68"/>
      <c r="V1169" s="68"/>
      <c r="W1169" s="68"/>
      <c r="X1169" s="68"/>
      <c r="Y1169" s="68"/>
      <c r="Z1169" s="68"/>
      <c r="AA1169" s="68"/>
      <c r="AB1169" s="68"/>
      <c r="AC1169" s="68"/>
      <c r="AD1169" s="68"/>
      <c r="AE1169" s="68"/>
    </row>
    <row r="1170" ht="26.25" customHeight="1">
      <c r="A1170" s="68"/>
      <c r="B1170" s="68"/>
      <c r="C1170" s="61" t="s">
        <v>129</v>
      </c>
      <c r="D1170" s="61" t="s">
        <v>130</v>
      </c>
      <c r="E1170" s="68"/>
      <c r="F1170" s="68"/>
      <c r="G1170" s="68"/>
      <c r="H1170" s="68"/>
      <c r="I1170" s="68"/>
      <c r="J1170" s="78"/>
      <c r="K1170" s="68"/>
      <c r="L1170" s="68"/>
      <c r="M1170" s="68"/>
      <c r="N1170" s="68"/>
      <c r="O1170" s="68"/>
      <c r="P1170" s="68"/>
      <c r="Q1170" s="68"/>
      <c r="R1170" s="68"/>
      <c r="S1170" s="68"/>
      <c r="T1170" s="68"/>
      <c r="U1170" s="68"/>
      <c r="V1170" s="68"/>
      <c r="W1170" s="68"/>
      <c r="X1170" s="68"/>
      <c r="Y1170" s="68"/>
      <c r="Z1170" s="68"/>
      <c r="AA1170" s="68"/>
      <c r="AB1170" s="68"/>
      <c r="AC1170" s="68"/>
      <c r="AD1170" s="68"/>
      <c r="AE1170" s="68"/>
    </row>
    <row r="1171" ht="26.25" customHeight="1">
      <c r="A1171" s="68"/>
      <c r="B1171" s="68"/>
      <c r="C1171" s="61" t="s">
        <v>129</v>
      </c>
      <c r="D1171" s="61" t="s">
        <v>130</v>
      </c>
      <c r="E1171" s="68"/>
      <c r="F1171" s="68"/>
      <c r="G1171" s="68"/>
      <c r="H1171" s="68"/>
      <c r="I1171" s="68"/>
      <c r="J1171" s="78"/>
      <c r="K1171" s="68"/>
      <c r="L1171" s="68"/>
      <c r="M1171" s="68"/>
      <c r="N1171" s="68"/>
      <c r="O1171" s="68"/>
      <c r="P1171" s="68"/>
      <c r="Q1171" s="68"/>
      <c r="R1171" s="68"/>
      <c r="S1171" s="68"/>
      <c r="T1171" s="68"/>
      <c r="U1171" s="68"/>
      <c r="V1171" s="68"/>
      <c r="W1171" s="68"/>
      <c r="X1171" s="68"/>
      <c r="Y1171" s="68"/>
      <c r="Z1171" s="68"/>
      <c r="AA1171" s="68"/>
      <c r="AB1171" s="68"/>
      <c r="AC1171" s="68"/>
      <c r="AD1171" s="68"/>
      <c r="AE1171" s="68"/>
    </row>
    <row r="1172" ht="26.25" customHeight="1">
      <c r="A1172" s="68"/>
      <c r="B1172" s="68"/>
      <c r="C1172" s="61" t="s">
        <v>129</v>
      </c>
      <c r="D1172" s="61" t="s">
        <v>130</v>
      </c>
      <c r="E1172" s="68"/>
      <c r="F1172" s="68"/>
      <c r="G1172" s="68"/>
      <c r="H1172" s="68"/>
      <c r="I1172" s="68"/>
      <c r="J1172" s="78"/>
      <c r="K1172" s="68"/>
      <c r="L1172" s="68"/>
      <c r="M1172" s="68"/>
      <c r="N1172" s="68"/>
      <c r="O1172" s="68"/>
      <c r="P1172" s="68"/>
      <c r="Q1172" s="68"/>
      <c r="R1172" s="68"/>
      <c r="S1172" s="68"/>
      <c r="T1172" s="68"/>
      <c r="U1172" s="68"/>
      <c r="V1172" s="68"/>
      <c r="W1172" s="68"/>
      <c r="X1172" s="68"/>
      <c r="Y1172" s="68"/>
      <c r="Z1172" s="68"/>
      <c r="AA1172" s="68"/>
      <c r="AB1172" s="68"/>
      <c r="AC1172" s="68"/>
      <c r="AD1172" s="68"/>
      <c r="AE1172" s="68"/>
    </row>
    <row r="1173" ht="26.25" customHeight="1">
      <c r="A1173" s="68"/>
      <c r="B1173" s="68"/>
      <c r="C1173" s="61" t="s">
        <v>129</v>
      </c>
      <c r="D1173" s="61" t="s">
        <v>130</v>
      </c>
      <c r="E1173" s="68"/>
      <c r="F1173" s="68"/>
      <c r="G1173" s="68"/>
      <c r="H1173" s="68"/>
      <c r="I1173" s="68"/>
      <c r="J1173" s="78"/>
      <c r="K1173" s="68"/>
      <c r="L1173" s="68"/>
      <c r="M1173" s="68"/>
      <c r="N1173" s="68"/>
      <c r="O1173" s="68"/>
      <c r="P1173" s="68"/>
      <c r="Q1173" s="68"/>
      <c r="R1173" s="68"/>
      <c r="S1173" s="68"/>
      <c r="T1173" s="68"/>
      <c r="U1173" s="68"/>
      <c r="V1173" s="68"/>
      <c r="W1173" s="68"/>
      <c r="X1173" s="68"/>
      <c r="Y1173" s="68"/>
      <c r="Z1173" s="68"/>
      <c r="AA1173" s="68"/>
      <c r="AB1173" s="68"/>
      <c r="AC1173" s="68"/>
      <c r="AD1173" s="68"/>
      <c r="AE1173" s="68"/>
    </row>
    <row r="1174" ht="26.25" customHeight="1">
      <c r="A1174" s="68"/>
      <c r="B1174" s="68"/>
      <c r="C1174" s="61" t="s">
        <v>129</v>
      </c>
      <c r="D1174" s="61" t="s">
        <v>130</v>
      </c>
      <c r="E1174" s="68"/>
      <c r="F1174" s="68"/>
      <c r="G1174" s="68"/>
      <c r="H1174" s="68"/>
      <c r="I1174" s="68"/>
      <c r="J1174" s="78"/>
      <c r="K1174" s="68"/>
      <c r="L1174" s="68"/>
      <c r="M1174" s="68"/>
      <c r="N1174" s="68"/>
      <c r="O1174" s="68"/>
      <c r="P1174" s="68"/>
      <c r="Q1174" s="68"/>
      <c r="R1174" s="68"/>
      <c r="S1174" s="68"/>
      <c r="T1174" s="68"/>
      <c r="U1174" s="68"/>
      <c r="V1174" s="68"/>
      <c r="W1174" s="68"/>
      <c r="X1174" s="68"/>
      <c r="Y1174" s="68"/>
      <c r="Z1174" s="68"/>
      <c r="AA1174" s="68"/>
      <c r="AB1174" s="68"/>
      <c r="AC1174" s="68"/>
      <c r="AD1174" s="68"/>
      <c r="AE1174" s="68"/>
    </row>
    <row r="1175" ht="26.25" customHeight="1">
      <c r="A1175" s="68"/>
      <c r="B1175" s="68"/>
      <c r="C1175" s="61" t="s">
        <v>129</v>
      </c>
      <c r="D1175" s="61" t="s">
        <v>130</v>
      </c>
      <c r="E1175" s="68"/>
      <c r="F1175" s="68"/>
      <c r="G1175" s="68"/>
      <c r="H1175" s="68"/>
      <c r="I1175" s="68"/>
      <c r="J1175" s="78"/>
      <c r="K1175" s="68"/>
      <c r="L1175" s="68"/>
      <c r="M1175" s="68"/>
      <c r="N1175" s="68"/>
      <c r="O1175" s="68"/>
      <c r="P1175" s="68"/>
      <c r="Q1175" s="68"/>
      <c r="R1175" s="68"/>
      <c r="S1175" s="68"/>
      <c r="T1175" s="68"/>
      <c r="U1175" s="68"/>
      <c r="V1175" s="68"/>
      <c r="W1175" s="68"/>
      <c r="X1175" s="68"/>
      <c r="Y1175" s="68"/>
      <c r="Z1175" s="68"/>
      <c r="AA1175" s="68"/>
      <c r="AB1175" s="68"/>
      <c r="AC1175" s="68"/>
      <c r="AD1175" s="68"/>
      <c r="AE1175" s="68"/>
    </row>
    <row r="1176" ht="26.25" customHeight="1">
      <c r="A1176" s="68"/>
      <c r="B1176" s="68"/>
      <c r="C1176" s="61" t="s">
        <v>129</v>
      </c>
      <c r="D1176" s="61" t="s">
        <v>130</v>
      </c>
      <c r="E1176" s="68"/>
      <c r="F1176" s="68"/>
      <c r="G1176" s="68"/>
      <c r="H1176" s="68"/>
      <c r="I1176" s="68"/>
      <c r="J1176" s="78"/>
      <c r="K1176" s="68"/>
      <c r="L1176" s="68"/>
      <c r="M1176" s="68"/>
      <c r="N1176" s="68"/>
      <c r="O1176" s="68"/>
      <c r="P1176" s="68"/>
      <c r="Q1176" s="68"/>
      <c r="R1176" s="68"/>
      <c r="S1176" s="68"/>
      <c r="T1176" s="68"/>
      <c r="U1176" s="68"/>
      <c r="V1176" s="68"/>
      <c r="W1176" s="68"/>
      <c r="X1176" s="68"/>
      <c r="Y1176" s="68"/>
      <c r="Z1176" s="68"/>
      <c r="AA1176" s="68"/>
      <c r="AB1176" s="68"/>
      <c r="AC1176" s="68"/>
      <c r="AD1176" s="68"/>
      <c r="AE1176" s="68"/>
    </row>
    <row r="1177" ht="26.25" customHeight="1">
      <c r="A1177" s="68"/>
      <c r="B1177" s="68"/>
      <c r="C1177" s="61" t="s">
        <v>129</v>
      </c>
      <c r="D1177" s="61" t="s">
        <v>130</v>
      </c>
      <c r="E1177" s="68"/>
      <c r="F1177" s="68"/>
      <c r="G1177" s="68"/>
      <c r="H1177" s="68"/>
      <c r="I1177" s="68"/>
      <c r="J1177" s="78"/>
      <c r="K1177" s="68"/>
      <c r="L1177" s="68"/>
      <c r="M1177" s="68"/>
      <c r="N1177" s="68"/>
      <c r="O1177" s="68"/>
      <c r="P1177" s="68"/>
      <c r="Q1177" s="68"/>
      <c r="R1177" s="68"/>
      <c r="S1177" s="68"/>
      <c r="T1177" s="68"/>
      <c r="U1177" s="68"/>
      <c r="V1177" s="68"/>
      <c r="W1177" s="68"/>
      <c r="X1177" s="68"/>
      <c r="Y1177" s="68"/>
      <c r="Z1177" s="68"/>
      <c r="AA1177" s="68"/>
      <c r="AB1177" s="68"/>
      <c r="AC1177" s="68"/>
      <c r="AD1177" s="68"/>
      <c r="AE1177" s="68"/>
    </row>
    <row r="1178" ht="26.25" customHeight="1">
      <c r="A1178" s="68"/>
      <c r="B1178" s="68"/>
      <c r="C1178" s="61" t="s">
        <v>129</v>
      </c>
      <c r="D1178" s="61" t="s">
        <v>130</v>
      </c>
      <c r="E1178" s="68"/>
      <c r="F1178" s="68"/>
      <c r="G1178" s="68"/>
      <c r="H1178" s="68"/>
      <c r="I1178" s="68"/>
      <c r="J1178" s="78"/>
      <c r="K1178" s="68"/>
      <c r="L1178" s="68"/>
      <c r="M1178" s="68"/>
      <c r="N1178" s="68"/>
      <c r="O1178" s="68"/>
      <c r="P1178" s="68"/>
      <c r="Q1178" s="68"/>
      <c r="R1178" s="68"/>
      <c r="S1178" s="68"/>
      <c r="T1178" s="68"/>
      <c r="U1178" s="68"/>
      <c r="V1178" s="68"/>
      <c r="W1178" s="68"/>
      <c r="X1178" s="68"/>
      <c r="Y1178" s="68"/>
      <c r="Z1178" s="68"/>
      <c r="AA1178" s="68"/>
      <c r="AB1178" s="68"/>
      <c r="AC1178" s="68"/>
      <c r="AD1178" s="68"/>
      <c r="AE1178" s="68"/>
    </row>
    <row r="1179" ht="26.25" customHeight="1">
      <c r="A1179" s="68"/>
      <c r="B1179" s="68"/>
      <c r="C1179" s="61" t="s">
        <v>129</v>
      </c>
      <c r="D1179" s="61" t="s">
        <v>130</v>
      </c>
      <c r="E1179" s="68"/>
      <c r="F1179" s="68"/>
      <c r="G1179" s="68"/>
      <c r="H1179" s="68"/>
      <c r="I1179" s="68"/>
      <c r="J1179" s="78"/>
      <c r="K1179" s="68"/>
      <c r="L1179" s="68"/>
      <c r="M1179" s="68"/>
      <c r="N1179" s="68"/>
      <c r="O1179" s="68"/>
      <c r="P1179" s="68"/>
      <c r="Q1179" s="68"/>
      <c r="R1179" s="68"/>
      <c r="S1179" s="68"/>
      <c r="T1179" s="68"/>
      <c r="U1179" s="68"/>
      <c r="V1179" s="68"/>
      <c r="W1179" s="68"/>
      <c r="X1179" s="68"/>
      <c r="Y1179" s="68"/>
      <c r="Z1179" s="68"/>
      <c r="AA1179" s="68"/>
      <c r="AB1179" s="68"/>
      <c r="AC1179" s="68"/>
      <c r="AD1179" s="68"/>
      <c r="AE1179" s="68"/>
    </row>
    <row r="1180" ht="26.25" customHeight="1">
      <c r="A1180" s="68"/>
      <c r="B1180" s="68"/>
      <c r="C1180" s="61" t="s">
        <v>129</v>
      </c>
      <c r="D1180" s="61" t="s">
        <v>130</v>
      </c>
      <c r="E1180" s="68"/>
      <c r="F1180" s="68"/>
      <c r="G1180" s="68"/>
      <c r="H1180" s="68"/>
      <c r="I1180" s="68"/>
      <c r="J1180" s="78"/>
      <c r="K1180" s="68"/>
      <c r="L1180" s="68"/>
      <c r="M1180" s="68"/>
      <c r="N1180" s="68"/>
      <c r="O1180" s="68"/>
      <c r="P1180" s="68"/>
      <c r="Q1180" s="68"/>
      <c r="R1180" s="68"/>
      <c r="S1180" s="68"/>
      <c r="T1180" s="68"/>
      <c r="U1180" s="68"/>
      <c r="V1180" s="68"/>
      <c r="W1180" s="68"/>
      <c r="X1180" s="68"/>
      <c r="Y1180" s="68"/>
      <c r="Z1180" s="68"/>
      <c r="AA1180" s="68"/>
      <c r="AB1180" s="68"/>
      <c r="AC1180" s="68"/>
      <c r="AD1180" s="68"/>
      <c r="AE1180" s="68"/>
    </row>
    <row r="1181" ht="26.25" customHeight="1">
      <c r="A1181" s="68"/>
      <c r="B1181" s="68"/>
      <c r="C1181" s="61" t="s">
        <v>129</v>
      </c>
      <c r="D1181" s="61" t="s">
        <v>130</v>
      </c>
      <c r="E1181" s="68"/>
      <c r="F1181" s="68"/>
      <c r="G1181" s="68"/>
      <c r="H1181" s="68"/>
      <c r="I1181" s="68"/>
      <c r="J1181" s="78"/>
      <c r="K1181" s="68"/>
      <c r="L1181" s="68"/>
      <c r="M1181" s="68"/>
      <c r="N1181" s="68"/>
      <c r="O1181" s="68"/>
      <c r="P1181" s="68"/>
      <c r="Q1181" s="68"/>
      <c r="R1181" s="68"/>
      <c r="S1181" s="68"/>
      <c r="T1181" s="68"/>
      <c r="U1181" s="68"/>
      <c r="V1181" s="68"/>
      <c r="W1181" s="68"/>
      <c r="X1181" s="68"/>
      <c r="Y1181" s="68"/>
      <c r="Z1181" s="68"/>
      <c r="AA1181" s="68"/>
      <c r="AB1181" s="68"/>
      <c r="AC1181" s="68"/>
      <c r="AD1181" s="68"/>
      <c r="AE1181" s="68"/>
    </row>
    <row r="1182" ht="26.25" customHeight="1">
      <c r="A1182" s="68"/>
      <c r="B1182" s="68"/>
      <c r="C1182" s="61" t="s">
        <v>129</v>
      </c>
      <c r="D1182" s="61" t="s">
        <v>130</v>
      </c>
      <c r="E1182" s="68"/>
      <c r="F1182" s="68"/>
      <c r="G1182" s="68"/>
      <c r="H1182" s="68"/>
      <c r="I1182" s="68"/>
      <c r="J1182" s="78"/>
      <c r="K1182" s="68"/>
      <c r="L1182" s="68"/>
      <c r="M1182" s="68"/>
      <c r="N1182" s="68"/>
      <c r="O1182" s="68"/>
      <c r="P1182" s="68"/>
      <c r="Q1182" s="68"/>
      <c r="R1182" s="68"/>
      <c r="S1182" s="68"/>
      <c r="T1182" s="68"/>
      <c r="U1182" s="68"/>
      <c r="V1182" s="68"/>
      <c r="W1182" s="68"/>
      <c r="X1182" s="68"/>
      <c r="Y1182" s="68"/>
      <c r="Z1182" s="68"/>
      <c r="AA1182" s="68"/>
      <c r="AB1182" s="68"/>
      <c r="AC1182" s="68"/>
      <c r="AD1182" s="68"/>
      <c r="AE1182" s="68"/>
    </row>
    <row r="1183" ht="26.25" customHeight="1">
      <c r="A1183" s="68"/>
      <c r="B1183" s="68"/>
      <c r="C1183" s="61" t="s">
        <v>129</v>
      </c>
      <c r="D1183" s="61" t="s">
        <v>130</v>
      </c>
      <c r="E1183" s="68"/>
      <c r="F1183" s="68"/>
      <c r="G1183" s="68"/>
      <c r="H1183" s="68"/>
      <c r="I1183" s="68"/>
      <c r="J1183" s="78"/>
      <c r="K1183" s="68"/>
      <c r="L1183" s="68"/>
      <c r="M1183" s="68"/>
      <c r="N1183" s="68"/>
      <c r="O1183" s="68"/>
      <c r="P1183" s="68"/>
      <c r="Q1183" s="68"/>
      <c r="R1183" s="68"/>
      <c r="S1183" s="68"/>
      <c r="T1183" s="68"/>
      <c r="U1183" s="68"/>
      <c r="V1183" s="68"/>
      <c r="W1183" s="68"/>
      <c r="X1183" s="68"/>
      <c r="Y1183" s="68"/>
      <c r="Z1183" s="68"/>
      <c r="AA1183" s="68"/>
      <c r="AB1183" s="68"/>
      <c r="AC1183" s="68"/>
      <c r="AD1183" s="68"/>
      <c r="AE1183" s="68"/>
    </row>
    <row r="1184" ht="26.25" customHeight="1">
      <c r="A1184" s="68"/>
      <c r="B1184" s="68"/>
      <c r="C1184" s="61" t="s">
        <v>129</v>
      </c>
      <c r="D1184" s="61" t="s">
        <v>130</v>
      </c>
      <c r="E1184" s="68"/>
      <c r="F1184" s="68"/>
      <c r="G1184" s="68"/>
      <c r="H1184" s="68"/>
      <c r="I1184" s="68"/>
      <c r="J1184" s="78"/>
      <c r="K1184" s="68"/>
      <c r="L1184" s="68"/>
      <c r="M1184" s="68"/>
      <c r="N1184" s="68"/>
      <c r="O1184" s="68"/>
      <c r="P1184" s="68"/>
      <c r="Q1184" s="68"/>
      <c r="R1184" s="68"/>
      <c r="S1184" s="68"/>
      <c r="T1184" s="68"/>
      <c r="U1184" s="68"/>
      <c r="V1184" s="68"/>
      <c r="W1184" s="68"/>
      <c r="X1184" s="68"/>
      <c r="Y1184" s="68"/>
      <c r="Z1184" s="68"/>
      <c r="AA1184" s="68"/>
      <c r="AB1184" s="68"/>
      <c r="AC1184" s="68"/>
      <c r="AD1184" s="68"/>
      <c r="AE1184" s="68"/>
    </row>
    <row r="1185" ht="26.25" customHeight="1">
      <c r="A1185" s="68"/>
      <c r="B1185" s="68"/>
      <c r="C1185" s="61" t="s">
        <v>129</v>
      </c>
      <c r="D1185" s="61" t="s">
        <v>130</v>
      </c>
      <c r="E1185" s="68"/>
      <c r="F1185" s="68"/>
      <c r="G1185" s="68"/>
      <c r="H1185" s="68"/>
      <c r="I1185" s="68"/>
      <c r="J1185" s="78"/>
      <c r="K1185" s="68"/>
      <c r="L1185" s="68"/>
      <c r="M1185" s="68"/>
      <c r="N1185" s="68"/>
      <c r="O1185" s="68"/>
      <c r="P1185" s="68"/>
      <c r="Q1185" s="68"/>
      <c r="R1185" s="68"/>
      <c r="S1185" s="68"/>
      <c r="T1185" s="68"/>
      <c r="U1185" s="68"/>
      <c r="V1185" s="68"/>
      <c r="W1185" s="68"/>
      <c r="X1185" s="68"/>
      <c r="Y1185" s="68"/>
      <c r="Z1185" s="68"/>
      <c r="AA1185" s="68"/>
      <c r="AB1185" s="68"/>
      <c r="AC1185" s="68"/>
      <c r="AD1185" s="68"/>
      <c r="AE1185" s="68"/>
    </row>
    <row r="1186" ht="26.25" customHeight="1">
      <c r="A1186" s="68"/>
      <c r="B1186" s="68"/>
      <c r="C1186" s="61" t="s">
        <v>129</v>
      </c>
      <c r="D1186" s="61" t="s">
        <v>130</v>
      </c>
      <c r="E1186" s="68"/>
      <c r="F1186" s="68"/>
      <c r="G1186" s="68"/>
      <c r="H1186" s="68"/>
      <c r="I1186" s="68"/>
      <c r="J1186" s="78"/>
      <c r="K1186" s="68"/>
      <c r="L1186" s="68"/>
      <c r="M1186" s="68"/>
      <c r="N1186" s="68"/>
      <c r="O1186" s="68"/>
      <c r="P1186" s="68"/>
      <c r="Q1186" s="68"/>
      <c r="R1186" s="68"/>
      <c r="S1186" s="68"/>
      <c r="T1186" s="68"/>
      <c r="U1186" s="68"/>
      <c r="V1186" s="68"/>
      <c r="W1186" s="68"/>
      <c r="X1186" s="68"/>
      <c r="Y1186" s="68"/>
      <c r="Z1186" s="68"/>
      <c r="AA1186" s="68"/>
      <c r="AB1186" s="68"/>
      <c r="AC1186" s="68"/>
      <c r="AD1186" s="68"/>
      <c r="AE1186" s="68"/>
    </row>
    <row r="1187" ht="26.25" customHeight="1">
      <c r="A1187" s="68"/>
      <c r="B1187" s="68"/>
      <c r="C1187" s="61" t="s">
        <v>129</v>
      </c>
      <c r="D1187" s="61" t="s">
        <v>130</v>
      </c>
      <c r="E1187" s="68"/>
      <c r="F1187" s="68"/>
      <c r="G1187" s="68"/>
      <c r="H1187" s="68"/>
      <c r="I1187" s="68"/>
      <c r="J1187" s="78"/>
      <c r="K1187" s="68"/>
      <c r="L1187" s="68"/>
      <c r="M1187" s="68"/>
      <c r="N1187" s="68"/>
      <c r="O1187" s="68"/>
      <c r="P1187" s="68"/>
      <c r="Q1187" s="68"/>
      <c r="R1187" s="68"/>
      <c r="S1187" s="68"/>
      <c r="T1187" s="68"/>
      <c r="U1187" s="68"/>
      <c r="V1187" s="68"/>
      <c r="W1187" s="68"/>
      <c r="X1187" s="68"/>
      <c r="Y1187" s="68"/>
      <c r="Z1187" s="68"/>
      <c r="AA1187" s="68"/>
      <c r="AB1187" s="68"/>
      <c r="AC1187" s="68"/>
      <c r="AD1187" s="68"/>
      <c r="AE1187" s="68"/>
    </row>
    <row r="1188" ht="26.25" customHeight="1">
      <c r="A1188" s="68"/>
      <c r="B1188" s="68"/>
      <c r="C1188" s="61" t="s">
        <v>129</v>
      </c>
      <c r="D1188" s="61" t="s">
        <v>130</v>
      </c>
      <c r="E1188" s="68"/>
      <c r="F1188" s="68"/>
      <c r="G1188" s="68"/>
      <c r="H1188" s="68"/>
      <c r="I1188" s="68"/>
      <c r="J1188" s="78"/>
      <c r="K1188" s="68"/>
      <c r="L1188" s="68"/>
      <c r="M1188" s="68"/>
      <c r="N1188" s="68"/>
      <c r="O1188" s="68"/>
      <c r="P1188" s="68"/>
      <c r="Q1188" s="68"/>
      <c r="R1188" s="68"/>
      <c r="S1188" s="68"/>
      <c r="T1188" s="68"/>
      <c r="U1188" s="68"/>
      <c r="V1188" s="68"/>
      <c r="W1188" s="68"/>
      <c r="X1188" s="68"/>
      <c r="Y1188" s="68"/>
      <c r="Z1188" s="68"/>
      <c r="AA1188" s="68"/>
      <c r="AB1188" s="68"/>
      <c r="AC1188" s="68"/>
      <c r="AD1188" s="68"/>
      <c r="AE1188" s="68"/>
    </row>
    <row r="1189" ht="26.25" customHeight="1">
      <c r="A1189" s="68"/>
      <c r="B1189" s="68"/>
      <c r="C1189" s="61" t="s">
        <v>129</v>
      </c>
      <c r="D1189" s="61" t="s">
        <v>130</v>
      </c>
      <c r="E1189" s="68"/>
      <c r="F1189" s="68"/>
      <c r="G1189" s="68"/>
      <c r="H1189" s="68"/>
      <c r="I1189" s="68"/>
      <c r="J1189" s="78"/>
      <c r="K1189" s="68"/>
      <c r="L1189" s="68"/>
      <c r="M1189" s="68"/>
      <c r="N1189" s="68"/>
      <c r="O1189" s="68"/>
      <c r="P1189" s="68"/>
      <c r="Q1189" s="68"/>
      <c r="R1189" s="68"/>
      <c r="S1189" s="68"/>
      <c r="T1189" s="68"/>
      <c r="U1189" s="68"/>
      <c r="V1189" s="68"/>
      <c r="W1189" s="68"/>
      <c r="X1189" s="68"/>
      <c r="Y1189" s="68"/>
      <c r="Z1189" s="68"/>
      <c r="AA1189" s="68"/>
      <c r="AB1189" s="68"/>
      <c r="AC1189" s="68"/>
      <c r="AD1189" s="68"/>
      <c r="AE1189" s="68"/>
    </row>
    <row r="1190" ht="26.25" customHeight="1">
      <c r="A1190" s="68"/>
      <c r="B1190" s="68"/>
      <c r="C1190" s="61" t="s">
        <v>129</v>
      </c>
      <c r="D1190" s="61" t="s">
        <v>130</v>
      </c>
      <c r="E1190" s="68"/>
      <c r="F1190" s="68"/>
      <c r="G1190" s="68"/>
      <c r="H1190" s="68"/>
      <c r="I1190" s="68"/>
      <c r="J1190" s="78"/>
      <c r="K1190" s="68"/>
      <c r="L1190" s="68"/>
      <c r="M1190" s="68"/>
      <c r="N1190" s="68"/>
      <c r="O1190" s="68"/>
      <c r="P1190" s="68"/>
      <c r="Q1190" s="68"/>
      <c r="R1190" s="68"/>
      <c r="S1190" s="68"/>
      <c r="T1190" s="68"/>
      <c r="U1190" s="68"/>
      <c r="V1190" s="68"/>
      <c r="W1190" s="68"/>
      <c r="X1190" s="68"/>
      <c r="Y1190" s="68"/>
      <c r="Z1190" s="68"/>
      <c r="AA1190" s="68"/>
      <c r="AB1190" s="68"/>
      <c r="AC1190" s="68"/>
      <c r="AD1190" s="68"/>
      <c r="AE1190" s="68"/>
    </row>
    <row r="1191" ht="26.25" customHeight="1">
      <c r="A1191" s="68"/>
      <c r="B1191" s="68"/>
      <c r="C1191" s="61" t="s">
        <v>129</v>
      </c>
      <c r="D1191" s="61" t="s">
        <v>130</v>
      </c>
      <c r="E1191" s="68"/>
      <c r="F1191" s="68"/>
      <c r="G1191" s="68"/>
      <c r="H1191" s="68"/>
      <c r="I1191" s="68"/>
      <c r="J1191" s="78"/>
      <c r="K1191" s="68"/>
      <c r="L1191" s="68"/>
      <c r="M1191" s="68"/>
      <c r="N1191" s="68"/>
      <c r="O1191" s="68"/>
      <c r="P1191" s="68"/>
      <c r="Q1191" s="68"/>
      <c r="R1191" s="68"/>
      <c r="S1191" s="68"/>
      <c r="T1191" s="68"/>
      <c r="U1191" s="68"/>
      <c r="V1191" s="68"/>
      <c r="W1191" s="68"/>
      <c r="X1191" s="68"/>
      <c r="Y1191" s="68"/>
      <c r="Z1191" s="68"/>
      <c r="AA1191" s="68"/>
      <c r="AB1191" s="68"/>
      <c r="AC1191" s="68"/>
      <c r="AD1191" s="68"/>
      <c r="AE1191" s="68"/>
    </row>
    <row r="1192" ht="26.25" customHeight="1">
      <c r="A1192" s="68"/>
      <c r="B1192" s="68"/>
      <c r="C1192" s="61" t="s">
        <v>129</v>
      </c>
      <c r="D1192" s="61" t="s">
        <v>130</v>
      </c>
      <c r="E1192" s="68"/>
      <c r="F1192" s="68"/>
      <c r="G1192" s="68"/>
      <c r="H1192" s="68"/>
      <c r="I1192" s="68"/>
      <c r="J1192" s="78"/>
      <c r="K1192" s="68"/>
      <c r="L1192" s="68"/>
      <c r="M1192" s="68"/>
      <c r="N1192" s="68"/>
      <c r="O1192" s="68"/>
      <c r="P1192" s="68"/>
      <c r="Q1192" s="68"/>
      <c r="R1192" s="68"/>
      <c r="S1192" s="68"/>
      <c r="T1192" s="68"/>
      <c r="U1192" s="68"/>
      <c r="V1192" s="68"/>
      <c r="W1192" s="68"/>
      <c r="X1192" s="68"/>
      <c r="Y1192" s="68"/>
      <c r="Z1192" s="68"/>
      <c r="AA1192" s="68"/>
      <c r="AB1192" s="68"/>
      <c r="AC1192" s="68"/>
      <c r="AD1192" s="68"/>
      <c r="AE1192" s="68"/>
    </row>
    <row r="1193" ht="26.25" customHeight="1">
      <c r="A1193" s="68"/>
      <c r="B1193" s="68"/>
      <c r="C1193" s="61" t="s">
        <v>129</v>
      </c>
      <c r="D1193" s="61" t="s">
        <v>130</v>
      </c>
      <c r="E1193" s="68"/>
      <c r="F1193" s="68"/>
      <c r="G1193" s="68"/>
      <c r="H1193" s="68"/>
      <c r="I1193" s="68"/>
      <c r="J1193" s="78"/>
      <c r="K1193" s="68"/>
      <c r="L1193" s="68"/>
      <c r="M1193" s="68"/>
      <c r="N1193" s="68"/>
      <c r="O1193" s="68"/>
      <c r="P1193" s="68"/>
      <c r="Q1193" s="68"/>
      <c r="R1193" s="68"/>
      <c r="S1193" s="68"/>
      <c r="T1193" s="68"/>
      <c r="U1193" s="68"/>
      <c r="V1193" s="68"/>
      <c r="W1193" s="68"/>
      <c r="X1193" s="68"/>
      <c r="Y1193" s="68"/>
      <c r="Z1193" s="68"/>
      <c r="AA1193" s="68"/>
      <c r="AB1193" s="68"/>
      <c r="AC1193" s="68"/>
      <c r="AD1193" s="68"/>
      <c r="AE1193" s="68"/>
    </row>
    <row r="1194" ht="26.25" customHeight="1">
      <c r="A1194" s="68"/>
      <c r="B1194" s="68"/>
      <c r="C1194" s="61" t="s">
        <v>129</v>
      </c>
      <c r="D1194" s="61" t="s">
        <v>130</v>
      </c>
      <c r="E1194" s="68"/>
      <c r="F1194" s="68"/>
      <c r="G1194" s="68"/>
      <c r="H1194" s="68"/>
      <c r="I1194" s="68"/>
      <c r="J1194" s="78"/>
      <c r="K1194" s="68"/>
      <c r="L1194" s="68"/>
      <c r="M1194" s="68"/>
      <c r="N1194" s="68"/>
      <c r="O1194" s="68"/>
      <c r="P1194" s="68"/>
      <c r="Q1194" s="68"/>
      <c r="R1194" s="68"/>
      <c r="S1194" s="68"/>
      <c r="T1194" s="68"/>
      <c r="U1194" s="68"/>
      <c r="V1194" s="68"/>
      <c r="W1194" s="68"/>
      <c r="X1194" s="68"/>
      <c r="Y1194" s="68"/>
      <c r="Z1194" s="68"/>
      <c r="AA1194" s="68"/>
      <c r="AB1194" s="68"/>
      <c r="AC1194" s="68"/>
      <c r="AD1194" s="68"/>
      <c r="AE1194" s="68"/>
    </row>
    <row r="1195" ht="26.25" customHeight="1">
      <c r="A1195" s="68"/>
      <c r="B1195" s="68"/>
      <c r="C1195" s="61" t="s">
        <v>129</v>
      </c>
      <c r="D1195" s="61" t="s">
        <v>130</v>
      </c>
      <c r="E1195" s="68"/>
      <c r="F1195" s="68"/>
      <c r="G1195" s="68"/>
      <c r="H1195" s="68"/>
      <c r="I1195" s="68"/>
      <c r="J1195" s="78"/>
      <c r="K1195" s="68"/>
      <c r="L1195" s="68"/>
      <c r="M1195" s="68"/>
      <c r="N1195" s="68"/>
      <c r="O1195" s="68"/>
      <c r="P1195" s="68"/>
      <c r="Q1195" s="68"/>
      <c r="R1195" s="68"/>
      <c r="S1195" s="68"/>
      <c r="T1195" s="68"/>
      <c r="U1195" s="68"/>
      <c r="V1195" s="68"/>
      <c r="W1195" s="68"/>
      <c r="X1195" s="68"/>
      <c r="Y1195" s="68"/>
      <c r="Z1195" s="68"/>
      <c r="AA1195" s="68"/>
      <c r="AB1195" s="68"/>
      <c r="AC1195" s="68"/>
      <c r="AD1195" s="68"/>
      <c r="AE1195" s="68"/>
    </row>
    <row r="1196" ht="26.25" customHeight="1">
      <c r="A1196" s="68"/>
      <c r="B1196" s="68"/>
      <c r="C1196" s="61" t="s">
        <v>129</v>
      </c>
      <c r="D1196" s="61" t="s">
        <v>130</v>
      </c>
      <c r="E1196" s="68"/>
      <c r="F1196" s="68"/>
      <c r="G1196" s="68"/>
      <c r="H1196" s="68"/>
      <c r="I1196" s="68"/>
      <c r="J1196" s="78"/>
      <c r="K1196" s="68"/>
      <c r="L1196" s="68"/>
      <c r="M1196" s="68"/>
      <c r="N1196" s="68"/>
      <c r="O1196" s="68"/>
      <c r="P1196" s="68"/>
      <c r="Q1196" s="68"/>
      <c r="R1196" s="68"/>
      <c r="S1196" s="68"/>
      <c r="T1196" s="68"/>
      <c r="U1196" s="68"/>
      <c r="V1196" s="68"/>
      <c r="W1196" s="68"/>
      <c r="X1196" s="68"/>
      <c r="Y1196" s="68"/>
      <c r="Z1196" s="68"/>
      <c r="AA1196" s="68"/>
      <c r="AB1196" s="68"/>
      <c r="AC1196" s="68"/>
      <c r="AD1196" s="68"/>
      <c r="AE1196" s="68"/>
    </row>
    <row r="1197" ht="26.25" customHeight="1">
      <c r="A1197" s="68"/>
      <c r="B1197" s="68"/>
      <c r="C1197" s="61" t="s">
        <v>129</v>
      </c>
      <c r="D1197" s="61" t="s">
        <v>130</v>
      </c>
      <c r="E1197" s="68"/>
      <c r="F1197" s="68"/>
      <c r="G1197" s="68"/>
      <c r="H1197" s="68"/>
      <c r="I1197" s="68"/>
      <c r="J1197" s="78"/>
      <c r="K1197" s="68"/>
      <c r="L1197" s="68"/>
      <c r="M1197" s="68"/>
      <c r="N1197" s="68"/>
      <c r="O1197" s="68"/>
      <c r="P1197" s="68"/>
      <c r="Q1197" s="68"/>
      <c r="R1197" s="68"/>
      <c r="S1197" s="68"/>
      <c r="T1197" s="68"/>
      <c r="U1197" s="68"/>
      <c r="V1197" s="68"/>
      <c r="W1197" s="68"/>
      <c r="X1197" s="68"/>
      <c r="Y1197" s="68"/>
      <c r="Z1197" s="68"/>
      <c r="AA1197" s="68"/>
      <c r="AB1197" s="68"/>
      <c r="AC1197" s="68"/>
      <c r="AD1197" s="68"/>
      <c r="AE1197" s="68"/>
    </row>
    <row r="1198" ht="26.25" customHeight="1">
      <c r="A1198" s="68"/>
      <c r="B1198" s="68"/>
      <c r="C1198" s="61" t="s">
        <v>129</v>
      </c>
      <c r="D1198" s="61" t="s">
        <v>130</v>
      </c>
      <c r="E1198" s="68"/>
      <c r="F1198" s="68"/>
      <c r="G1198" s="68"/>
      <c r="H1198" s="68"/>
      <c r="I1198" s="68"/>
      <c r="J1198" s="78"/>
      <c r="K1198" s="68"/>
      <c r="L1198" s="68"/>
      <c r="M1198" s="68"/>
      <c r="N1198" s="68"/>
      <c r="O1198" s="68"/>
      <c r="P1198" s="68"/>
      <c r="Q1198" s="68"/>
      <c r="R1198" s="68"/>
      <c r="S1198" s="68"/>
      <c r="T1198" s="68"/>
      <c r="U1198" s="68"/>
      <c r="V1198" s="68"/>
      <c r="W1198" s="68"/>
      <c r="X1198" s="68"/>
      <c r="Y1198" s="68"/>
      <c r="Z1198" s="68"/>
      <c r="AA1198" s="68"/>
      <c r="AB1198" s="68"/>
      <c r="AC1198" s="68"/>
      <c r="AD1198" s="68"/>
      <c r="AE1198" s="68"/>
    </row>
    <row r="1199" ht="26.25" customHeight="1">
      <c r="A1199" s="68"/>
      <c r="B1199" s="68"/>
      <c r="C1199" s="61" t="s">
        <v>129</v>
      </c>
      <c r="D1199" s="61" t="s">
        <v>130</v>
      </c>
      <c r="E1199" s="68"/>
      <c r="F1199" s="68"/>
      <c r="G1199" s="68"/>
      <c r="H1199" s="68"/>
      <c r="I1199" s="68"/>
      <c r="J1199" s="78"/>
      <c r="K1199" s="68"/>
      <c r="L1199" s="68"/>
      <c r="M1199" s="68"/>
      <c r="N1199" s="68"/>
      <c r="O1199" s="68"/>
      <c r="P1199" s="68"/>
      <c r="Q1199" s="68"/>
      <c r="R1199" s="68"/>
      <c r="S1199" s="68"/>
      <c r="T1199" s="68"/>
      <c r="U1199" s="68"/>
      <c r="V1199" s="68"/>
      <c r="W1199" s="68"/>
      <c r="X1199" s="68"/>
      <c r="Y1199" s="68"/>
      <c r="Z1199" s="68"/>
      <c r="AA1199" s="68"/>
      <c r="AB1199" s="68"/>
      <c r="AC1199" s="68"/>
      <c r="AD1199" s="68"/>
      <c r="AE1199" s="68"/>
    </row>
    <row r="1200" ht="26.25" customHeight="1">
      <c r="A1200" s="68"/>
      <c r="B1200" s="68"/>
      <c r="C1200" s="61" t="s">
        <v>129</v>
      </c>
      <c r="D1200" s="61" t="s">
        <v>130</v>
      </c>
      <c r="E1200" s="68"/>
      <c r="F1200" s="68"/>
      <c r="G1200" s="68"/>
      <c r="H1200" s="68"/>
      <c r="I1200" s="68"/>
      <c r="J1200" s="78"/>
      <c r="K1200" s="68"/>
      <c r="L1200" s="68"/>
      <c r="M1200" s="68"/>
      <c r="N1200" s="68"/>
      <c r="O1200" s="68"/>
      <c r="P1200" s="68"/>
      <c r="Q1200" s="68"/>
      <c r="R1200" s="68"/>
      <c r="S1200" s="68"/>
      <c r="T1200" s="68"/>
      <c r="U1200" s="68"/>
      <c r="V1200" s="68"/>
      <c r="W1200" s="68"/>
      <c r="X1200" s="68"/>
      <c r="Y1200" s="68"/>
      <c r="Z1200" s="68"/>
      <c r="AA1200" s="68"/>
      <c r="AB1200" s="68"/>
      <c r="AC1200" s="68"/>
      <c r="AD1200" s="68"/>
      <c r="AE1200" s="68"/>
    </row>
    <row r="1201" ht="26.25" customHeight="1">
      <c r="A1201" s="68"/>
      <c r="B1201" s="68"/>
      <c r="C1201" s="61" t="s">
        <v>129</v>
      </c>
      <c r="D1201" s="61" t="s">
        <v>130</v>
      </c>
      <c r="E1201" s="68"/>
      <c r="F1201" s="68"/>
      <c r="G1201" s="68"/>
      <c r="H1201" s="68"/>
      <c r="I1201" s="68"/>
      <c r="J1201" s="78"/>
      <c r="K1201" s="68"/>
      <c r="L1201" s="68"/>
      <c r="M1201" s="68"/>
      <c r="N1201" s="68"/>
      <c r="O1201" s="68"/>
      <c r="P1201" s="68"/>
      <c r="Q1201" s="68"/>
      <c r="R1201" s="68"/>
      <c r="S1201" s="68"/>
      <c r="T1201" s="68"/>
      <c r="U1201" s="68"/>
      <c r="V1201" s="68"/>
      <c r="W1201" s="68"/>
      <c r="X1201" s="68"/>
      <c r="Y1201" s="68"/>
      <c r="Z1201" s="68"/>
      <c r="AA1201" s="68"/>
      <c r="AB1201" s="68"/>
      <c r="AC1201" s="68"/>
      <c r="AD1201" s="68"/>
      <c r="AE1201" s="68"/>
    </row>
    <row r="1202" ht="26.25" customHeight="1">
      <c r="A1202" s="68"/>
      <c r="B1202" s="68"/>
      <c r="C1202" s="61" t="s">
        <v>129</v>
      </c>
      <c r="D1202" s="61" t="s">
        <v>130</v>
      </c>
      <c r="E1202" s="68"/>
      <c r="F1202" s="68"/>
      <c r="G1202" s="68"/>
      <c r="H1202" s="68"/>
      <c r="I1202" s="68"/>
      <c r="J1202" s="78"/>
      <c r="K1202" s="68"/>
      <c r="L1202" s="68"/>
      <c r="M1202" s="68"/>
      <c r="N1202" s="68"/>
      <c r="O1202" s="68"/>
      <c r="P1202" s="68"/>
      <c r="Q1202" s="68"/>
      <c r="R1202" s="68"/>
      <c r="S1202" s="68"/>
      <c r="T1202" s="68"/>
      <c r="U1202" s="68"/>
      <c r="V1202" s="68"/>
      <c r="W1202" s="68"/>
      <c r="X1202" s="68"/>
      <c r="Y1202" s="68"/>
      <c r="Z1202" s="68"/>
      <c r="AA1202" s="68"/>
      <c r="AB1202" s="68"/>
      <c r="AC1202" s="68"/>
      <c r="AD1202" s="68"/>
      <c r="AE1202" s="68"/>
    </row>
    <row r="1203" ht="26.25" customHeight="1">
      <c r="A1203" s="68"/>
      <c r="B1203" s="68"/>
      <c r="C1203" s="61" t="s">
        <v>129</v>
      </c>
      <c r="D1203" s="61" t="s">
        <v>130</v>
      </c>
      <c r="E1203" s="68"/>
      <c r="F1203" s="68"/>
      <c r="G1203" s="68"/>
      <c r="H1203" s="68"/>
      <c r="I1203" s="68"/>
      <c r="J1203" s="78"/>
      <c r="K1203" s="68"/>
      <c r="L1203" s="68"/>
      <c r="M1203" s="68"/>
      <c r="N1203" s="68"/>
      <c r="O1203" s="68"/>
      <c r="P1203" s="68"/>
      <c r="Q1203" s="68"/>
      <c r="R1203" s="68"/>
      <c r="S1203" s="68"/>
      <c r="T1203" s="68"/>
      <c r="U1203" s="68"/>
      <c r="V1203" s="68"/>
      <c r="W1203" s="68"/>
      <c r="X1203" s="68"/>
      <c r="Y1203" s="68"/>
      <c r="Z1203" s="68"/>
      <c r="AA1203" s="68"/>
      <c r="AB1203" s="68"/>
      <c r="AC1203" s="68"/>
      <c r="AD1203" s="68"/>
      <c r="AE1203" s="68"/>
    </row>
    <row r="1204" ht="26.25" customHeight="1">
      <c r="A1204" s="68"/>
      <c r="B1204" s="68"/>
      <c r="C1204" s="61" t="s">
        <v>129</v>
      </c>
      <c r="D1204" s="61" t="s">
        <v>130</v>
      </c>
      <c r="E1204" s="68"/>
      <c r="F1204" s="68"/>
      <c r="G1204" s="68"/>
      <c r="H1204" s="68"/>
      <c r="I1204" s="68"/>
      <c r="J1204" s="78"/>
      <c r="K1204" s="68"/>
      <c r="L1204" s="68"/>
      <c r="M1204" s="68"/>
      <c r="N1204" s="68"/>
      <c r="O1204" s="68"/>
      <c r="P1204" s="68"/>
      <c r="Q1204" s="68"/>
      <c r="R1204" s="68"/>
      <c r="S1204" s="68"/>
      <c r="T1204" s="68"/>
      <c r="U1204" s="68"/>
      <c r="V1204" s="68"/>
      <c r="W1204" s="68"/>
      <c r="X1204" s="68"/>
      <c r="Y1204" s="68"/>
      <c r="Z1204" s="68"/>
      <c r="AA1204" s="68"/>
      <c r="AB1204" s="68"/>
      <c r="AC1204" s="68"/>
      <c r="AD1204" s="68"/>
      <c r="AE1204" s="68"/>
    </row>
    <row r="1205" ht="26.25" customHeight="1">
      <c r="A1205" s="68"/>
      <c r="B1205" s="68"/>
      <c r="C1205" s="61" t="s">
        <v>129</v>
      </c>
      <c r="D1205" s="61" t="s">
        <v>130</v>
      </c>
      <c r="E1205" s="68"/>
      <c r="F1205" s="68"/>
      <c r="G1205" s="68"/>
      <c r="H1205" s="68"/>
      <c r="I1205" s="68"/>
      <c r="J1205" s="78"/>
      <c r="K1205" s="68"/>
      <c r="L1205" s="68"/>
      <c r="M1205" s="68"/>
      <c r="N1205" s="68"/>
      <c r="O1205" s="68"/>
      <c r="P1205" s="68"/>
      <c r="Q1205" s="68"/>
      <c r="R1205" s="68"/>
      <c r="S1205" s="68"/>
      <c r="T1205" s="68"/>
      <c r="U1205" s="68"/>
      <c r="V1205" s="68"/>
      <c r="W1205" s="68"/>
      <c r="X1205" s="68"/>
      <c r="Y1205" s="68"/>
      <c r="Z1205" s="68"/>
      <c r="AA1205" s="68"/>
      <c r="AB1205" s="68"/>
      <c r="AC1205" s="68"/>
      <c r="AD1205" s="68"/>
      <c r="AE1205" s="68"/>
    </row>
    <row r="1206" ht="26.25" customHeight="1">
      <c r="A1206" s="68"/>
      <c r="B1206" s="68"/>
      <c r="C1206" s="61" t="s">
        <v>129</v>
      </c>
      <c r="D1206" s="61" t="s">
        <v>130</v>
      </c>
      <c r="E1206" s="68"/>
      <c r="F1206" s="68"/>
      <c r="G1206" s="68"/>
      <c r="H1206" s="68"/>
      <c r="I1206" s="68"/>
      <c r="J1206" s="78"/>
      <c r="K1206" s="68"/>
      <c r="L1206" s="68"/>
      <c r="M1206" s="68"/>
      <c r="N1206" s="68"/>
      <c r="O1206" s="68"/>
      <c r="P1206" s="68"/>
      <c r="Q1206" s="68"/>
      <c r="R1206" s="68"/>
      <c r="S1206" s="68"/>
      <c r="T1206" s="68"/>
      <c r="U1206" s="68"/>
      <c r="V1206" s="68"/>
      <c r="W1206" s="68"/>
      <c r="X1206" s="68"/>
      <c r="Y1206" s="68"/>
      <c r="Z1206" s="68"/>
      <c r="AA1206" s="68"/>
      <c r="AB1206" s="68"/>
      <c r="AC1206" s="68"/>
      <c r="AD1206" s="68"/>
      <c r="AE1206" s="68"/>
    </row>
    <row r="1207" ht="26.25" customHeight="1">
      <c r="A1207" s="68"/>
      <c r="B1207" s="68"/>
      <c r="C1207" s="61" t="s">
        <v>129</v>
      </c>
      <c r="D1207" s="61" t="s">
        <v>130</v>
      </c>
      <c r="E1207" s="68"/>
      <c r="F1207" s="68"/>
      <c r="G1207" s="68"/>
      <c r="H1207" s="68"/>
      <c r="I1207" s="68"/>
      <c r="J1207" s="78"/>
      <c r="K1207" s="68"/>
      <c r="L1207" s="68"/>
      <c r="M1207" s="68"/>
      <c r="N1207" s="68"/>
      <c r="O1207" s="68"/>
      <c r="P1207" s="68"/>
      <c r="Q1207" s="68"/>
      <c r="R1207" s="68"/>
      <c r="S1207" s="68"/>
      <c r="T1207" s="68"/>
      <c r="U1207" s="68"/>
      <c r="V1207" s="68"/>
      <c r="W1207" s="68"/>
      <c r="X1207" s="68"/>
      <c r="Y1207" s="68"/>
      <c r="Z1207" s="68"/>
      <c r="AA1207" s="68"/>
      <c r="AB1207" s="68"/>
      <c r="AC1207" s="68"/>
      <c r="AD1207" s="68"/>
      <c r="AE1207" s="68"/>
    </row>
    <row r="1208" ht="26.25" customHeight="1">
      <c r="A1208" s="68"/>
      <c r="B1208" s="68"/>
      <c r="C1208" s="61" t="s">
        <v>129</v>
      </c>
      <c r="D1208" s="61" t="s">
        <v>130</v>
      </c>
      <c r="E1208" s="68"/>
      <c r="F1208" s="68"/>
      <c r="G1208" s="68"/>
      <c r="H1208" s="68"/>
      <c r="I1208" s="68"/>
      <c r="J1208" s="78"/>
      <c r="K1208" s="68"/>
      <c r="L1208" s="68"/>
      <c r="M1208" s="68"/>
      <c r="N1208" s="68"/>
      <c r="O1208" s="68"/>
      <c r="P1208" s="68"/>
      <c r="Q1208" s="68"/>
      <c r="R1208" s="68"/>
      <c r="S1208" s="68"/>
      <c r="T1208" s="68"/>
      <c r="U1208" s="68"/>
      <c r="V1208" s="68"/>
      <c r="W1208" s="68"/>
      <c r="X1208" s="68"/>
      <c r="Y1208" s="68"/>
      <c r="Z1208" s="68"/>
      <c r="AA1208" s="68"/>
      <c r="AB1208" s="68"/>
      <c r="AC1208" s="68"/>
      <c r="AD1208" s="68"/>
      <c r="AE1208" s="68"/>
    </row>
    <row r="1209" ht="26.25" customHeight="1">
      <c r="A1209" s="68"/>
      <c r="B1209" s="68"/>
      <c r="C1209" s="61" t="s">
        <v>129</v>
      </c>
      <c r="D1209" s="61" t="s">
        <v>130</v>
      </c>
      <c r="E1209" s="68"/>
      <c r="F1209" s="68"/>
      <c r="G1209" s="68"/>
      <c r="H1209" s="68"/>
      <c r="I1209" s="68"/>
      <c r="J1209" s="78"/>
      <c r="K1209" s="68"/>
      <c r="L1209" s="68"/>
      <c r="M1209" s="68"/>
      <c r="N1209" s="68"/>
      <c r="O1209" s="68"/>
      <c r="P1209" s="68"/>
      <c r="Q1209" s="68"/>
      <c r="R1209" s="68"/>
      <c r="S1209" s="68"/>
      <c r="T1209" s="68"/>
      <c r="U1209" s="68"/>
      <c r="V1209" s="68"/>
      <c r="W1209" s="68"/>
      <c r="X1209" s="68"/>
      <c r="Y1209" s="68"/>
      <c r="Z1209" s="68"/>
      <c r="AA1209" s="68"/>
      <c r="AB1209" s="68"/>
      <c r="AC1209" s="68"/>
      <c r="AD1209" s="68"/>
      <c r="AE1209" s="68"/>
    </row>
    <row r="1210" ht="26.25" customHeight="1">
      <c r="A1210" s="68"/>
      <c r="B1210" s="68"/>
      <c r="C1210" s="61" t="s">
        <v>129</v>
      </c>
      <c r="D1210" s="61" t="s">
        <v>130</v>
      </c>
      <c r="E1210" s="68"/>
      <c r="F1210" s="68"/>
      <c r="G1210" s="68"/>
      <c r="H1210" s="68"/>
      <c r="I1210" s="68"/>
      <c r="J1210" s="78"/>
      <c r="K1210" s="68"/>
      <c r="L1210" s="68"/>
      <c r="M1210" s="68"/>
      <c r="N1210" s="68"/>
      <c r="O1210" s="68"/>
      <c r="P1210" s="68"/>
      <c r="Q1210" s="68"/>
      <c r="R1210" s="68"/>
      <c r="S1210" s="68"/>
      <c r="T1210" s="68"/>
      <c r="U1210" s="68"/>
      <c r="V1210" s="68"/>
      <c r="W1210" s="68"/>
      <c r="X1210" s="68"/>
      <c r="Y1210" s="68"/>
      <c r="Z1210" s="68"/>
      <c r="AA1210" s="68"/>
      <c r="AB1210" s="68"/>
      <c r="AC1210" s="68"/>
      <c r="AD1210" s="68"/>
      <c r="AE1210" s="68"/>
    </row>
    <row r="1211" ht="26.25" customHeight="1">
      <c r="A1211" s="68"/>
      <c r="B1211" s="68"/>
      <c r="C1211" s="61" t="s">
        <v>129</v>
      </c>
      <c r="D1211" s="61" t="s">
        <v>130</v>
      </c>
      <c r="E1211" s="68"/>
      <c r="F1211" s="68"/>
      <c r="G1211" s="68"/>
      <c r="H1211" s="68"/>
      <c r="I1211" s="68"/>
      <c r="J1211" s="78"/>
      <c r="K1211" s="68"/>
      <c r="L1211" s="68"/>
      <c r="M1211" s="68"/>
      <c r="N1211" s="68"/>
      <c r="O1211" s="68"/>
      <c r="P1211" s="68"/>
      <c r="Q1211" s="68"/>
      <c r="R1211" s="68"/>
      <c r="S1211" s="68"/>
      <c r="T1211" s="68"/>
      <c r="U1211" s="68"/>
      <c r="V1211" s="68"/>
      <c r="W1211" s="68"/>
      <c r="X1211" s="68"/>
      <c r="Y1211" s="68"/>
      <c r="Z1211" s="68"/>
      <c r="AA1211" s="68"/>
      <c r="AB1211" s="68"/>
      <c r="AC1211" s="68"/>
      <c r="AD1211" s="68"/>
      <c r="AE1211" s="68"/>
    </row>
    <row r="1212" ht="26.25" customHeight="1">
      <c r="A1212" s="68"/>
      <c r="B1212" s="68"/>
      <c r="C1212" s="61" t="s">
        <v>129</v>
      </c>
      <c r="D1212" s="61" t="s">
        <v>130</v>
      </c>
      <c r="E1212" s="68"/>
      <c r="F1212" s="68"/>
      <c r="G1212" s="68"/>
      <c r="H1212" s="68"/>
      <c r="I1212" s="68"/>
      <c r="J1212" s="78"/>
      <c r="K1212" s="68"/>
      <c r="L1212" s="68"/>
      <c r="M1212" s="68"/>
      <c r="N1212" s="68"/>
      <c r="O1212" s="68"/>
      <c r="P1212" s="68"/>
      <c r="Q1212" s="68"/>
      <c r="R1212" s="68"/>
      <c r="S1212" s="68"/>
      <c r="T1212" s="68"/>
      <c r="U1212" s="68"/>
      <c r="V1212" s="68"/>
      <c r="W1212" s="68"/>
      <c r="X1212" s="68"/>
      <c r="Y1212" s="68"/>
      <c r="Z1212" s="68"/>
      <c r="AA1212" s="68"/>
      <c r="AB1212" s="68"/>
      <c r="AC1212" s="68"/>
      <c r="AD1212" s="68"/>
      <c r="AE1212" s="68"/>
    </row>
    <row r="1213" ht="26.25" customHeight="1">
      <c r="A1213" s="68"/>
      <c r="B1213" s="68"/>
      <c r="C1213" s="61" t="s">
        <v>129</v>
      </c>
      <c r="D1213" s="61" t="s">
        <v>130</v>
      </c>
      <c r="E1213" s="68"/>
      <c r="F1213" s="68"/>
      <c r="G1213" s="68"/>
      <c r="H1213" s="68"/>
      <c r="I1213" s="68"/>
      <c r="J1213" s="78"/>
      <c r="K1213" s="68"/>
      <c r="L1213" s="68"/>
      <c r="M1213" s="68"/>
      <c r="N1213" s="68"/>
      <c r="O1213" s="68"/>
      <c r="P1213" s="68"/>
      <c r="Q1213" s="68"/>
      <c r="R1213" s="68"/>
      <c r="S1213" s="68"/>
      <c r="T1213" s="68"/>
      <c r="U1213" s="68"/>
      <c r="V1213" s="68"/>
      <c r="W1213" s="68"/>
      <c r="X1213" s="68"/>
      <c r="Y1213" s="68"/>
      <c r="Z1213" s="68"/>
      <c r="AA1213" s="68"/>
      <c r="AB1213" s="68"/>
      <c r="AC1213" s="68"/>
      <c r="AD1213" s="68"/>
      <c r="AE1213" s="68"/>
    </row>
    <row r="1214" ht="26.25" customHeight="1">
      <c r="A1214" s="68"/>
      <c r="B1214" s="68"/>
      <c r="C1214" s="61" t="s">
        <v>129</v>
      </c>
      <c r="D1214" s="61" t="s">
        <v>130</v>
      </c>
      <c r="E1214" s="68"/>
      <c r="F1214" s="68"/>
      <c r="G1214" s="68"/>
      <c r="H1214" s="68"/>
      <c r="I1214" s="68"/>
      <c r="J1214" s="78"/>
      <c r="K1214" s="68"/>
      <c r="L1214" s="68"/>
      <c r="M1214" s="68"/>
      <c r="N1214" s="68"/>
      <c r="O1214" s="68"/>
      <c r="P1214" s="68"/>
      <c r="Q1214" s="68"/>
      <c r="R1214" s="68"/>
      <c r="S1214" s="68"/>
      <c r="T1214" s="68"/>
      <c r="U1214" s="68"/>
      <c r="V1214" s="68"/>
      <c r="W1214" s="68"/>
      <c r="X1214" s="68"/>
      <c r="Y1214" s="68"/>
      <c r="Z1214" s="68"/>
      <c r="AA1214" s="68"/>
      <c r="AB1214" s="68"/>
      <c r="AC1214" s="68"/>
      <c r="AD1214" s="68"/>
      <c r="AE1214" s="68"/>
    </row>
    <row r="1215" ht="26.25" customHeight="1">
      <c r="A1215" s="68"/>
      <c r="B1215" s="68"/>
      <c r="C1215" s="61" t="s">
        <v>129</v>
      </c>
      <c r="D1215" s="61" t="s">
        <v>130</v>
      </c>
      <c r="E1215" s="68"/>
      <c r="F1215" s="68"/>
      <c r="G1215" s="68"/>
      <c r="H1215" s="68"/>
      <c r="I1215" s="68"/>
      <c r="J1215" s="78"/>
      <c r="K1215" s="68"/>
      <c r="L1215" s="68"/>
      <c r="M1215" s="68"/>
      <c r="N1215" s="68"/>
      <c r="O1215" s="68"/>
      <c r="P1215" s="68"/>
      <c r="Q1215" s="68"/>
      <c r="R1215" s="68"/>
      <c r="S1215" s="68"/>
      <c r="T1215" s="68"/>
      <c r="U1215" s="68"/>
      <c r="V1215" s="68"/>
      <c r="W1215" s="68"/>
      <c r="X1215" s="68"/>
      <c r="Y1215" s="68"/>
      <c r="Z1215" s="68"/>
      <c r="AA1215" s="68"/>
      <c r="AB1215" s="68"/>
      <c r="AC1215" s="68"/>
      <c r="AD1215" s="68"/>
      <c r="AE1215" s="68"/>
    </row>
    <row r="1216" ht="26.25" customHeight="1">
      <c r="A1216" s="68"/>
      <c r="B1216" s="68"/>
      <c r="C1216" s="61" t="s">
        <v>129</v>
      </c>
      <c r="D1216" s="61" t="s">
        <v>130</v>
      </c>
      <c r="E1216" s="68"/>
      <c r="F1216" s="68"/>
      <c r="G1216" s="68"/>
      <c r="H1216" s="68"/>
      <c r="I1216" s="68"/>
      <c r="J1216" s="78"/>
      <c r="K1216" s="68"/>
      <c r="L1216" s="68"/>
      <c r="M1216" s="68"/>
      <c r="N1216" s="68"/>
      <c r="O1216" s="68"/>
      <c r="P1216" s="68"/>
      <c r="Q1216" s="68"/>
      <c r="R1216" s="68"/>
      <c r="S1216" s="68"/>
      <c r="T1216" s="68"/>
      <c r="U1216" s="68"/>
      <c r="V1216" s="68"/>
      <c r="W1216" s="68"/>
      <c r="X1216" s="68"/>
      <c r="Y1216" s="68"/>
      <c r="Z1216" s="68"/>
      <c r="AA1216" s="68"/>
      <c r="AB1216" s="68"/>
      <c r="AC1216" s="68"/>
      <c r="AD1216" s="68"/>
      <c r="AE1216" s="68"/>
    </row>
    <row r="1217" ht="26.25" customHeight="1">
      <c r="A1217" s="68"/>
      <c r="B1217" s="68"/>
      <c r="C1217" s="61" t="s">
        <v>129</v>
      </c>
      <c r="D1217" s="61" t="s">
        <v>130</v>
      </c>
      <c r="E1217" s="68"/>
      <c r="F1217" s="68"/>
      <c r="G1217" s="68"/>
      <c r="H1217" s="68"/>
      <c r="I1217" s="68"/>
      <c r="J1217" s="78"/>
      <c r="K1217" s="68"/>
      <c r="L1217" s="68"/>
      <c r="M1217" s="68"/>
      <c r="N1217" s="68"/>
      <c r="O1217" s="68"/>
      <c r="P1217" s="68"/>
      <c r="Q1217" s="68"/>
      <c r="R1217" s="68"/>
      <c r="S1217" s="68"/>
      <c r="T1217" s="68"/>
      <c r="U1217" s="68"/>
      <c r="V1217" s="68"/>
      <c r="W1217" s="68"/>
      <c r="X1217" s="68"/>
      <c r="Y1217" s="68"/>
      <c r="Z1217" s="68"/>
      <c r="AA1217" s="68"/>
      <c r="AB1217" s="68"/>
      <c r="AC1217" s="68"/>
      <c r="AD1217" s="68"/>
      <c r="AE1217" s="68"/>
    </row>
    <row r="1218" ht="26.25" customHeight="1">
      <c r="A1218" s="68"/>
      <c r="B1218" s="68"/>
      <c r="C1218" s="61" t="s">
        <v>129</v>
      </c>
      <c r="D1218" s="61" t="s">
        <v>130</v>
      </c>
      <c r="E1218" s="68"/>
      <c r="F1218" s="68"/>
      <c r="G1218" s="68"/>
      <c r="H1218" s="68"/>
      <c r="I1218" s="68"/>
      <c r="J1218" s="78"/>
      <c r="K1218" s="68"/>
      <c r="L1218" s="68"/>
      <c r="M1218" s="68"/>
      <c r="N1218" s="68"/>
      <c r="O1218" s="68"/>
      <c r="P1218" s="68"/>
      <c r="Q1218" s="68"/>
      <c r="R1218" s="68"/>
      <c r="S1218" s="68"/>
      <c r="T1218" s="68"/>
      <c r="U1218" s="68"/>
      <c r="V1218" s="68"/>
      <c r="W1218" s="68"/>
      <c r="X1218" s="68"/>
      <c r="Y1218" s="68"/>
      <c r="Z1218" s="68"/>
      <c r="AA1218" s="68"/>
      <c r="AB1218" s="68"/>
      <c r="AC1218" s="68"/>
      <c r="AD1218" s="68"/>
      <c r="AE1218" s="68"/>
    </row>
    <row r="1219" ht="26.25" customHeight="1">
      <c r="A1219" s="68"/>
      <c r="B1219" s="68"/>
      <c r="C1219" s="61" t="s">
        <v>129</v>
      </c>
      <c r="D1219" s="61" t="s">
        <v>130</v>
      </c>
      <c r="E1219" s="68"/>
      <c r="F1219" s="68"/>
      <c r="G1219" s="68"/>
      <c r="H1219" s="68"/>
      <c r="I1219" s="68"/>
      <c r="J1219" s="78"/>
      <c r="K1219" s="68"/>
      <c r="L1219" s="68"/>
      <c r="M1219" s="68"/>
      <c r="N1219" s="68"/>
      <c r="O1219" s="68"/>
      <c r="P1219" s="68"/>
      <c r="Q1219" s="68"/>
      <c r="R1219" s="68"/>
      <c r="S1219" s="68"/>
      <c r="T1219" s="68"/>
      <c r="U1219" s="68"/>
      <c r="V1219" s="68"/>
      <c r="W1219" s="68"/>
      <c r="X1219" s="68"/>
      <c r="Y1219" s="68"/>
      <c r="Z1219" s="68"/>
      <c r="AA1219" s="68"/>
      <c r="AB1219" s="68"/>
      <c r="AC1219" s="68"/>
      <c r="AD1219" s="68"/>
      <c r="AE1219" s="68"/>
    </row>
    <row r="1220" ht="26.25" customHeight="1">
      <c r="A1220" s="68"/>
      <c r="B1220" s="68"/>
      <c r="C1220" s="61" t="s">
        <v>129</v>
      </c>
      <c r="D1220" s="61" t="s">
        <v>130</v>
      </c>
      <c r="E1220" s="68"/>
      <c r="F1220" s="68"/>
      <c r="G1220" s="68"/>
      <c r="H1220" s="68"/>
      <c r="I1220" s="68"/>
      <c r="J1220" s="78"/>
      <c r="K1220" s="68"/>
      <c r="L1220" s="68"/>
      <c r="M1220" s="68"/>
      <c r="N1220" s="68"/>
      <c r="O1220" s="68"/>
      <c r="P1220" s="68"/>
      <c r="Q1220" s="68"/>
      <c r="R1220" s="68"/>
      <c r="S1220" s="68"/>
      <c r="T1220" s="68"/>
      <c r="U1220" s="68"/>
      <c r="V1220" s="68"/>
      <c r="W1220" s="68"/>
      <c r="X1220" s="68"/>
      <c r="Y1220" s="68"/>
      <c r="Z1220" s="68"/>
      <c r="AA1220" s="68"/>
      <c r="AB1220" s="68"/>
      <c r="AC1220" s="68"/>
      <c r="AD1220" s="68"/>
      <c r="AE1220" s="68"/>
    </row>
    <row r="1221" ht="26.25" customHeight="1">
      <c r="A1221" s="68"/>
      <c r="B1221" s="68"/>
      <c r="C1221" s="61" t="s">
        <v>129</v>
      </c>
      <c r="D1221" s="61" t="s">
        <v>130</v>
      </c>
      <c r="E1221" s="68"/>
      <c r="F1221" s="68"/>
      <c r="G1221" s="68"/>
      <c r="H1221" s="68"/>
      <c r="I1221" s="68"/>
      <c r="J1221" s="78"/>
      <c r="K1221" s="68"/>
      <c r="L1221" s="68"/>
      <c r="M1221" s="68"/>
      <c r="N1221" s="68"/>
      <c r="O1221" s="68"/>
      <c r="P1221" s="68"/>
      <c r="Q1221" s="68"/>
      <c r="R1221" s="68"/>
      <c r="S1221" s="68"/>
      <c r="T1221" s="68"/>
      <c r="U1221" s="68"/>
      <c r="V1221" s="68"/>
      <c r="W1221" s="68"/>
      <c r="X1221" s="68"/>
      <c r="Y1221" s="68"/>
      <c r="Z1221" s="68"/>
      <c r="AA1221" s="68"/>
      <c r="AB1221" s="68"/>
      <c r="AC1221" s="68"/>
      <c r="AD1221" s="68"/>
      <c r="AE1221" s="68"/>
    </row>
    <row r="1222" ht="26.25" customHeight="1">
      <c r="A1222" s="68"/>
      <c r="B1222" s="68"/>
      <c r="C1222" s="61" t="s">
        <v>129</v>
      </c>
      <c r="D1222" s="61" t="s">
        <v>130</v>
      </c>
      <c r="E1222" s="68"/>
      <c r="F1222" s="68"/>
      <c r="G1222" s="68"/>
      <c r="H1222" s="68"/>
      <c r="I1222" s="68"/>
      <c r="J1222" s="78"/>
      <c r="K1222" s="68"/>
      <c r="L1222" s="68"/>
      <c r="M1222" s="68"/>
      <c r="N1222" s="68"/>
      <c r="O1222" s="68"/>
      <c r="P1222" s="68"/>
      <c r="Q1222" s="68"/>
      <c r="R1222" s="68"/>
      <c r="S1222" s="68"/>
      <c r="T1222" s="68"/>
      <c r="U1222" s="68"/>
      <c r="V1222" s="68"/>
      <c r="W1222" s="68"/>
      <c r="X1222" s="68"/>
      <c r="Y1222" s="68"/>
      <c r="Z1222" s="68"/>
      <c r="AA1222" s="68"/>
      <c r="AB1222" s="68"/>
      <c r="AC1222" s="68"/>
      <c r="AD1222" s="68"/>
      <c r="AE1222" s="68"/>
    </row>
    <row r="1223" ht="26.25" customHeight="1">
      <c r="A1223" s="68"/>
      <c r="B1223" s="68"/>
      <c r="C1223" s="61" t="s">
        <v>129</v>
      </c>
      <c r="D1223" s="61" t="s">
        <v>130</v>
      </c>
      <c r="E1223" s="68"/>
      <c r="F1223" s="68"/>
      <c r="G1223" s="68"/>
      <c r="H1223" s="68"/>
      <c r="I1223" s="68"/>
      <c r="J1223" s="78"/>
      <c r="K1223" s="68"/>
      <c r="L1223" s="68"/>
      <c r="M1223" s="68"/>
      <c r="N1223" s="68"/>
      <c r="O1223" s="68"/>
      <c r="P1223" s="68"/>
      <c r="Q1223" s="68"/>
      <c r="R1223" s="68"/>
      <c r="S1223" s="68"/>
      <c r="T1223" s="68"/>
      <c r="U1223" s="68"/>
      <c r="V1223" s="68"/>
      <c r="W1223" s="68"/>
      <c r="X1223" s="68"/>
      <c r="Y1223" s="68"/>
      <c r="Z1223" s="68"/>
      <c r="AA1223" s="68"/>
      <c r="AB1223" s="68"/>
      <c r="AC1223" s="68"/>
      <c r="AD1223" s="68"/>
      <c r="AE1223" s="68"/>
    </row>
    <row r="1224" ht="26.25" customHeight="1">
      <c r="A1224" s="68"/>
      <c r="B1224" s="68"/>
      <c r="C1224" s="61" t="s">
        <v>129</v>
      </c>
      <c r="D1224" s="61" t="s">
        <v>130</v>
      </c>
      <c r="E1224" s="68"/>
      <c r="F1224" s="68"/>
      <c r="G1224" s="68"/>
      <c r="H1224" s="68"/>
      <c r="I1224" s="68"/>
      <c r="J1224" s="78"/>
      <c r="K1224" s="68"/>
      <c r="L1224" s="68"/>
      <c r="M1224" s="68"/>
      <c r="N1224" s="68"/>
      <c r="O1224" s="68"/>
      <c r="P1224" s="68"/>
      <c r="Q1224" s="68"/>
      <c r="R1224" s="68"/>
      <c r="S1224" s="68"/>
      <c r="T1224" s="68"/>
      <c r="U1224" s="68"/>
      <c r="V1224" s="68"/>
      <c r="W1224" s="68"/>
      <c r="X1224" s="68"/>
      <c r="Y1224" s="68"/>
      <c r="Z1224" s="68"/>
      <c r="AA1224" s="68"/>
      <c r="AB1224" s="68"/>
      <c r="AC1224" s="68"/>
      <c r="AD1224" s="68"/>
      <c r="AE1224" s="68"/>
    </row>
    <row r="1225" ht="26.25" customHeight="1">
      <c r="A1225" s="68"/>
      <c r="B1225" s="68"/>
      <c r="C1225" s="61" t="s">
        <v>129</v>
      </c>
      <c r="D1225" s="61" t="s">
        <v>130</v>
      </c>
      <c r="E1225" s="68"/>
      <c r="F1225" s="68"/>
      <c r="G1225" s="68"/>
      <c r="H1225" s="68"/>
      <c r="I1225" s="68"/>
      <c r="J1225" s="78"/>
      <c r="K1225" s="68"/>
      <c r="L1225" s="68"/>
      <c r="M1225" s="68"/>
      <c r="N1225" s="68"/>
      <c r="O1225" s="68"/>
      <c r="P1225" s="68"/>
      <c r="Q1225" s="68"/>
      <c r="R1225" s="68"/>
      <c r="S1225" s="68"/>
      <c r="T1225" s="68"/>
      <c r="U1225" s="68"/>
      <c r="V1225" s="68"/>
      <c r="W1225" s="68"/>
      <c r="X1225" s="68"/>
      <c r="Y1225" s="68"/>
      <c r="Z1225" s="68"/>
      <c r="AA1225" s="68"/>
      <c r="AB1225" s="68"/>
      <c r="AC1225" s="68"/>
      <c r="AD1225" s="68"/>
      <c r="AE1225" s="68"/>
    </row>
    <row r="1226" ht="26.25" customHeight="1">
      <c r="A1226" s="68"/>
      <c r="B1226" s="68"/>
      <c r="C1226" s="61" t="s">
        <v>129</v>
      </c>
      <c r="D1226" s="61" t="s">
        <v>130</v>
      </c>
      <c r="E1226" s="68"/>
      <c r="F1226" s="68"/>
      <c r="G1226" s="68"/>
      <c r="H1226" s="68"/>
      <c r="I1226" s="68"/>
      <c r="J1226" s="78"/>
      <c r="K1226" s="68"/>
      <c r="L1226" s="68"/>
      <c r="M1226" s="68"/>
      <c r="N1226" s="68"/>
      <c r="O1226" s="68"/>
      <c r="P1226" s="68"/>
      <c r="Q1226" s="68"/>
      <c r="R1226" s="68"/>
      <c r="S1226" s="68"/>
      <c r="T1226" s="68"/>
      <c r="U1226" s="68"/>
      <c r="V1226" s="68"/>
      <c r="W1226" s="68"/>
      <c r="X1226" s="68"/>
      <c r="Y1226" s="68"/>
      <c r="Z1226" s="68"/>
      <c r="AA1226" s="68"/>
      <c r="AB1226" s="68"/>
      <c r="AC1226" s="68"/>
      <c r="AD1226" s="68"/>
      <c r="AE1226" s="68"/>
    </row>
    <row r="1227" ht="26.25" customHeight="1">
      <c r="A1227" s="68"/>
      <c r="B1227" s="68"/>
      <c r="C1227" s="61" t="s">
        <v>129</v>
      </c>
      <c r="D1227" s="61" t="s">
        <v>130</v>
      </c>
      <c r="E1227" s="68"/>
      <c r="F1227" s="68"/>
      <c r="G1227" s="68"/>
      <c r="H1227" s="68"/>
      <c r="I1227" s="68"/>
      <c r="J1227" s="78"/>
      <c r="K1227" s="68"/>
      <c r="L1227" s="68"/>
      <c r="M1227" s="68"/>
      <c r="N1227" s="68"/>
      <c r="O1227" s="68"/>
      <c r="P1227" s="68"/>
      <c r="Q1227" s="68"/>
      <c r="R1227" s="68"/>
      <c r="S1227" s="68"/>
      <c r="T1227" s="68"/>
      <c r="U1227" s="68"/>
      <c r="V1227" s="68"/>
      <c r="W1227" s="68"/>
      <c r="X1227" s="68"/>
      <c r="Y1227" s="68"/>
      <c r="Z1227" s="68"/>
      <c r="AA1227" s="68"/>
      <c r="AB1227" s="68"/>
      <c r="AC1227" s="68"/>
      <c r="AD1227" s="68"/>
      <c r="AE1227" s="68"/>
    </row>
    <row r="1228" ht="26.25" customHeight="1">
      <c r="A1228" s="68"/>
      <c r="B1228" s="68"/>
      <c r="C1228" s="61" t="s">
        <v>129</v>
      </c>
      <c r="D1228" s="61" t="s">
        <v>130</v>
      </c>
      <c r="E1228" s="68"/>
      <c r="F1228" s="68"/>
      <c r="G1228" s="68"/>
      <c r="H1228" s="68"/>
      <c r="I1228" s="68"/>
      <c r="J1228" s="78"/>
      <c r="K1228" s="68"/>
      <c r="L1228" s="68"/>
      <c r="M1228" s="68"/>
      <c r="N1228" s="68"/>
      <c r="O1228" s="68"/>
      <c r="P1228" s="68"/>
      <c r="Q1228" s="68"/>
      <c r="R1228" s="68"/>
      <c r="S1228" s="68"/>
      <c r="T1228" s="68"/>
      <c r="U1228" s="68"/>
      <c r="V1228" s="68"/>
      <c r="W1228" s="68"/>
      <c r="X1228" s="68"/>
      <c r="Y1228" s="68"/>
      <c r="Z1228" s="68"/>
      <c r="AA1228" s="68"/>
      <c r="AB1228" s="68"/>
      <c r="AC1228" s="68"/>
      <c r="AD1228" s="68"/>
      <c r="AE1228" s="68"/>
    </row>
    <row r="1229" ht="26.25" customHeight="1">
      <c r="A1229" s="68"/>
      <c r="B1229" s="68"/>
      <c r="C1229" s="61" t="s">
        <v>129</v>
      </c>
      <c r="D1229" s="61" t="s">
        <v>130</v>
      </c>
      <c r="E1229" s="68"/>
      <c r="F1229" s="68"/>
      <c r="G1229" s="68"/>
      <c r="H1229" s="68"/>
      <c r="I1229" s="68"/>
      <c r="J1229" s="78"/>
      <c r="K1229" s="68"/>
      <c r="L1229" s="68"/>
      <c r="M1229" s="68"/>
      <c r="N1229" s="68"/>
      <c r="O1229" s="68"/>
      <c r="P1229" s="68"/>
      <c r="Q1229" s="68"/>
      <c r="R1229" s="68"/>
      <c r="S1229" s="68"/>
      <c r="T1229" s="68"/>
      <c r="U1229" s="68"/>
      <c r="V1229" s="68"/>
      <c r="W1229" s="68"/>
      <c r="X1229" s="68"/>
      <c r="Y1229" s="68"/>
      <c r="Z1229" s="68"/>
      <c r="AA1229" s="68"/>
      <c r="AB1229" s="68"/>
      <c r="AC1229" s="68"/>
      <c r="AD1229" s="68"/>
      <c r="AE1229" s="68"/>
    </row>
    <row r="1230" ht="26.25" customHeight="1">
      <c r="A1230" s="68"/>
      <c r="B1230" s="68"/>
      <c r="C1230" s="61" t="s">
        <v>129</v>
      </c>
      <c r="D1230" s="61" t="s">
        <v>130</v>
      </c>
      <c r="E1230" s="68"/>
      <c r="F1230" s="68"/>
      <c r="G1230" s="68"/>
      <c r="H1230" s="68"/>
      <c r="I1230" s="68"/>
      <c r="J1230" s="78"/>
      <c r="K1230" s="68"/>
      <c r="L1230" s="68"/>
      <c r="M1230" s="68"/>
      <c r="N1230" s="68"/>
      <c r="O1230" s="68"/>
      <c r="P1230" s="68"/>
      <c r="Q1230" s="68"/>
      <c r="R1230" s="68"/>
      <c r="S1230" s="68"/>
      <c r="T1230" s="68"/>
      <c r="U1230" s="68"/>
      <c r="V1230" s="68"/>
      <c r="W1230" s="68"/>
      <c r="X1230" s="68"/>
      <c r="Y1230" s="68"/>
      <c r="Z1230" s="68"/>
      <c r="AA1230" s="68"/>
      <c r="AB1230" s="68"/>
      <c r="AC1230" s="68"/>
      <c r="AD1230" s="68"/>
      <c r="AE1230" s="68"/>
    </row>
    <row r="1231" ht="26.25" customHeight="1">
      <c r="A1231" s="68"/>
      <c r="B1231" s="68"/>
      <c r="C1231" s="61" t="s">
        <v>129</v>
      </c>
      <c r="D1231" s="61" t="s">
        <v>130</v>
      </c>
      <c r="E1231" s="68"/>
      <c r="F1231" s="68"/>
      <c r="G1231" s="68"/>
      <c r="H1231" s="68"/>
      <c r="I1231" s="68"/>
      <c r="J1231" s="78"/>
      <c r="K1231" s="68"/>
      <c r="L1231" s="68"/>
      <c r="M1231" s="68"/>
      <c r="N1231" s="68"/>
      <c r="O1231" s="68"/>
      <c r="P1231" s="68"/>
      <c r="Q1231" s="68"/>
      <c r="R1231" s="68"/>
      <c r="S1231" s="68"/>
      <c r="T1231" s="68"/>
      <c r="U1231" s="68"/>
      <c r="V1231" s="68"/>
      <c r="W1231" s="68"/>
      <c r="X1231" s="68"/>
      <c r="Y1231" s="68"/>
      <c r="Z1231" s="68"/>
      <c r="AA1231" s="68"/>
      <c r="AB1231" s="68"/>
      <c r="AC1231" s="68"/>
      <c r="AD1231" s="68"/>
      <c r="AE1231" s="68"/>
    </row>
    <row r="1232" ht="26.25" customHeight="1">
      <c r="A1232" s="68"/>
      <c r="B1232" s="68"/>
      <c r="C1232" s="61" t="s">
        <v>129</v>
      </c>
      <c r="D1232" s="61" t="s">
        <v>130</v>
      </c>
      <c r="E1232" s="68"/>
      <c r="F1232" s="68"/>
      <c r="G1232" s="68"/>
      <c r="H1232" s="68"/>
      <c r="I1232" s="68"/>
      <c r="J1232" s="78"/>
      <c r="K1232" s="68"/>
      <c r="L1232" s="68"/>
      <c r="M1232" s="68"/>
      <c r="N1232" s="68"/>
      <c r="O1232" s="68"/>
      <c r="P1232" s="68"/>
      <c r="Q1232" s="68"/>
      <c r="R1232" s="68"/>
      <c r="S1232" s="68"/>
      <c r="T1232" s="68"/>
      <c r="U1232" s="68"/>
      <c r="V1232" s="68"/>
      <c r="W1232" s="68"/>
      <c r="X1232" s="68"/>
      <c r="Y1232" s="68"/>
      <c r="Z1232" s="68"/>
      <c r="AA1232" s="68"/>
      <c r="AB1232" s="68"/>
      <c r="AC1232" s="68"/>
      <c r="AD1232" s="68"/>
      <c r="AE1232" s="68"/>
    </row>
    <row r="1233" ht="26.25" customHeight="1">
      <c r="A1233" s="68"/>
      <c r="B1233" s="68"/>
      <c r="C1233" s="61" t="s">
        <v>129</v>
      </c>
      <c r="D1233" s="61" t="s">
        <v>130</v>
      </c>
      <c r="E1233" s="68"/>
      <c r="F1233" s="68"/>
      <c r="G1233" s="68"/>
      <c r="H1233" s="68"/>
      <c r="I1233" s="68"/>
      <c r="J1233" s="78"/>
      <c r="K1233" s="68"/>
      <c r="L1233" s="68"/>
      <c r="M1233" s="68"/>
      <c r="N1233" s="68"/>
      <c r="O1233" s="68"/>
      <c r="P1233" s="68"/>
      <c r="Q1233" s="68"/>
      <c r="R1233" s="68"/>
      <c r="S1233" s="68"/>
      <c r="T1233" s="68"/>
      <c r="U1233" s="68"/>
      <c r="V1233" s="68"/>
      <c r="W1233" s="68"/>
      <c r="X1233" s="68"/>
      <c r="Y1233" s="68"/>
      <c r="Z1233" s="68"/>
      <c r="AA1233" s="68"/>
      <c r="AB1233" s="68"/>
      <c r="AC1233" s="68"/>
      <c r="AD1233" s="68"/>
      <c r="AE1233" s="68"/>
    </row>
    <row r="1234" ht="26.25" customHeight="1">
      <c r="A1234" s="68"/>
      <c r="B1234" s="68"/>
      <c r="C1234" s="61" t="s">
        <v>129</v>
      </c>
      <c r="D1234" s="61" t="s">
        <v>130</v>
      </c>
      <c r="E1234" s="68"/>
      <c r="F1234" s="68"/>
      <c r="G1234" s="68"/>
      <c r="H1234" s="68"/>
      <c r="I1234" s="68"/>
      <c r="J1234" s="78"/>
      <c r="K1234" s="68"/>
      <c r="L1234" s="68"/>
      <c r="M1234" s="68"/>
      <c r="N1234" s="68"/>
      <c r="O1234" s="68"/>
      <c r="P1234" s="68"/>
      <c r="Q1234" s="68"/>
      <c r="R1234" s="68"/>
      <c r="S1234" s="68"/>
      <c r="T1234" s="68"/>
      <c r="U1234" s="68"/>
      <c r="V1234" s="68"/>
      <c r="W1234" s="68"/>
      <c r="X1234" s="68"/>
      <c r="Y1234" s="68"/>
      <c r="Z1234" s="68"/>
      <c r="AA1234" s="68"/>
      <c r="AB1234" s="68"/>
      <c r="AC1234" s="68"/>
      <c r="AD1234" s="68"/>
      <c r="AE1234" s="68"/>
    </row>
    <row r="1235" ht="26.25" customHeight="1">
      <c r="A1235" s="68"/>
      <c r="B1235" s="68"/>
      <c r="C1235" s="61" t="s">
        <v>129</v>
      </c>
      <c r="D1235" s="61" t="s">
        <v>130</v>
      </c>
      <c r="E1235" s="68"/>
      <c r="F1235" s="68"/>
      <c r="G1235" s="68"/>
      <c r="H1235" s="68"/>
      <c r="I1235" s="68"/>
      <c r="J1235" s="78"/>
      <c r="K1235" s="68"/>
      <c r="L1235" s="68"/>
      <c r="M1235" s="68"/>
      <c r="N1235" s="68"/>
      <c r="O1235" s="68"/>
      <c r="P1235" s="68"/>
      <c r="Q1235" s="68"/>
      <c r="R1235" s="68"/>
      <c r="S1235" s="68"/>
      <c r="T1235" s="68"/>
      <c r="U1235" s="68"/>
      <c r="V1235" s="68"/>
      <c r="W1235" s="68"/>
      <c r="X1235" s="68"/>
      <c r="Y1235" s="68"/>
      <c r="Z1235" s="68"/>
      <c r="AA1235" s="68"/>
      <c r="AB1235" s="68"/>
      <c r="AC1235" s="68"/>
      <c r="AD1235" s="68"/>
      <c r="AE1235" s="68"/>
    </row>
    <row r="1236" ht="26.25" customHeight="1">
      <c r="A1236" s="68"/>
      <c r="B1236" s="68"/>
      <c r="C1236" s="61" t="s">
        <v>129</v>
      </c>
      <c r="D1236" s="61" t="s">
        <v>130</v>
      </c>
      <c r="E1236" s="68"/>
      <c r="F1236" s="68"/>
      <c r="G1236" s="68"/>
      <c r="H1236" s="68"/>
      <c r="I1236" s="68"/>
      <c r="J1236" s="78"/>
      <c r="K1236" s="68"/>
      <c r="L1236" s="68"/>
      <c r="M1236" s="68"/>
      <c r="N1236" s="68"/>
      <c r="O1236" s="68"/>
      <c r="P1236" s="68"/>
      <c r="Q1236" s="68"/>
      <c r="R1236" s="68"/>
      <c r="S1236" s="68"/>
      <c r="T1236" s="68"/>
      <c r="U1236" s="68"/>
      <c r="V1236" s="68"/>
      <c r="W1236" s="68"/>
      <c r="X1236" s="68"/>
      <c r="Y1236" s="68"/>
      <c r="Z1236" s="68"/>
      <c r="AA1236" s="68"/>
      <c r="AB1236" s="68"/>
      <c r="AC1236" s="68"/>
      <c r="AD1236" s="68"/>
      <c r="AE1236" s="68"/>
    </row>
    <row r="1237" ht="26.25" customHeight="1">
      <c r="A1237" s="68"/>
      <c r="B1237" s="68"/>
      <c r="C1237" s="61" t="s">
        <v>129</v>
      </c>
      <c r="D1237" s="61" t="s">
        <v>130</v>
      </c>
      <c r="E1237" s="68"/>
      <c r="F1237" s="68"/>
      <c r="G1237" s="68"/>
      <c r="H1237" s="68"/>
      <c r="I1237" s="68"/>
      <c r="J1237" s="78"/>
      <c r="K1237" s="68"/>
      <c r="L1237" s="68"/>
      <c r="M1237" s="68"/>
      <c r="N1237" s="68"/>
      <c r="O1237" s="68"/>
      <c r="P1237" s="68"/>
      <c r="Q1237" s="68"/>
      <c r="R1237" s="68"/>
      <c r="S1237" s="68"/>
      <c r="T1237" s="68"/>
      <c r="U1237" s="68"/>
      <c r="V1237" s="68"/>
      <c r="W1237" s="68"/>
      <c r="X1237" s="68"/>
      <c r="Y1237" s="68"/>
      <c r="Z1237" s="68"/>
      <c r="AA1237" s="68"/>
      <c r="AB1237" s="68"/>
      <c r="AC1237" s="68"/>
      <c r="AD1237" s="68"/>
      <c r="AE1237" s="68"/>
    </row>
    <row r="1238" ht="26.25" customHeight="1">
      <c r="A1238" s="68"/>
      <c r="B1238" s="68"/>
      <c r="C1238" s="61" t="s">
        <v>129</v>
      </c>
      <c r="D1238" s="61" t="s">
        <v>130</v>
      </c>
      <c r="E1238" s="68"/>
      <c r="F1238" s="68"/>
      <c r="G1238" s="68"/>
      <c r="H1238" s="68"/>
      <c r="I1238" s="68"/>
      <c r="J1238" s="78"/>
      <c r="K1238" s="68"/>
      <c r="L1238" s="68"/>
      <c r="M1238" s="68"/>
      <c r="N1238" s="68"/>
      <c r="O1238" s="68"/>
      <c r="P1238" s="68"/>
      <c r="Q1238" s="68"/>
      <c r="R1238" s="68"/>
      <c r="S1238" s="68"/>
      <c r="T1238" s="68"/>
      <c r="U1238" s="68"/>
      <c r="V1238" s="68"/>
      <c r="W1238" s="68"/>
      <c r="X1238" s="68"/>
      <c r="Y1238" s="68"/>
      <c r="Z1238" s="68"/>
      <c r="AA1238" s="68"/>
      <c r="AB1238" s="68"/>
      <c r="AC1238" s="68"/>
      <c r="AD1238" s="68"/>
      <c r="AE1238" s="68"/>
    </row>
    <row r="1239" ht="26.25" customHeight="1">
      <c r="A1239" s="68"/>
      <c r="B1239" s="68"/>
      <c r="C1239" s="61" t="s">
        <v>129</v>
      </c>
      <c r="D1239" s="61" t="s">
        <v>130</v>
      </c>
      <c r="E1239" s="68"/>
      <c r="F1239" s="68"/>
      <c r="G1239" s="68"/>
      <c r="H1239" s="68"/>
      <c r="I1239" s="68"/>
      <c r="J1239" s="78"/>
      <c r="K1239" s="68"/>
      <c r="L1239" s="68"/>
      <c r="M1239" s="68"/>
      <c r="N1239" s="68"/>
      <c r="O1239" s="68"/>
      <c r="P1239" s="68"/>
      <c r="Q1239" s="68"/>
      <c r="R1239" s="68"/>
      <c r="S1239" s="68"/>
      <c r="T1239" s="68"/>
      <c r="U1239" s="68"/>
      <c r="V1239" s="68"/>
      <c r="W1239" s="68"/>
      <c r="X1239" s="68"/>
      <c r="Y1239" s="68"/>
      <c r="Z1239" s="68"/>
      <c r="AA1239" s="68"/>
      <c r="AB1239" s="68"/>
      <c r="AC1239" s="68"/>
      <c r="AD1239" s="68"/>
      <c r="AE1239" s="68"/>
    </row>
    <row r="1240" ht="26.25" customHeight="1">
      <c r="A1240" s="68"/>
      <c r="B1240" s="68"/>
      <c r="C1240" s="61" t="s">
        <v>129</v>
      </c>
      <c r="D1240" s="61" t="s">
        <v>130</v>
      </c>
      <c r="E1240" s="68"/>
      <c r="F1240" s="68"/>
      <c r="G1240" s="68"/>
      <c r="H1240" s="68"/>
      <c r="I1240" s="68"/>
      <c r="J1240" s="78"/>
      <c r="K1240" s="68"/>
      <c r="L1240" s="68"/>
      <c r="M1240" s="68"/>
      <c r="N1240" s="68"/>
      <c r="O1240" s="68"/>
      <c r="P1240" s="68"/>
      <c r="Q1240" s="68"/>
      <c r="R1240" s="68"/>
      <c r="S1240" s="68"/>
      <c r="T1240" s="68"/>
      <c r="U1240" s="68"/>
      <c r="V1240" s="68"/>
      <c r="W1240" s="68"/>
      <c r="X1240" s="68"/>
      <c r="Y1240" s="68"/>
      <c r="Z1240" s="68"/>
      <c r="AA1240" s="68"/>
      <c r="AB1240" s="68"/>
      <c r="AC1240" s="68"/>
      <c r="AD1240" s="68"/>
      <c r="AE1240" s="68"/>
    </row>
    <row r="1241" ht="26.25" customHeight="1">
      <c r="A1241" s="68"/>
      <c r="B1241" s="68"/>
      <c r="C1241" s="61" t="s">
        <v>129</v>
      </c>
      <c r="D1241" s="61" t="s">
        <v>130</v>
      </c>
      <c r="E1241" s="68"/>
      <c r="F1241" s="68"/>
      <c r="G1241" s="68"/>
      <c r="H1241" s="68"/>
      <c r="I1241" s="68"/>
      <c r="J1241" s="78"/>
      <c r="K1241" s="68"/>
      <c r="L1241" s="68"/>
      <c r="M1241" s="68"/>
      <c r="N1241" s="68"/>
      <c r="O1241" s="68"/>
      <c r="P1241" s="68"/>
      <c r="Q1241" s="68"/>
      <c r="R1241" s="68"/>
      <c r="S1241" s="68"/>
      <c r="T1241" s="68"/>
      <c r="U1241" s="68"/>
      <c r="V1241" s="68"/>
      <c r="W1241" s="68"/>
      <c r="X1241" s="68"/>
      <c r="Y1241" s="68"/>
      <c r="Z1241" s="68"/>
      <c r="AA1241" s="68"/>
      <c r="AB1241" s="68"/>
      <c r="AC1241" s="68"/>
      <c r="AD1241" s="68"/>
      <c r="AE1241" s="68"/>
    </row>
    <row r="1242" ht="26.25" customHeight="1">
      <c r="A1242" s="68"/>
      <c r="B1242" s="68"/>
      <c r="C1242" s="61" t="s">
        <v>129</v>
      </c>
      <c r="D1242" s="61" t="s">
        <v>130</v>
      </c>
      <c r="E1242" s="68"/>
      <c r="F1242" s="68"/>
      <c r="G1242" s="68"/>
      <c r="H1242" s="68"/>
      <c r="I1242" s="68"/>
      <c r="J1242" s="78"/>
      <c r="K1242" s="68"/>
      <c r="L1242" s="68"/>
      <c r="M1242" s="68"/>
      <c r="N1242" s="68"/>
      <c r="O1242" s="68"/>
      <c r="P1242" s="68"/>
      <c r="Q1242" s="68"/>
      <c r="R1242" s="68"/>
      <c r="S1242" s="68"/>
      <c r="T1242" s="68"/>
      <c r="U1242" s="68"/>
      <c r="V1242" s="68"/>
      <c r="W1242" s="68"/>
      <c r="X1242" s="68"/>
      <c r="Y1242" s="68"/>
      <c r="Z1242" s="68"/>
      <c r="AA1242" s="68"/>
      <c r="AB1242" s="68"/>
      <c r="AC1242" s="68"/>
      <c r="AD1242" s="68"/>
      <c r="AE1242" s="68"/>
    </row>
    <row r="1243" ht="26.25" customHeight="1">
      <c r="A1243" s="68"/>
      <c r="B1243" s="68"/>
      <c r="C1243" s="61" t="s">
        <v>129</v>
      </c>
      <c r="D1243" s="61" t="s">
        <v>130</v>
      </c>
      <c r="E1243" s="68"/>
      <c r="F1243" s="68"/>
      <c r="G1243" s="68"/>
      <c r="H1243" s="68"/>
      <c r="I1243" s="68"/>
      <c r="J1243" s="78"/>
      <c r="K1243" s="68"/>
      <c r="L1243" s="68"/>
      <c r="M1243" s="68"/>
      <c r="N1243" s="68"/>
      <c r="O1243" s="68"/>
      <c r="P1243" s="68"/>
      <c r="Q1243" s="68"/>
      <c r="R1243" s="68"/>
      <c r="S1243" s="68"/>
      <c r="T1243" s="68"/>
      <c r="U1243" s="68"/>
      <c r="V1243" s="68"/>
      <c r="W1243" s="68"/>
      <c r="X1243" s="68"/>
      <c r="Y1243" s="68"/>
      <c r="Z1243" s="68"/>
      <c r="AA1243" s="68"/>
      <c r="AB1243" s="68"/>
      <c r="AC1243" s="68"/>
      <c r="AD1243" s="68"/>
      <c r="AE1243" s="68"/>
    </row>
    <row r="1244" ht="26.25" customHeight="1">
      <c r="A1244" s="68"/>
      <c r="B1244" s="68"/>
      <c r="C1244" s="61" t="s">
        <v>129</v>
      </c>
      <c r="D1244" s="61" t="s">
        <v>130</v>
      </c>
      <c r="E1244" s="68"/>
      <c r="F1244" s="68"/>
      <c r="G1244" s="68"/>
      <c r="H1244" s="68"/>
      <c r="I1244" s="68"/>
      <c r="J1244" s="78"/>
      <c r="K1244" s="68"/>
      <c r="L1244" s="68"/>
      <c r="M1244" s="68"/>
      <c r="N1244" s="68"/>
      <c r="O1244" s="68"/>
      <c r="P1244" s="68"/>
      <c r="Q1244" s="68"/>
      <c r="R1244" s="68"/>
      <c r="S1244" s="68"/>
      <c r="T1244" s="68"/>
      <c r="U1244" s="68"/>
      <c r="V1244" s="68"/>
      <c r="W1244" s="68"/>
      <c r="X1244" s="68"/>
      <c r="Y1244" s="68"/>
      <c r="Z1244" s="68"/>
      <c r="AA1244" s="68"/>
      <c r="AB1244" s="68"/>
      <c r="AC1244" s="68"/>
      <c r="AD1244" s="68"/>
      <c r="AE1244" s="68"/>
    </row>
    <row r="1245" ht="26.25" customHeight="1">
      <c r="A1245" s="68"/>
      <c r="B1245" s="68"/>
      <c r="C1245" s="61" t="s">
        <v>129</v>
      </c>
      <c r="D1245" s="61" t="s">
        <v>130</v>
      </c>
      <c r="E1245" s="68"/>
      <c r="F1245" s="68"/>
      <c r="G1245" s="68"/>
      <c r="H1245" s="68"/>
      <c r="I1245" s="68"/>
      <c r="J1245" s="78"/>
      <c r="K1245" s="68"/>
      <c r="L1245" s="68"/>
      <c r="M1245" s="68"/>
      <c r="N1245" s="68"/>
      <c r="O1245" s="68"/>
      <c r="P1245" s="68"/>
      <c r="Q1245" s="68"/>
      <c r="R1245" s="68"/>
      <c r="S1245" s="68"/>
      <c r="T1245" s="68"/>
      <c r="U1245" s="68"/>
      <c r="V1245" s="68"/>
      <c r="W1245" s="68"/>
      <c r="X1245" s="68"/>
      <c r="Y1245" s="68"/>
      <c r="Z1245" s="68"/>
      <c r="AA1245" s="68"/>
      <c r="AB1245" s="68"/>
      <c r="AC1245" s="68"/>
      <c r="AD1245" s="68"/>
      <c r="AE1245" s="68"/>
    </row>
    <row r="1246" ht="26.25" customHeight="1">
      <c r="A1246" s="68"/>
      <c r="B1246" s="68"/>
      <c r="C1246" s="61" t="s">
        <v>129</v>
      </c>
      <c r="D1246" s="61" t="s">
        <v>130</v>
      </c>
      <c r="E1246" s="68"/>
      <c r="F1246" s="68"/>
      <c r="G1246" s="68"/>
      <c r="H1246" s="68"/>
      <c r="I1246" s="68"/>
      <c r="J1246" s="78"/>
      <c r="K1246" s="68"/>
      <c r="L1246" s="68"/>
      <c r="M1246" s="68"/>
      <c r="N1246" s="68"/>
      <c r="O1246" s="68"/>
      <c r="P1246" s="68"/>
      <c r="Q1246" s="68"/>
      <c r="R1246" s="68"/>
      <c r="S1246" s="68"/>
      <c r="T1246" s="68"/>
      <c r="U1246" s="68"/>
      <c r="V1246" s="68"/>
      <c r="W1246" s="68"/>
      <c r="X1246" s="68"/>
      <c r="Y1246" s="68"/>
      <c r="Z1246" s="68"/>
      <c r="AA1246" s="68"/>
      <c r="AB1246" s="68"/>
      <c r="AC1246" s="68"/>
      <c r="AD1246" s="68"/>
      <c r="AE1246" s="68"/>
    </row>
    <row r="1247" ht="26.25" customHeight="1">
      <c r="A1247" s="68"/>
      <c r="B1247" s="68"/>
      <c r="C1247" s="61" t="s">
        <v>129</v>
      </c>
      <c r="D1247" s="61" t="s">
        <v>130</v>
      </c>
      <c r="E1247" s="68"/>
      <c r="F1247" s="68"/>
      <c r="G1247" s="68"/>
      <c r="H1247" s="68"/>
      <c r="I1247" s="68"/>
      <c r="J1247" s="78"/>
      <c r="K1247" s="68"/>
      <c r="L1247" s="68"/>
      <c r="M1247" s="68"/>
      <c r="N1247" s="68"/>
      <c r="O1247" s="68"/>
      <c r="P1247" s="68"/>
      <c r="Q1247" s="68"/>
      <c r="R1247" s="68"/>
      <c r="S1247" s="68"/>
      <c r="T1247" s="68"/>
      <c r="U1247" s="68"/>
      <c r="V1247" s="68"/>
      <c r="W1247" s="68"/>
      <c r="X1247" s="68"/>
      <c r="Y1247" s="68"/>
      <c r="Z1247" s="68"/>
      <c r="AA1247" s="68"/>
      <c r="AB1247" s="68"/>
      <c r="AC1247" s="68"/>
      <c r="AD1247" s="68"/>
      <c r="AE1247" s="68"/>
    </row>
    <row r="1248" ht="26.25" customHeight="1">
      <c r="A1248" s="68"/>
      <c r="B1248" s="68"/>
      <c r="C1248" s="61" t="s">
        <v>129</v>
      </c>
      <c r="D1248" s="61" t="s">
        <v>130</v>
      </c>
      <c r="E1248" s="68"/>
      <c r="F1248" s="68"/>
      <c r="G1248" s="68"/>
      <c r="H1248" s="68"/>
      <c r="I1248" s="68"/>
      <c r="J1248" s="78"/>
      <c r="K1248" s="68"/>
      <c r="L1248" s="68"/>
      <c r="M1248" s="68"/>
      <c r="N1248" s="68"/>
      <c r="O1248" s="68"/>
      <c r="P1248" s="68"/>
      <c r="Q1248" s="68"/>
      <c r="R1248" s="68"/>
      <c r="S1248" s="68"/>
      <c r="T1248" s="68"/>
      <c r="U1248" s="68"/>
      <c r="V1248" s="68"/>
      <c r="W1248" s="68"/>
      <c r="X1248" s="68"/>
      <c r="Y1248" s="68"/>
      <c r="Z1248" s="68"/>
      <c r="AA1248" s="68"/>
      <c r="AB1248" s="68"/>
      <c r="AC1248" s="68"/>
      <c r="AD1248" s="68"/>
      <c r="AE1248" s="68"/>
    </row>
    <row r="1249" ht="26.25" customHeight="1">
      <c r="A1249" s="68"/>
      <c r="B1249" s="68"/>
      <c r="C1249" s="61" t="s">
        <v>129</v>
      </c>
      <c r="D1249" s="61" t="s">
        <v>130</v>
      </c>
      <c r="E1249" s="68"/>
      <c r="F1249" s="68"/>
      <c r="G1249" s="68"/>
      <c r="H1249" s="68"/>
      <c r="I1249" s="68"/>
      <c r="J1249" s="78"/>
      <c r="K1249" s="68"/>
      <c r="L1249" s="68"/>
      <c r="M1249" s="68"/>
      <c r="N1249" s="68"/>
      <c r="O1249" s="68"/>
      <c r="P1249" s="68"/>
      <c r="Q1249" s="68"/>
      <c r="R1249" s="68"/>
      <c r="S1249" s="68"/>
      <c r="T1249" s="68"/>
      <c r="U1249" s="68"/>
      <c r="V1249" s="68"/>
      <c r="W1249" s="68"/>
      <c r="X1249" s="68"/>
      <c r="Y1249" s="68"/>
      <c r="Z1249" s="68"/>
      <c r="AA1249" s="68"/>
      <c r="AB1249" s="68"/>
      <c r="AC1249" s="68"/>
      <c r="AD1249" s="68"/>
      <c r="AE1249" s="68"/>
    </row>
    <row r="1250" ht="26.25" customHeight="1">
      <c r="A1250" s="68"/>
      <c r="B1250" s="68"/>
      <c r="C1250" s="61" t="s">
        <v>129</v>
      </c>
      <c r="D1250" s="61" t="s">
        <v>130</v>
      </c>
      <c r="E1250" s="68"/>
      <c r="F1250" s="68"/>
      <c r="G1250" s="68"/>
      <c r="H1250" s="68"/>
      <c r="I1250" s="68"/>
      <c r="J1250" s="78"/>
      <c r="K1250" s="68"/>
      <c r="L1250" s="68"/>
      <c r="M1250" s="68"/>
      <c r="N1250" s="68"/>
      <c r="O1250" s="68"/>
      <c r="P1250" s="68"/>
      <c r="Q1250" s="68"/>
      <c r="R1250" s="68"/>
      <c r="S1250" s="68"/>
      <c r="T1250" s="68"/>
      <c r="U1250" s="68"/>
      <c r="V1250" s="68"/>
      <c r="W1250" s="68"/>
      <c r="X1250" s="68"/>
      <c r="Y1250" s="68"/>
      <c r="Z1250" s="68"/>
      <c r="AA1250" s="68"/>
      <c r="AB1250" s="68"/>
      <c r="AC1250" s="68"/>
      <c r="AD1250" s="68"/>
      <c r="AE1250" s="68"/>
    </row>
    <row r="1251" ht="26.25" customHeight="1">
      <c r="A1251" s="68"/>
      <c r="B1251" s="68"/>
      <c r="C1251" s="61" t="s">
        <v>129</v>
      </c>
      <c r="D1251" s="61" t="s">
        <v>130</v>
      </c>
      <c r="E1251" s="68"/>
      <c r="F1251" s="68"/>
      <c r="G1251" s="68"/>
      <c r="H1251" s="68"/>
      <c r="I1251" s="68"/>
      <c r="J1251" s="78"/>
      <c r="K1251" s="68"/>
      <c r="L1251" s="68"/>
      <c r="M1251" s="68"/>
      <c r="N1251" s="68"/>
      <c r="O1251" s="68"/>
      <c r="P1251" s="68"/>
      <c r="Q1251" s="68"/>
      <c r="R1251" s="68"/>
      <c r="S1251" s="68"/>
      <c r="T1251" s="68"/>
      <c r="U1251" s="68"/>
      <c r="V1251" s="68"/>
      <c r="W1251" s="68"/>
      <c r="X1251" s="68"/>
      <c r="Y1251" s="68"/>
      <c r="Z1251" s="68"/>
      <c r="AA1251" s="68"/>
      <c r="AB1251" s="68"/>
      <c r="AC1251" s="68"/>
      <c r="AD1251" s="68"/>
      <c r="AE1251" s="68"/>
    </row>
    <row r="1252" ht="26.25" customHeight="1">
      <c r="A1252" s="68"/>
      <c r="B1252" s="68"/>
      <c r="C1252" s="61" t="s">
        <v>129</v>
      </c>
      <c r="D1252" s="61" t="s">
        <v>130</v>
      </c>
      <c r="E1252" s="68"/>
      <c r="F1252" s="68"/>
      <c r="G1252" s="68"/>
      <c r="H1252" s="68"/>
      <c r="I1252" s="68"/>
      <c r="J1252" s="78"/>
      <c r="K1252" s="68"/>
      <c r="L1252" s="68"/>
      <c r="M1252" s="68"/>
      <c r="N1252" s="68"/>
      <c r="O1252" s="68"/>
      <c r="P1252" s="68"/>
      <c r="Q1252" s="68"/>
      <c r="R1252" s="68"/>
      <c r="S1252" s="68"/>
      <c r="T1252" s="68"/>
      <c r="U1252" s="68"/>
      <c r="V1252" s="68"/>
      <c r="W1252" s="68"/>
      <c r="X1252" s="68"/>
      <c r="Y1252" s="68"/>
      <c r="Z1252" s="68"/>
      <c r="AA1252" s="68"/>
      <c r="AB1252" s="68"/>
      <c r="AC1252" s="68"/>
      <c r="AD1252" s="68"/>
      <c r="AE1252" s="68"/>
    </row>
    <row r="1253" ht="26.25" customHeight="1">
      <c r="A1253" s="68"/>
      <c r="B1253" s="68"/>
      <c r="C1253" s="61" t="s">
        <v>129</v>
      </c>
      <c r="D1253" s="61" t="s">
        <v>130</v>
      </c>
      <c r="E1253" s="68"/>
      <c r="F1253" s="68"/>
      <c r="G1253" s="68"/>
      <c r="H1253" s="68"/>
      <c r="I1253" s="68"/>
      <c r="J1253" s="78"/>
      <c r="K1253" s="68"/>
      <c r="L1253" s="68"/>
      <c r="M1253" s="68"/>
      <c r="N1253" s="68"/>
      <c r="O1253" s="68"/>
      <c r="P1253" s="68"/>
      <c r="Q1253" s="68"/>
      <c r="R1253" s="68"/>
      <c r="S1253" s="68"/>
      <c r="T1253" s="68"/>
      <c r="U1253" s="68"/>
      <c r="V1253" s="68"/>
      <c r="W1253" s="68"/>
      <c r="X1253" s="68"/>
      <c r="Y1253" s="68"/>
      <c r="Z1253" s="68"/>
      <c r="AA1253" s="68"/>
      <c r="AB1253" s="68"/>
      <c r="AC1253" s="68"/>
      <c r="AD1253" s="68"/>
      <c r="AE1253" s="68"/>
    </row>
    <row r="1254" ht="26.25" customHeight="1">
      <c r="A1254" s="68"/>
      <c r="B1254" s="68"/>
      <c r="C1254" s="61" t="s">
        <v>129</v>
      </c>
      <c r="D1254" s="61" t="s">
        <v>130</v>
      </c>
      <c r="E1254" s="68"/>
      <c r="F1254" s="68"/>
      <c r="G1254" s="68"/>
      <c r="H1254" s="68"/>
      <c r="I1254" s="68"/>
      <c r="J1254" s="78"/>
      <c r="K1254" s="68"/>
      <c r="L1254" s="68"/>
      <c r="M1254" s="68"/>
      <c r="N1254" s="68"/>
      <c r="O1254" s="68"/>
      <c r="P1254" s="68"/>
      <c r="Q1254" s="68"/>
      <c r="R1254" s="68"/>
      <c r="S1254" s="68"/>
      <c r="T1254" s="68"/>
      <c r="U1254" s="68"/>
      <c r="V1254" s="68"/>
      <c r="W1254" s="68"/>
      <c r="X1254" s="68"/>
      <c r="Y1254" s="68"/>
      <c r="Z1254" s="68"/>
      <c r="AA1254" s="68"/>
      <c r="AB1254" s="68"/>
      <c r="AC1254" s="68"/>
      <c r="AD1254" s="68"/>
      <c r="AE1254" s="68"/>
    </row>
    <row r="1255" ht="26.25" customHeight="1">
      <c r="A1255" s="68"/>
      <c r="B1255" s="68"/>
      <c r="C1255" s="61" t="s">
        <v>129</v>
      </c>
      <c r="D1255" s="61" t="s">
        <v>130</v>
      </c>
      <c r="E1255" s="68"/>
      <c r="F1255" s="68"/>
      <c r="G1255" s="68"/>
      <c r="H1255" s="68"/>
      <c r="I1255" s="68"/>
      <c r="J1255" s="78"/>
      <c r="K1255" s="68"/>
      <c r="L1255" s="68"/>
      <c r="M1255" s="68"/>
      <c r="N1255" s="68"/>
      <c r="O1255" s="68"/>
      <c r="P1255" s="68"/>
      <c r="Q1255" s="68"/>
      <c r="R1255" s="68"/>
      <c r="S1255" s="68"/>
      <c r="T1255" s="68"/>
      <c r="U1255" s="68"/>
      <c r="V1255" s="68"/>
      <c r="W1255" s="68"/>
      <c r="X1255" s="68"/>
      <c r="Y1255" s="68"/>
      <c r="Z1255" s="68"/>
      <c r="AA1255" s="68"/>
      <c r="AB1255" s="68"/>
      <c r="AC1255" s="68"/>
      <c r="AD1255" s="68"/>
      <c r="AE1255" s="68"/>
    </row>
    <row r="1256" ht="26.25" customHeight="1">
      <c r="A1256" s="68"/>
      <c r="B1256" s="68"/>
      <c r="C1256" s="61" t="s">
        <v>129</v>
      </c>
      <c r="D1256" s="61" t="s">
        <v>130</v>
      </c>
      <c r="E1256" s="68"/>
      <c r="F1256" s="68"/>
      <c r="G1256" s="68"/>
      <c r="H1256" s="68"/>
      <c r="I1256" s="68"/>
      <c r="J1256" s="78"/>
      <c r="K1256" s="68"/>
      <c r="L1256" s="68"/>
      <c r="M1256" s="68"/>
      <c r="N1256" s="68"/>
      <c r="O1256" s="68"/>
      <c r="P1256" s="68"/>
      <c r="Q1256" s="68"/>
      <c r="R1256" s="68"/>
      <c r="S1256" s="68"/>
      <c r="T1256" s="68"/>
      <c r="U1256" s="68"/>
      <c r="V1256" s="68"/>
      <c r="W1256" s="68"/>
      <c r="X1256" s="68"/>
      <c r="Y1256" s="68"/>
      <c r="Z1256" s="68"/>
      <c r="AA1256" s="68"/>
      <c r="AB1256" s="68"/>
      <c r="AC1256" s="68"/>
      <c r="AD1256" s="68"/>
      <c r="AE1256" s="68"/>
    </row>
    <row r="1257" ht="26.25" customHeight="1">
      <c r="A1257" s="68"/>
      <c r="B1257" s="68"/>
      <c r="C1257" s="61" t="s">
        <v>129</v>
      </c>
      <c r="D1257" s="61" t="s">
        <v>130</v>
      </c>
      <c r="E1257" s="68"/>
      <c r="F1257" s="68"/>
      <c r="G1257" s="68"/>
      <c r="H1257" s="68"/>
      <c r="I1257" s="68"/>
      <c r="J1257" s="78"/>
      <c r="K1257" s="68"/>
      <c r="L1257" s="68"/>
      <c r="M1257" s="68"/>
      <c r="N1257" s="68"/>
      <c r="O1257" s="68"/>
      <c r="P1257" s="68"/>
      <c r="Q1257" s="68"/>
      <c r="R1257" s="68"/>
      <c r="S1257" s="68"/>
      <c r="T1257" s="68"/>
      <c r="U1257" s="68"/>
      <c r="V1257" s="68"/>
      <c r="W1257" s="68"/>
      <c r="X1257" s="68"/>
      <c r="Y1257" s="68"/>
      <c r="Z1257" s="68"/>
      <c r="AA1257" s="68"/>
      <c r="AB1257" s="68"/>
      <c r="AC1257" s="68"/>
      <c r="AD1257" s="68"/>
      <c r="AE1257" s="68"/>
    </row>
    <row r="1258" ht="26.25" customHeight="1">
      <c r="A1258" s="68"/>
      <c r="B1258" s="68"/>
      <c r="C1258" s="61" t="s">
        <v>129</v>
      </c>
      <c r="D1258" s="61" t="s">
        <v>130</v>
      </c>
      <c r="E1258" s="68"/>
      <c r="F1258" s="68"/>
      <c r="G1258" s="68"/>
      <c r="H1258" s="68"/>
      <c r="I1258" s="68"/>
      <c r="J1258" s="78"/>
      <c r="K1258" s="68"/>
      <c r="L1258" s="68"/>
      <c r="M1258" s="68"/>
      <c r="N1258" s="68"/>
      <c r="O1258" s="68"/>
      <c r="P1258" s="68"/>
      <c r="Q1258" s="68"/>
      <c r="R1258" s="68"/>
      <c r="S1258" s="68"/>
      <c r="T1258" s="68"/>
      <c r="U1258" s="68"/>
      <c r="V1258" s="68"/>
      <c r="W1258" s="68"/>
      <c r="X1258" s="68"/>
      <c r="Y1258" s="68"/>
      <c r="Z1258" s="68"/>
      <c r="AA1258" s="68"/>
      <c r="AB1258" s="68"/>
      <c r="AC1258" s="68"/>
      <c r="AD1258" s="68"/>
      <c r="AE1258" s="68"/>
    </row>
    <row r="1259" ht="26.25" customHeight="1">
      <c r="A1259" s="68"/>
      <c r="B1259" s="68"/>
      <c r="C1259" s="61" t="s">
        <v>129</v>
      </c>
      <c r="D1259" s="61" t="s">
        <v>130</v>
      </c>
      <c r="E1259" s="68"/>
      <c r="F1259" s="68"/>
      <c r="G1259" s="68"/>
      <c r="H1259" s="68"/>
      <c r="I1259" s="68"/>
      <c r="J1259" s="78"/>
      <c r="K1259" s="68"/>
      <c r="L1259" s="68"/>
      <c r="M1259" s="68"/>
      <c r="N1259" s="68"/>
      <c r="O1259" s="68"/>
      <c r="P1259" s="68"/>
      <c r="Q1259" s="68"/>
      <c r="R1259" s="68"/>
      <c r="S1259" s="68"/>
      <c r="T1259" s="68"/>
      <c r="U1259" s="68"/>
      <c r="V1259" s="68"/>
      <c r="W1259" s="68"/>
      <c r="X1259" s="68"/>
      <c r="Y1259" s="68"/>
      <c r="Z1259" s="68"/>
      <c r="AA1259" s="68"/>
      <c r="AB1259" s="68"/>
      <c r="AC1259" s="68"/>
      <c r="AD1259" s="68"/>
      <c r="AE1259" s="68"/>
    </row>
    <row r="1260" ht="26.25" customHeight="1">
      <c r="A1260" s="68"/>
      <c r="B1260" s="68"/>
      <c r="C1260" s="61" t="s">
        <v>129</v>
      </c>
      <c r="D1260" s="61" t="s">
        <v>130</v>
      </c>
      <c r="E1260" s="68"/>
      <c r="F1260" s="68"/>
      <c r="G1260" s="68"/>
      <c r="H1260" s="68"/>
      <c r="I1260" s="68"/>
      <c r="J1260" s="78"/>
      <c r="K1260" s="68"/>
      <c r="L1260" s="68"/>
      <c r="M1260" s="68"/>
      <c r="N1260" s="68"/>
      <c r="O1260" s="68"/>
      <c r="P1260" s="68"/>
      <c r="Q1260" s="68"/>
      <c r="R1260" s="68"/>
      <c r="S1260" s="68"/>
      <c r="T1260" s="68"/>
      <c r="U1260" s="68"/>
      <c r="V1260" s="68"/>
      <c r="W1260" s="68"/>
      <c r="X1260" s="68"/>
      <c r="Y1260" s="68"/>
      <c r="Z1260" s="68"/>
      <c r="AA1260" s="68"/>
      <c r="AB1260" s="68"/>
      <c r="AC1260" s="68"/>
      <c r="AD1260" s="68"/>
      <c r="AE1260" s="68"/>
    </row>
    <row r="1261" ht="26.25" customHeight="1">
      <c r="A1261" s="68"/>
      <c r="B1261" s="68"/>
      <c r="C1261" s="61" t="s">
        <v>129</v>
      </c>
      <c r="D1261" s="61" t="s">
        <v>130</v>
      </c>
      <c r="E1261" s="68"/>
      <c r="F1261" s="68"/>
      <c r="G1261" s="68"/>
      <c r="H1261" s="68"/>
      <c r="I1261" s="68"/>
      <c r="J1261" s="78"/>
      <c r="K1261" s="68"/>
      <c r="L1261" s="68"/>
      <c r="M1261" s="68"/>
      <c r="N1261" s="68"/>
      <c r="O1261" s="68"/>
      <c r="P1261" s="68"/>
      <c r="Q1261" s="68"/>
      <c r="R1261" s="68"/>
      <c r="S1261" s="68"/>
      <c r="T1261" s="68"/>
      <c r="U1261" s="68"/>
      <c r="V1261" s="68"/>
      <c r="W1261" s="68"/>
      <c r="X1261" s="68"/>
      <c r="Y1261" s="68"/>
      <c r="Z1261" s="68"/>
      <c r="AA1261" s="68"/>
      <c r="AB1261" s="68"/>
      <c r="AC1261" s="68"/>
      <c r="AD1261" s="68"/>
      <c r="AE1261" s="68"/>
    </row>
    <row r="1262" ht="26.25" customHeight="1">
      <c r="A1262" s="68"/>
      <c r="B1262" s="68"/>
      <c r="C1262" s="61" t="s">
        <v>129</v>
      </c>
      <c r="D1262" s="61" t="s">
        <v>130</v>
      </c>
      <c r="E1262" s="68"/>
      <c r="F1262" s="68"/>
      <c r="G1262" s="68"/>
      <c r="H1262" s="68"/>
      <c r="I1262" s="68"/>
      <c r="J1262" s="78"/>
      <c r="K1262" s="68"/>
      <c r="L1262" s="68"/>
      <c r="M1262" s="68"/>
      <c r="N1262" s="68"/>
      <c r="O1262" s="68"/>
      <c r="P1262" s="68"/>
      <c r="Q1262" s="68"/>
      <c r="R1262" s="68"/>
      <c r="S1262" s="68"/>
      <c r="T1262" s="68"/>
      <c r="U1262" s="68"/>
      <c r="V1262" s="68"/>
      <c r="W1262" s="68"/>
      <c r="X1262" s="68"/>
      <c r="Y1262" s="68"/>
      <c r="Z1262" s="68"/>
      <c r="AA1262" s="68"/>
      <c r="AB1262" s="68"/>
      <c r="AC1262" s="68"/>
      <c r="AD1262" s="68"/>
      <c r="AE1262" s="68"/>
    </row>
    <row r="1263" ht="26.25" customHeight="1">
      <c r="A1263" s="68"/>
      <c r="B1263" s="68"/>
      <c r="C1263" s="61" t="s">
        <v>129</v>
      </c>
      <c r="D1263" s="61" t="s">
        <v>130</v>
      </c>
      <c r="E1263" s="68"/>
      <c r="F1263" s="68"/>
      <c r="G1263" s="68"/>
      <c r="H1263" s="68"/>
      <c r="I1263" s="68"/>
      <c r="J1263" s="78"/>
      <c r="K1263" s="68"/>
      <c r="L1263" s="68"/>
      <c r="M1263" s="68"/>
      <c r="N1263" s="68"/>
      <c r="O1263" s="68"/>
      <c r="P1263" s="68"/>
      <c r="Q1263" s="68"/>
      <c r="R1263" s="68"/>
      <c r="S1263" s="68"/>
      <c r="T1263" s="68"/>
      <c r="U1263" s="68"/>
      <c r="V1263" s="68"/>
      <c r="W1263" s="68"/>
      <c r="X1263" s="68"/>
      <c r="Y1263" s="68"/>
      <c r="Z1263" s="68"/>
      <c r="AA1263" s="68"/>
      <c r="AB1263" s="68"/>
      <c r="AC1263" s="68"/>
      <c r="AD1263" s="68"/>
      <c r="AE1263" s="68"/>
    </row>
    <row r="1264" ht="26.25" customHeight="1">
      <c r="A1264" s="68"/>
      <c r="B1264" s="68"/>
      <c r="C1264" s="61" t="s">
        <v>129</v>
      </c>
      <c r="D1264" s="61" t="s">
        <v>130</v>
      </c>
      <c r="E1264" s="68"/>
      <c r="F1264" s="68"/>
      <c r="G1264" s="68"/>
      <c r="H1264" s="68"/>
      <c r="I1264" s="68"/>
      <c r="J1264" s="78"/>
      <c r="K1264" s="68"/>
      <c r="L1264" s="68"/>
      <c r="M1264" s="68"/>
      <c r="N1264" s="68"/>
      <c r="O1264" s="68"/>
      <c r="P1264" s="68"/>
      <c r="Q1264" s="68"/>
      <c r="R1264" s="68"/>
      <c r="S1264" s="68"/>
      <c r="T1264" s="68"/>
      <c r="U1264" s="68"/>
      <c r="V1264" s="68"/>
      <c r="W1264" s="68"/>
      <c r="X1264" s="68"/>
      <c r="Y1264" s="68"/>
      <c r="Z1264" s="68"/>
      <c r="AA1264" s="68"/>
      <c r="AB1264" s="68"/>
      <c r="AC1264" s="68"/>
      <c r="AD1264" s="68"/>
      <c r="AE1264" s="68"/>
    </row>
    <row r="1265" ht="26.25" customHeight="1">
      <c r="A1265" s="68"/>
      <c r="B1265" s="68"/>
      <c r="C1265" s="61" t="s">
        <v>129</v>
      </c>
      <c r="D1265" s="61" t="s">
        <v>130</v>
      </c>
      <c r="E1265" s="68"/>
      <c r="F1265" s="68"/>
      <c r="G1265" s="68"/>
      <c r="H1265" s="68"/>
      <c r="I1265" s="68"/>
      <c r="J1265" s="78"/>
      <c r="K1265" s="68"/>
      <c r="L1265" s="68"/>
      <c r="M1265" s="68"/>
      <c r="N1265" s="68"/>
      <c r="O1265" s="68"/>
      <c r="P1265" s="68"/>
      <c r="Q1265" s="68"/>
      <c r="R1265" s="68"/>
      <c r="S1265" s="68"/>
      <c r="T1265" s="68"/>
      <c r="U1265" s="68"/>
      <c r="V1265" s="68"/>
      <c r="W1265" s="68"/>
      <c r="X1265" s="68"/>
      <c r="Y1265" s="68"/>
      <c r="Z1265" s="68"/>
      <c r="AA1265" s="68"/>
      <c r="AB1265" s="68"/>
      <c r="AC1265" s="68"/>
      <c r="AD1265" s="68"/>
      <c r="AE1265" s="68"/>
    </row>
    <row r="1266" ht="26.25" customHeight="1">
      <c r="A1266" s="68"/>
      <c r="B1266" s="68"/>
      <c r="C1266" s="61" t="s">
        <v>129</v>
      </c>
      <c r="D1266" s="61" t="s">
        <v>130</v>
      </c>
      <c r="E1266" s="68"/>
      <c r="F1266" s="68"/>
      <c r="G1266" s="68"/>
      <c r="H1266" s="68"/>
      <c r="I1266" s="68"/>
      <c r="J1266" s="78"/>
      <c r="K1266" s="68"/>
      <c r="L1266" s="68"/>
      <c r="M1266" s="68"/>
      <c r="N1266" s="68"/>
      <c r="O1266" s="68"/>
      <c r="P1266" s="68"/>
      <c r="Q1266" s="68"/>
      <c r="R1266" s="68"/>
      <c r="S1266" s="68"/>
      <c r="T1266" s="68"/>
      <c r="U1266" s="68"/>
      <c r="V1266" s="68"/>
      <c r="W1266" s="68"/>
      <c r="X1266" s="68"/>
      <c r="Y1266" s="68"/>
      <c r="Z1266" s="68"/>
      <c r="AA1266" s="68"/>
      <c r="AB1266" s="68"/>
      <c r="AC1266" s="68"/>
      <c r="AD1266" s="68"/>
      <c r="AE1266" s="68"/>
    </row>
    <row r="1267" ht="26.25" customHeight="1">
      <c r="A1267" s="68"/>
      <c r="B1267" s="68"/>
      <c r="C1267" s="61" t="s">
        <v>129</v>
      </c>
      <c r="D1267" s="61" t="s">
        <v>130</v>
      </c>
      <c r="E1267" s="68"/>
      <c r="F1267" s="68"/>
      <c r="G1267" s="68"/>
      <c r="H1267" s="68"/>
      <c r="I1267" s="68"/>
      <c r="J1267" s="78"/>
      <c r="K1267" s="68"/>
      <c r="L1267" s="68"/>
      <c r="M1267" s="68"/>
      <c r="N1267" s="68"/>
      <c r="O1267" s="68"/>
      <c r="P1267" s="68"/>
      <c r="Q1267" s="68"/>
      <c r="R1267" s="68"/>
      <c r="S1267" s="68"/>
      <c r="T1267" s="68"/>
      <c r="U1267" s="68"/>
      <c r="V1267" s="68"/>
      <c r="W1267" s="68"/>
      <c r="X1267" s="68"/>
      <c r="Y1267" s="68"/>
      <c r="Z1267" s="68"/>
      <c r="AA1267" s="68"/>
      <c r="AB1267" s="68"/>
      <c r="AC1267" s="68"/>
      <c r="AD1267" s="68"/>
      <c r="AE1267" s="68"/>
    </row>
    <row r="1268" ht="26.25" customHeight="1">
      <c r="A1268" s="68"/>
      <c r="B1268" s="68"/>
      <c r="C1268" s="61" t="s">
        <v>129</v>
      </c>
      <c r="D1268" s="61" t="s">
        <v>130</v>
      </c>
      <c r="E1268" s="68"/>
      <c r="F1268" s="68"/>
      <c r="G1268" s="68"/>
      <c r="H1268" s="68"/>
      <c r="I1268" s="68"/>
      <c r="J1268" s="78"/>
      <c r="K1268" s="68"/>
      <c r="L1268" s="68"/>
      <c r="M1268" s="68"/>
      <c r="N1268" s="68"/>
      <c r="O1268" s="68"/>
      <c r="P1268" s="68"/>
      <c r="Q1268" s="68"/>
      <c r="R1268" s="68"/>
      <c r="S1268" s="68"/>
      <c r="T1268" s="68"/>
      <c r="U1268" s="68"/>
      <c r="V1268" s="68"/>
      <c r="W1268" s="68"/>
      <c r="X1268" s="68"/>
      <c r="Y1268" s="68"/>
      <c r="Z1268" s="68"/>
      <c r="AA1268" s="68"/>
      <c r="AB1268" s="68"/>
      <c r="AC1268" s="68"/>
      <c r="AD1268" s="68"/>
      <c r="AE1268" s="68"/>
    </row>
    <row r="1269" ht="26.25" customHeight="1">
      <c r="A1269" s="68"/>
      <c r="B1269" s="68"/>
      <c r="C1269" s="61" t="s">
        <v>129</v>
      </c>
      <c r="D1269" s="61" t="s">
        <v>130</v>
      </c>
      <c r="E1269" s="68"/>
      <c r="F1269" s="68"/>
      <c r="G1269" s="68"/>
      <c r="H1269" s="68"/>
      <c r="I1269" s="68"/>
      <c r="J1269" s="78"/>
      <c r="K1269" s="68"/>
      <c r="L1269" s="68"/>
      <c r="M1269" s="68"/>
      <c r="N1269" s="68"/>
      <c r="O1269" s="68"/>
      <c r="P1269" s="68"/>
      <c r="Q1269" s="68"/>
      <c r="R1269" s="68"/>
      <c r="S1269" s="68"/>
      <c r="T1269" s="68"/>
      <c r="U1269" s="68"/>
      <c r="V1269" s="68"/>
      <c r="W1269" s="68"/>
      <c r="X1269" s="68"/>
      <c r="Y1269" s="68"/>
      <c r="Z1269" s="68"/>
      <c r="AA1269" s="68"/>
      <c r="AB1269" s="68"/>
      <c r="AC1269" s="68"/>
      <c r="AD1269" s="68"/>
      <c r="AE1269" s="68"/>
    </row>
    <row r="1270" ht="26.25" customHeight="1">
      <c r="A1270" s="68"/>
      <c r="B1270" s="68"/>
      <c r="C1270" s="61" t="s">
        <v>129</v>
      </c>
      <c r="D1270" s="61" t="s">
        <v>130</v>
      </c>
      <c r="E1270" s="68"/>
      <c r="F1270" s="68"/>
      <c r="G1270" s="68"/>
      <c r="H1270" s="68"/>
      <c r="I1270" s="68"/>
      <c r="J1270" s="78"/>
      <c r="K1270" s="68"/>
      <c r="L1270" s="68"/>
      <c r="M1270" s="68"/>
      <c r="N1270" s="68"/>
      <c r="O1270" s="68"/>
      <c r="P1270" s="68"/>
      <c r="Q1270" s="68"/>
      <c r="R1270" s="68"/>
      <c r="S1270" s="68"/>
      <c r="T1270" s="68"/>
      <c r="U1270" s="68"/>
      <c r="V1270" s="68"/>
      <c r="W1270" s="68"/>
      <c r="X1270" s="68"/>
      <c r="Y1270" s="68"/>
      <c r="Z1270" s="68"/>
      <c r="AA1270" s="68"/>
      <c r="AB1270" s="68"/>
      <c r="AC1270" s="68"/>
      <c r="AD1270" s="68"/>
      <c r="AE1270" s="68"/>
    </row>
    <row r="1271" ht="26.25" customHeight="1">
      <c r="A1271" s="68"/>
      <c r="B1271" s="68"/>
      <c r="C1271" s="61" t="s">
        <v>129</v>
      </c>
      <c r="D1271" s="61" t="s">
        <v>130</v>
      </c>
      <c r="E1271" s="68"/>
      <c r="F1271" s="68"/>
      <c r="G1271" s="68"/>
      <c r="H1271" s="68"/>
      <c r="I1271" s="68"/>
      <c r="J1271" s="78"/>
      <c r="K1271" s="68"/>
      <c r="L1271" s="68"/>
      <c r="M1271" s="68"/>
      <c r="N1271" s="68"/>
      <c r="O1271" s="68"/>
      <c r="P1271" s="68"/>
      <c r="Q1271" s="68"/>
      <c r="R1271" s="68"/>
      <c r="S1271" s="68"/>
      <c r="T1271" s="68"/>
      <c r="U1271" s="68"/>
      <c r="V1271" s="68"/>
      <c r="W1271" s="68"/>
      <c r="X1271" s="68"/>
      <c r="Y1271" s="68"/>
      <c r="Z1271" s="68"/>
      <c r="AA1271" s="68"/>
      <c r="AB1271" s="68"/>
      <c r="AC1271" s="68"/>
      <c r="AD1271" s="68"/>
      <c r="AE1271" s="68"/>
    </row>
    <row r="1272" ht="26.25" customHeight="1">
      <c r="A1272" s="68"/>
      <c r="B1272" s="68"/>
      <c r="C1272" s="61" t="s">
        <v>129</v>
      </c>
      <c r="D1272" s="61" t="s">
        <v>130</v>
      </c>
      <c r="E1272" s="68"/>
      <c r="F1272" s="68"/>
      <c r="G1272" s="68"/>
      <c r="H1272" s="68"/>
      <c r="I1272" s="68"/>
      <c r="J1272" s="78"/>
      <c r="K1272" s="68"/>
      <c r="L1272" s="68"/>
      <c r="M1272" s="68"/>
      <c r="N1272" s="68"/>
      <c r="O1272" s="68"/>
      <c r="P1272" s="68"/>
      <c r="Q1272" s="68"/>
      <c r="R1272" s="68"/>
      <c r="S1272" s="68"/>
      <c r="T1272" s="68"/>
      <c r="U1272" s="68"/>
      <c r="V1272" s="68"/>
      <c r="W1272" s="68"/>
      <c r="X1272" s="68"/>
      <c r="Y1272" s="68"/>
      <c r="Z1272" s="68"/>
      <c r="AA1272" s="68"/>
      <c r="AB1272" s="68"/>
      <c r="AC1272" s="68"/>
      <c r="AD1272" s="68"/>
      <c r="AE1272" s="68"/>
    </row>
    <row r="1273" ht="26.25" customHeight="1">
      <c r="A1273" s="68"/>
      <c r="B1273" s="68"/>
      <c r="C1273" s="61" t="s">
        <v>129</v>
      </c>
      <c r="D1273" s="61" t="s">
        <v>130</v>
      </c>
      <c r="E1273" s="68"/>
      <c r="F1273" s="68"/>
      <c r="G1273" s="68"/>
      <c r="H1273" s="68"/>
      <c r="I1273" s="68"/>
      <c r="J1273" s="78"/>
      <c r="K1273" s="68"/>
      <c r="L1273" s="68"/>
      <c r="M1273" s="68"/>
      <c r="N1273" s="68"/>
      <c r="O1273" s="68"/>
      <c r="P1273" s="68"/>
      <c r="Q1273" s="68"/>
      <c r="R1273" s="68"/>
      <c r="S1273" s="68"/>
      <c r="T1273" s="68"/>
      <c r="U1273" s="68"/>
      <c r="V1273" s="68"/>
      <c r="W1273" s="68"/>
      <c r="X1273" s="68"/>
      <c r="Y1273" s="68"/>
      <c r="Z1273" s="68"/>
      <c r="AA1273" s="68"/>
      <c r="AB1273" s="68"/>
      <c r="AC1273" s="68"/>
      <c r="AD1273" s="68"/>
      <c r="AE1273" s="68"/>
    </row>
    <row r="1274" ht="26.25" customHeight="1">
      <c r="A1274" s="68"/>
      <c r="B1274" s="68"/>
      <c r="C1274" s="61" t="s">
        <v>129</v>
      </c>
      <c r="D1274" s="61" t="s">
        <v>130</v>
      </c>
      <c r="E1274" s="68"/>
      <c r="F1274" s="68"/>
      <c r="G1274" s="68"/>
      <c r="H1274" s="68"/>
      <c r="I1274" s="68"/>
      <c r="J1274" s="78"/>
      <c r="K1274" s="68"/>
      <c r="L1274" s="68"/>
      <c r="M1274" s="68"/>
      <c r="N1274" s="68"/>
      <c r="O1274" s="68"/>
      <c r="P1274" s="68"/>
      <c r="Q1274" s="68"/>
      <c r="R1274" s="68"/>
      <c r="S1274" s="68"/>
      <c r="T1274" s="68"/>
      <c r="U1274" s="68"/>
      <c r="V1274" s="68"/>
      <c r="W1274" s="68"/>
      <c r="X1274" s="68"/>
      <c r="Y1274" s="68"/>
      <c r="Z1274" s="68"/>
      <c r="AA1274" s="68"/>
      <c r="AB1274" s="68"/>
      <c r="AC1274" s="68"/>
      <c r="AD1274" s="68"/>
      <c r="AE1274" s="68"/>
    </row>
    <row r="1275" ht="26.25" customHeight="1">
      <c r="A1275" s="68"/>
      <c r="B1275" s="68"/>
      <c r="C1275" s="61" t="s">
        <v>129</v>
      </c>
      <c r="D1275" s="61" t="s">
        <v>130</v>
      </c>
      <c r="E1275" s="68"/>
      <c r="F1275" s="68"/>
      <c r="G1275" s="68"/>
      <c r="H1275" s="68"/>
      <c r="I1275" s="68"/>
      <c r="J1275" s="78"/>
      <c r="K1275" s="68"/>
      <c r="L1275" s="68"/>
      <c r="M1275" s="68"/>
      <c r="N1275" s="68"/>
      <c r="O1275" s="68"/>
      <c r="P1275" s="68"/>
      <c r="Q1275" s="68"/>
      <c r="R1275" s="68"/>
      <c r="S1275" s="68"/>
      <c r="T1275" s="68"/>
      <c r="U1275" s="68"/>
      <c r="V1275" s="68"/>
      <c r="W1275" s="68"/>
      <c r="X1275" s="68"/>
      <c r="Y1275" s="68"/>
      <c r="Z1275" s="68"/>
      <c r="AA1275" s="68"/>
      <c r="AB1275" s="68"/>
      <c r="AC1275" s="68"/>
      <c r="AD1275" s="68"/>
      <c r="AE1275" s="68"/>
    </row>
    <row r="1276" ht="26.25" customHeight="1">
      <c r="A1276" s="68"/>
      <c r="B1276" s="68"/>
      <c r="C1276" s="61" t="s">
        <v>129</v>
      </c>
      <c r="D1276" s="61" t="s">
        <v>130</v>
      </c>
      <c r="E1276" s="68"/>
      <c r="F1276" s="68"/>
      <c r="G1276" s="68"/>
      <c r="H1276" s="68"/>
      <c r="I1276" s="68"/>
      <c r="J1276" s="78"/>
      <c r="K1276" s="68"/>
      <c r="L1276" s="68"/>
      <c r="M1276" s="68"/>
      <c r="N1276" s="68"/>
      <c r="O1276" s="68"/>
      <c r="P1276" s="68"/>
      <c r="Q1276" s="68"/>
      <c r="R1276" s="68"/>
      <c r="S1276" s="68"/>
      <c r="T1276" s="68"/>
      <c r="U1276" s="68"/>
      <c r="V1276" s="68"/>
      <c r="W1276" s="68"/>
      <c r="X1276" s="68"/>
      <c r="Y1276" s="68"/>
      <c r="Z1276" s="68"/>
      <c r="AA1276" s="68"/>
      <c r="AB1276" s="68"/>
      <c r="AC1276" s="68"/>
      <c r="AD1276" s="68"/>
      <c r="AE1276" s="68"/>
    </row>
    <row r="1277" ht="26.25" customHeight="1">
      <c r="A1277" s="68"/>
      <c r="B1277" s="68"/>
      <c r="C1277" s="61" t="s">
        <v>129</v>
      </c>
      <c r="D1277" s="61" t="s">
        <v>130</v>
      </c>
      <c r="E1277" s="68"/>
      <c r="F1277" s="68"/>
      <c r="G1277" s="68"/>
      <c r="H1277" s="68"/>
      <c r="I1277" s="68"/>
      <c r="J1277" s="78"/>
      <c r="K1277" s="68"/>
      <c r="L1277" s="68"/>
      <c r="M1277" s="68"/>
      <c r="N1277" s="68"/>
      <c r="O1277" s="68"/>
      <c r="P1277" s="68"/>
      <c r="Q1277" s="68"/>
      <c r="R1277" s="68"/>
      <c r="S1277" s="68"/>
      <c r="T1277" s="68"/>
      <c r="U1277" s="68"/>
      <c r="V1277" s="68"/>
      <c r="W1277" s="68"/>
      <c r="X1277" s="68"/>
      <c r="Y1277" s="68"/>
      <c r="Z1277" s="68"/>
      <c r="AA1277" s="68"/>
      <c r="AB1277" s="68"/>
      <c r="AC1277" s="68"/>
      <c r="AD1277" s="68"/>
      <c r="AE1277" s="68"/>
    </row>
    <row r="1278" ht="26.25" customHeight="1">
      <c r="A1278" s="68"/>
      <c r="B1278" s="68"/>
      <c r="C1278" s="61" t="s">
        <v>129</v>
      </c>
      <c r="D1278" s="61" t="s">
        <v>130</v>
      </c>
      <c r="E1278" s="68"/>
      <c r="F1278" s="68"/>
      <c r="G1278" s="68"/>
      <c r="H1278" s="68"/>
      <c r="I1278" s="68"/>
      <c r="J1278" s="78"/>
      <c r="K1278" s="68"/>
      <c r="L1278" s="68"/>
      <c r="M1278" s="68"/>
      <c r="N1278" s="68"/>
      <c r="O1278" s="68"/>
      <c r="P1278" s="68"/>
      <c r="Q1278" s="68"/>
      <c r="R1278" s="68"/>
      <c r="S1278" s="68"/>
      <c r="T1278" s="68"/>
      <c r="U1278" s="68"/>
      <c r="V1278" s="68"/>
      <c r="W1278" s="68"/>
      <c r="X1278" s="68"/>
      <c r="Y1278" s="68"/>
      <c r="Z1278" s="68"/>
      <c r="AA1278" s="68"/>
      <c r="AB1278" s="68"/>
      <c r="AC1278" s="68"/>
      <c r="AD1278" s="68"/>
      <c r="AE1278" s="68"/>
    </row>
    <row r="1279" ht="26.25" customHeight="1">
      <c r="A1279" s="68"/>
      <c r="B1279" s="68"/>
      <c r="C1279" s="61" t="s">
        <v>129</v>
      </c>
      <c r="D1279" s="61" t="s">
        <v>130</v>
      </c>
      <c r="E1279" s="68"/>
      <c r="F1279" s="68"/>
      <c r="G1279" s="68"/>
      <c r="H1279" s="68"/>
      <c r="I1279" s="68"/>
      <c r="J1279" s="78"/>
      <c r="K1279" s="68"/>
      <c r="L1279" s="68"/>
      <c r="M1279" s="68"/>
      <c r="N1279" s="68"/>
      <c r="O1279" s="68"/>
      <c r="P1279" s="68"/>
      <c r="Q1279" s="68"/>
      <c r="R1279" s="68"/>
      <c r="S1279" s="68"/>
      <c r="T1279" s="68"/>
      <c r="U1279" s="68"/>
      <c r="V1279" s="68"/>
      <c r="W1279" s="68"/>
      <c r="X1279" s="68"/>
      <c r="Y1279" s="68"/>
      <c r="Z1279" s="68"/>
      <c r="AA1279" s="68"/>
      <c r="AB1279" s="68"/>
      <c r="AC1279" s="68"/>
      <c r="AD1279" s="68"/>
      <c r="AE1279" s="68"/>
    </row>
    <row r="1280" ht="26.25" customHeight="1">
      <c r="A1280" s="68"/>
      <c r="B1280" s="68"/>
      <c r="C1280" s="61" t="s">
        <v>129</v>
      </c>
      <c r="D1280" s="61" t="s">
        <v>130</v>
      </c>
      <c r="E1280" s="68"/>
      <c r="F1280" s="68"/>
      <c r="G1280" s="68"/>
      <c r="H1280" s="68"/>
      <c r="I1280" s="68"/>
      <c r="J1280" s="78"/>
      <c r="K1280" s="68"/>
      <c r="L1280" s="68"/>
      <c r="M1280" s="68"/>
      <c r="N1280" s="68"/>
      <c r="O1280" s="68"/>
      <c r="P1280" s="68"/>
      <c r="Q1280" s="68"/>
      <c r="R1280" s="68"/>
      <c r="S1280" s="68"/>
      <c r="T1280" s="68"/>
      <c r="U1280" s="68"/>
      <c r="V1280" s="68"/>
      <c r="W1280" s="68"/>
      <c r="X1280" s="68"/>
      <c r="Y1280" s="68"/>
      <c r="Z1280" s="68"/>
      <c r="AA1280" s="68"/>
      <c r="AB1280" s="68"/>
      <c r="AC1280" s="68"/>
      <c r="AD1280" s="68"/>
      <c r="AE1280" s="68"/>
    </row>
    <row r="1281" ht="26.25" customHeight="1">
      <c r="A1281" s="68"/>
      <c r="B1281" s="68"/>
      <c r="C1281" s="61" t="s">
        <v>129</v>
      </c>
      <c r="D1281" s="61" t="s">
        <v>130</v>
      </c>
      <c r="E1281" s="68"/>
      <c r="F1281" s="68"/>
      <c r="G1281" s="68"/>
      <c r="H1281" s="68"/>
      <c r="I1281" s="68"/>
      <c r="J1281" s="78"/>
      <c r="K1281" s="68"/>
      <c r="L1281" s="68"/>
      <c r="M1281" s="68"/>
      <c r="N1281" s="68"/>
      <c r="O1281" s="68"/>
      <c r="P1281" s="68"/>
      <c r="Q1281" s="68"/>
      <c r="R1281" s="68"/>
      <c r="S1281" s="68"/>
      <c r="T1281" s="68"/>
      <c r="U1281" s="68"/>
      <c r="V1281" s="68"/>
      <c r="W1281" s="68"/>
      <c r="X1281" s="68"/>
      <c r="Y1281" s="68"/>
      <c r="Z1281" s="68"/>
      <c r="AA1281" s="68"/>
      <c r="AB1281" s="68"/>
      <c r="AC1281" s="68"/>
      <c r="AD1281" s="68"/>
      <c r="AE1281" s="68"/>
    </row>
    <row r="1282" ht="26.25" customHeight="1">
      <c r="A1282" s="68"/>
      <c r="B1282" s="68"/>
      <c r="C1282" s="61" t="s">
        <v>129</v>
      </c>
      <c r="D1282" s="61" t="s">
        <v>130</v>
      </c>
      <c r="E1282" s="68"/>
      <c r="F1282" s="68"/>
      <c r="G1282" s="68"/>
      <c r="H1282" s="68"/>
      <c r="I1282" s="68"/>
      <c r="J1282" s="78"/>
      <c r="K1282" s="68"/>
      <c r="L1282" s="68"/>
      <c r="M1282" s="68"/>
      <c r="N1282" s="68"/>
      <c r="O1282" s="68"/>
      <c r="P1282" s="68"/>
      <c r="Q1282" s="68"/>
      <c r="R1282" s="68"/>
      <c r="S1282" s="68"/>
      <c r="T1282" s="68"/>
      <c r="U1282" s="68"/>
      <c r="V1282" s="68"/>
      <c r="W1282" s="68"/>
      <c r="X1282" s="68"/>
      <c r="Y1282" s="68"/>
      <c r="Z1282" s="68"/>
      <c r="AA1282" s="68"/>
      <c r="AB1282" s="68"/>
      <c r="AC1282" s="68"/>
      <c r="AD1282" s="68"/>
      <c r="AE1282" s="68"/>
    </row>
    <row r="1283" ht="26.25" customHeight="1">
      <c r="A1283" s="68"/>
      <c r="B1283" s="68"/>
      <c r="C1283" s="61" t="s">
        <v>129</v>
      </c>
      <c r="D1283" s="61" t="s">
        <v>130</v>
      </c>
      <c r="E1283" s="68"/>
      <c r="F1283" s="68"/>
      <c r="G1283" s="68"/>
      <c r="H1283" s="68"/>
      <c r="I1283" s="68"/>
      <c r="J1283" s="78"/>
      <c r="K1283" s="68"/>
      <c r="L1283" s="68"/>
      <c r="M1283" s="68"/>
      <c r="N1283" s="68"/>
      <c r="O1283" s="68"/>
      <c r="P1283" s="68"/>
      <c r="Q1283" s="68"/>
      <c r="R1283" s="68"/>
      <c r="S1283" s="68"/>
      <c r="T1283" s="68"/>
      <c r="U1283" s="68"/>
      <c r="V1283" s="68"/>
      <c r="W1283" s="68"/>
      <c r="X1283" s="68"/>
      <c r="Y1283" s="68"/>
      <c r="Z1283" s="68"/>
      <c r="AA1283" s="68"/>
      <c r="AB1283" s="68"/>
      <c r="AC1283" s="68"/>
      <c r="AD1283" s="68"/>
      <c r="AE1283" s="68"/>
    </row>
    <row r="1284" ht="26.25" customHeight="1">
      <c r="A1284" s="68"/>
      <c r="B1284" s="68"/>
      <c r="C1284" s="61" t="s">
        <v>129</v>
      </c>
      <c r="D1284" s="61" t="s">
        <v>130</v>
      </c>
      <c r="E1284" s="68"/>
      <c r="F1284" s="68"/>
      <c r="G1284" s="68"/>
      <c r="H1284" s="68"/>
      <c r="I1284" s="68"/>
      <c r="J1284" s="78"/>
      <c r="K1284" s="68"/>
      <c r="L1284" s="68"/>
      <c r="M1284" s="68"/>
      <c r="N1284" s="68"/>
      <c r="O1284" s="68"/>
      <c r="P1284" s="68"/>
      <c r="Q1284" s="68"/>
      <c r="R1284" s="68"/>
      <c r="S1284" s="68"/>
      <c r="T1284" s="68"/>
      <c r="U1284" s="68"/>
      <c r="V1284" s="68"/>
      <c r="W1284" s="68"/>
      <c r="X1284" s="68"/>
      <c r="Y1284" s="68"/>
      <c r="Z1284" s="68"/>
      <c r="AA1284" s="68"/>
      <c r="AB1284" s="68"/>
      <c r="AC1284" s="68"/>
      <c r="AD1284" s="68"/>
      <c r="AE1284" s="68"/>
    </row>
    <row r="1285" ht="26.25" customHeight="1">
      <c r="A1285" s="68"/>
      <c r="B1285" s="68"/>
      <c r="C1285" s="61" t="s">
        <v>129</v>
      </c>
      <c r="D1285" s="61" t="s">
        <v>130</v>
      </c>
      <c r="E1285" s="68"/>
      <c r="F1285" s="68"/>
      <c r="G1285" s="68"/>
      <c r="H1285" s="68"/>
      <c r="I1285" s="68"/>
      <c r="J1285" s="78"/>
      <c r="K1285" s="68"/>
      <c r="L1285" s="68"/>
      <c r="M1285" s="68"/>
      <c r="N1285" s="68"/>
      <c r="O1285" s="68"/>
      <c r="P1285" s="68"/>
      <c r="Q1285" s="68"/>
      <c r="R1285" s="68"/>
      <c r="S1285" s="68"/>
      <c r="T1285" s="68"/>
      <c r="U1285" s="68"/>
      <c r="V1285" s="68"/>
      <c r="W1285" s="68"/>
      <c r="X1285" s="68"/>
      <c r="Y1285" s="68"/>
      <c r="Z1285" s="68"/>
      <c r="AA1285" s="68"/>
      <c r="AB1285" s="68"/>
      <c r="AC1285" s="68"/>
      <c r="AD1285" s="68"/>
      <c r="AE1285" s="68"/>
    </row>
    <row r="1286" ht="26.25" customHeight="1">
      <c r="A1286" s="68"/>
      <c r="B1286" s="68"/>
      <c r="C1286" s="61" t="s">
        <v>129</v>
      </c>
      <c r="D1286" s="61" t="s">
        <v>130</v>
      </c>
      <c r="E1286" s="68"/>
      <c r="F1286" s="68"/>
      <c r="G1286" s="68"/>
      <c r="H1286" s="68"/>
      <c r="I1286" s="68"/>
      <c r="J1286" s="78"/>
      <c r="K1286" s="68"/>
      <c r="L1286" s="68"/>
      <c r="M1286" s="68"/>
      <c r="N1286" s="68"/>
      <c r="O1286" s="68"/>
      <c r="P1286" s="68"/>
      <c r="Q1286" s="68"/>
      <c r="R1286" s="68"/>
      <c r="S1286" s="68"/>
      <c r="T1286" s="68"/>
      <c r="U1286" s="68"/>
      <c r="V1286" s="68"/>
      <c r="W1286" s="68"/>
      <c r="X1286" s="68"/>
      <c r="Y1286" s="68"/>
      <c r="Z1286" s="68"/>
      <c r="AA1286" s="68"/>
      <c r="AB1286" s="68"/>
      <c r="AC1286" s="68"/>
      <c r="AD1286" s="68"/>
      <c r="AE1286" s="68"/>
    </row>
    <row r="1287" ht="26.25" customHeight="1">
      <c r="A1287" s="68"/>
      <c r="B1287" s="68"/>
      <c r="C1287" s="61" t="s">
        <v>129</v>
      </c>
      <c r="D1287" s="61" t="s">
        <v>130</v>
      </c>
      <c r="E1287" s="68"/>
      <c r="F1287" s="68"/>
      <c r="G1287" s="68"/>
      <c r="H1287" s="68"/>
      <c r="I1287" s="68"/>
      <c r="J1287" s="78"/>
      <c r="K1287" s="68"/>
      <c r="L1287" s="68"/>
      <c r="M1287" s="68"/>
      <c r="N1287" s="68"/>
      <c r="O1287" s="68"/>
      <c r="P1287" s="68"/>
      <c r="Q1287" s="68"/>
      <c r="R1287" s="68"/>
      <c r="S1287" s="68"/>
      <c r="T1287" s="68"/>
      <c r="U1287" s="68"/>
      <c r="V1287" s="68"/>
      <c r="W1287" s="68"/>
      <c r="X1287" s="68"/>
      <c r="Y1287" s="68"/>
      <c r="Z1287" s="68"/>
      <c r="AA1287" s="68"/>
      <c r="AB1287" s="68"/>
      <c r="AC1287" s="68"/>
      <c r="AD1287" s="68"/>
      <c r="AE1287" s="68"/>
    </row>
    <row r="1288" ht="26.25" customHeight="1">
      <c r="A1288" s="68"/>
      <c r="B1288" s="68"/>
      <c r="C1288" s="61" t="s">
        <v>129</v>
      </c>
      <c r="D1288" s="61" t="s">
        <v>130</v>
      </c>
      <c r="E1288" s="68"/>
      <c r="F1288" s="68"/>
      <c r="G1288" s="68"/>
      <c r="H1288" s="68"/>
      <c r="I1288" s="68"/>
      <c r="J1288" s="78"/>
      <c r="K1288" s="68"/>
      <c r="L1288" s="68"/>
      <c r="M1288" s="68"/>
      <c r="N1288" s="68"/>
      <c r="O1288" s="68"/>
      <c r="P1288" s="68"/>
      <c r="Q1288" s="68"/>
      <c r="R1288" s="68"/>
      <c r="S1288" s="68"/>
      <c r="T1288" s="68"/>
      <c r="U1288" s="68"/>
      <c r="V1288" s="68"/>
      <c r="W1288" s="68"/>
      <c r="X1288" s="68"/>
      <c r="Y1288" s="68"/>
      <c r="Z1288" s="68"/>
      <c r="AA1288" s="68"/>
      <c r="AB1288" s="68"/>
      <c r="AC1288" s="68"/>
      <c r="AD1288" s="68"/>
      <c r="AE1288" s="68"/>
    </row>
    <row r="1289" ht="26.25" customHeight="1">
      <c r="A1289" s="68"/>
      <c r="B1289" s="68"/>
      <c r="C1289" s="61" t="s">
        <v>129</v>
      </c>
      <c r="D1289" s="61" t="s">
        <v>130</v>
      </c>
      <c r="E1289" s="68"/>
      <c r="F1289" s="68"/>
      <c r="G1289" s="68"/>
      <c r="H1289" s="68"/>
      <c r="I1289" s="68"/>
      <c r="J1289" s="78"/>
      <c r="K1289" s="68"/>
      <c r="L1289" s="68"/>
      <c r="M1289" s="68"/>
      <c r="N1289" s="68"/>
      <c r="O1289" s="68"/>
      <c r="P1289" s="68"/>
      <c r="Q1289" s="68"/>
      <c r="R1289" s="68"/>
      <c r="S1289" s="68"/>
      <c r="T1289" s="68"/>
      <c r="U1289" s="68"/>
      <c r="V1289" s="68"/>
      <c r="W1289" s="68"/>
      <c r="X1289" s="68"/>
      <c r="Y1289" s="68"/>
      <c r="Z1289" s="68"/>
      <c r="AA1289" s="68"/>
      <c r="AB1289" s="68"/>
      <c r="AC1289" s="68"/>
      <c r="AD1289" s="68"/>
      <c r="AE1289" s="68"/>
    </row>
    <row r="1290" ht="26.25" customHeight="1">
      <c r="A1290" s="68"/>
      <c r="B1290" s="68"/>
      <c r="C1290" s="61" t="s">
        <v>129</v>
      </c>
      <c r="D1290" s="61" t="s">
        <v>130</v>
      </c>
      <c r="E1290" s="68"/>
      <c r="F1290" s="68"/>
      <c r="G1290" s="68"/>
      <c r="H1290" s="68"/>
      <c r="I1290" s="68"/>
      <c r="J1290" s="78"/>
      <c r="K1290" s="68"/>
      <c r="L1290" s="68"/>
      <c r="M1290" s="68"/>
      <c r="N1290" s="68"/>
      <c r="O1290" s="68"/>
      <c r="P1290" s="68"/>
      <c r="Q1290" s="68"/>
      <c r="R1290" s="68"/>
      <c r="S1290" s="68"/>
      <c r="T1290" s="68"/>
      <c r="U1290" s="68"/>
      <c r="V1290" s="68"/>
      <c r="W1290" s="68"/>
      <c r="X1290" s="68"/>
      <c r="Y1290" s="68"/>
      <c r="Z1290" s="68"/>
      <c r="AA1290" s="68"/>
      <c r="AB1290" s="68"/>
      <c r="AC1290" s="68"/>
      <c r="AD1290" s="68"/>
      <c r="AE1290" s="68"/>
    </row>
    <row r="1291" ht="26.25" customHeight="1">
      <c r="A1291" s="68"/>
      <c r="B1291" s="68"/>
      <c r="C1291" s="61" t="s">
        <v>129</v>
      </c>
      <c r="D1291" s="61" t="s">
        <v>130</v>
      </c>
      <c r="E1291" s="68"/>
      <c r="F1291" s="68"/>
      <c r="G1291" s="68"/>
      <c r="H1291" s="68"/>
      <c r="I1291" s="68"/>
      <c r="J1291" s="78"/>
      <c r="K1291" s="68"/>
      <c r="L1291" s="68"/>
      <c r="M1291" s="68"/>
      <c r="N1291" s="68"/>
      <c r="O1291" s="68"/>
      <c r="P1291" s="68"/>
      <c r="Q1291" s="68"/>
      <c r="R1291" s="68"/>
      <c r="S1291" s="68"/>
      <c r="T1291" s="68"/>
      <c r="U1291" s="68"/>
      <c r="V1291" s="68"/>
      <c r="W1291" s="68"/>
      <c r="X1291" s="68"/>
      <c r="Y1291" s="68"/>
      <c r="Z1291" s="68"/>
      <c r="AA1291" s="68"/>
      <c r="AB1291" s="68"/>
      <c r="AC1291" s="68"/>
      <c r="AD1291" s="68"/>
      <c r="AE1291" s="68"/>
    </row>
    <row r="1292" ht="26.25" customHeight="1">
      <c r="A1292" s="68"/>
      <c r="B1292" s="68"/>
      <c r="C1292" s="61" t="s">
        <v>129</v>
      </c>
      <c r="D1292" s="61" t="s">
        <v>130</v>
      </c>
      <c r="E1292" s="68"/>
      <c r="F1292" s="68"/>
      <c r="G1292" s="68"/>
      <c r="H1292" s="68"/>
      <c r="I1292" s="68"/>
      <c r="J1292" s="78"/>
      <c r="K1292" s="68"/>
      <c r="L1292" s="68"/>
      <c r="M1292" s="68"/>
      <c r="N1292" s="68"/>
      <c r="O1292" s="68"/>
      <c r="P1292" s="68"/>
      <c r="Q1292" s="68"/>
      <c r="R1292" s="68"/>
      <c r="S1292" s="68"/>
      <c r="T1292" s="68"/>
      <c r="U1292" s="68"/>
      <c r="V1292" s="68"/>
      <c r="W1292" s="68"/>
      <c r="X1292" s="68"/>
      <c r="Y1292" s="68"/>
      <c r="Z1292" s="68"/>
      <c r="AA1292" s="68"/>
      <c r="AB1292" s="68"/>
      <c r="AC1292" s="68"/>
      <c r="AD1292" s="68"/>
      <c r="AE1292" s="68"/>
    </row>
    <row r="1293" ht="26.25" customHeight="1">
      <c r="A1293" s="68"/>
      <c r="B1293" s="68"/>
      <c r="C1293" s="61" t="s">
        <v>129</v>
      </c>
      <c r="D1293" s="61" t="s">
        <v>130</v>
      </c>
      <c r="E1293" s="68"/>
      <c r="F1293" s="68"/>
      <c r="G1293" s="68"/>
      <c r="H1293" s="68"/>
      <c r="I1293" s="68"/>
      <c r="J1293" s="78"/>
      <c r="K1293" s="68"/>
      <c r="L1293" s="68"/>
      <c r="M1293" s="68"/>
      <c r="N1293" s="68"/>
      <c r="O1293" s="68"/>
      <c r="P1293" s="68"/>
      <c r="Q1293" s="68"/>
      <c r="R1293" s="68"/>
      <c r="S1293" s="68"/>
      <c r="T1293" s="68"/>
      <c r="U1293" s="68"/>
      <c r="V1293" s="68"/>
      <c r="W1293" s="68"/>
      <c r="X1293" s="68"/>
      <c r="Y1293" s="68"/>
      <c r="Z1293" s="68"/>
      <c r="AA1293" s="68"/>
      <c r="AB1293" s="68"/>
      <c r="AC1293" s="68"/>
      <c r="AD1293" s="68"/>
      <c r="AE1293" s="68"/>
    </row>
    <row r="1294" ht="26.25" customHeight="1">
      <c r="A1294" s="68"/>
      <c r="B1294" s="68"/>
      <c r="C1294" s="61" t="s">
        <v>129</v>
      </c>
      <c r="D1294" s="61" t="s">
        <v>130</v>
      </c>
      <c r="E1294" s="68"/>
      <c r="F1294" s="68"/>
      <c r="G1294" s="68"/>
      <c r="H1294" s="68"/>
      <c r="I1294" s="68"/>
      <c r="J1294" s="78"/>
      <c r="K1294" s="68"/>
      <c r="L1294" s="68"/>
      <c r="M1294" s="68"/>
      <c r="N1294" s="68"/>
      <c r="O1294" s="68"/>
      <c r="P1294" s="68"/>
      <c r="Q1294" s="68"/>
      <c r="R1294" s="68"/>
      <c r="S1294" s="68"/>
      <c r="T1294" s="68"/>
      <c r="U1294" s="68"/>
      <c r="V1294" s="68"/>
      <c r="W1294" s="68"/>
      <c r="X1294" s="68"/>
      <c r="Y1294" s="68"/>
      <c r="Z1294" s="68"/>
      <c r="AA1294" s="68"/>
      <c r="AB1294" s="68"/>
      <c r="AC1294" s="68"/>
      <c r="AD1294" s="68"/>
      <c r="AE1294" s="68"/>
    </row>
    <row r="1295" ht="26.25" customHeight="1">
      <c r="A1295" s="68"/>
      <c r="B1295" s="68"/>
      <c r="C1295" s="61" t="s">
        <v>129</v>
      </c>
      <c r="D1295" s="61" t="s">
        <v>130</v>
      </c>
      <c r="E1295" s="68"/>
      <c r="F1295" s="68"/>
      <c r="G1295" s="68"/>
      <c r="H1295" s="68"/>
      <c r="I1295" s="68"/>
      <c r="J1295" s="78"/>
      <c r="K1295" s="68"/>
      <c r="L1295" s="68"/>
      <c r="M1295" s="68"/>
      <c r="N1295" s="68"/>
      <c r="O1295" s="68"/>
      <c r="P1295" s="68"/>
      <c r="Q1295" s="68"/>
      <c r="R1295" s="68"/>
      <c r="S1295" s="68"/>
      <c r="T1295" s="68"/>
      <c r="U1295" s="68"/>
      <c r="V1295" s="68"/>
      <c r="W1295" s="68"/>
      <c r="X1295" s="68"/>
      <c r="Y1295" s="68"/>
      <c r="Z1295" s="68"/>
      <c r="AA1295" s="68"/>
      <c r="AB1295" s="68"/>
      <c r="AC1295" s="68"/>
      <c r="AD1295" s="68"/>
      <c r="AE1295" s="68"/>
    </row>
    <row r="1296" ht="26.25" customHeight="1">
      <c r="A1296" s="68"/>
      <c r="B1296" s="68"/>
      <c r="C1296" s="61" t="s">
        <v>129</v>
      </c>
      <c r="D1296" s="61" t="s">
        <v>130</v>
      </c>
      <c r="E1296" s="68"/>
      <c r="F1296" s="68"/>
      <c r="G1296" s="68"/>
      <c r="H1296" s="68"/>
      <c r="I1296" s="68"/>
      <c r="J1296" s="78"/>
      <c r="K1296" s="68"/>
      <c r="L1296" s="68"/>
      <c r="M1296" s="68"/>
      <c r="N1296" s="68"/>
      <c r="O1296" s="68"/>
      <c r="P1296" s="68"/>
      <c r="Q1296" s="68"/>
      <c r="R1296" s="68"/>
      <c r="S1296" s="68"/>
      <c r="T1296" s="68"/>
      <c r="U1296" s="68"/>
      <c r="V1296" s="68"/>
      <c r="W1296" s="68"/>
      <c r="X1296" s="68"/>
      <c r="Y1296" s="68"/>
      <c r="Z1296" s="68"/>
      <c r="AA1296" s="68"/>
      <c r="AB1296" s="68"/>
      <c r="AC1296" s="68"/>
      <c r="AD1296" s="68"/>
      <c r="AE1296" s="68"/>
    </row>
    <row r="1297" ht="26.25" customHeight="1">
      <c r="A1297" s="68"/>
      <c r="B1297" s="68"/>
      <c r="C1297" s="61" t="s">
        <v>129</v>
      </c>
      <c r="D1297" s="61" t="s">
        <v>130</v>
      </c>
      <c r="E1297" s="68"/>
      <c r="F1297" s="68"/>
      <c r="G1297" s="68"/>
      <c r="H1297" s="68"/>
      <c r="I1297" s="68"/>
      <c r="J1297" s="78"/>
      <c r="K1297" s="68"/>
      <c r="L1297" s="68"/>
      <c r="M1297" s="68"/>
      <c r="N1297" s="68"/>
      <c r="O1297" s="68"/>
      <c r="P1297" s="68"/>
      <c r="Q1297" s="68"/>
      <c r="R1297" s="68"/>
      <c r="S1297" s="68"/>
      <c r="T1297" s="68"/>
      <c r="U1297" s="68"/>
      <c r="V1297" s="68"/>
      <c r="W1297" s="68"/>
      <c r="X1297" s="68"/>
      <c r="Y1297" s="68"/>
      <c r="Z1297" s="68"/>
      <c r="AA1297" s="68"/>
      <c r="AB1297" s="68"/>
      <c r="AC1297" s="68"/>
      <c r="AD1297" s="68"/>
      <c r="AE1297" s="68"/>
    </row>
    <row r="1298" ht="26.25" customHeight="1">
      <c r="A1298" s="68"/>
      <c r="B1298" s="68"/>
      <c r="C1298" s="61" t="s">
        <v>129</v>
      </c>
      <c r="D1298" s="61" t="s">
        <v>130</v>
      </c>
      <c r="E1298" s="68"/>
      <c r="F1298" s="68"/>
      <c r="G1298" s="68"/>
      <c r="H1298" s="68"/>
      <c r="I1298" s="68"/>
      <c r="J1298" s="78"/>
      <c r="K1298" s="68"/>
      <c r="L1298" s="68"/>
      <c r="M1298" s="68"/>
      <c r="N1298" s="68"/>
      <c r="O1298" s="68"/>
      <c r="P1298" s="68"/>
      <c r="Q1298" s="68"/>
      <c r="R1298" s="68"/>
      <c r="S1298" s="68"/>
      <c r="T1298" s="68"/>
      <c r="U1298" s="68"/>
      <c r="V1298" s="68"/>
      <c r="W1298" s="68"/>
      <c r="X1298" s="68"/>
      <c r="Y1298" s="68"/>
      <c r="Z1298" s="68"/>
      <c r="AA1298" s="68"/>
      <c r="AB1298" s="68"/>
      <c r="AC1298" s="68"/>
      <c r="AD1298" s="68"/>
      <c r="AE1298" s="68"/>
    </row>
    <row r="1299" ht="26.25" customHeight="1">
      <c r="A1299" s="68"/>
      <c r="B1299" s="68"/>
      <c r="C1299" s="61" t="s">
        <v>129</v>
      </c>
      <c r="D1299" s="61" t="s">
        <v>130</v>
      </c>
      <c r="E1299" s="68"/>
      <c r="F1299" s="68"/>
      <c r="G1299" s="68"/>
      <c r="H1299" s="68"/>
      <c r="I1299" s="68"/>
      <c r="J1299" s="78"/>
      <c r="K1299" s="68"/>
      <c r="L1299" s="68"/>
      <c r="M1299" s="68"/>
      <c r="N1299" s="68"/>
      <c r="O1299" s="68"/>
      <c r="P1299" s="68"/>
      <c r="Q1299" s="68"/>
      <c r="R1299" s="68"/>
      <c r="S1299" s="68"/>
      <c r="T1299" s="68"/>
      <c r="U1299" s="68"/>
      <c r="V1299" s="68"/>
      <c r="W1299" s="68"/>
      <c r="X1299" s="68"/>
      <c r="Y1299" s="68"/>
      <c r="Z1299" s="68"/>
      <c r="AA1299" s="68"/>
      <c r="AB1299" s="68"/>
      <c r="AC1299" s="68"/>
      <c r="AD1299" s="68"/>
      <c r="AE1299" s="68"/>
    </row>
    <row r="1300" ht="26.25" customHeight="1">
      <c r="A1300" s="68"/>
      <c r="B1300" s="68"/>
      <c r="C1300" s="61" t="s">
        <v>129</v>
      </c>
      <c r="D1300" s="61" t="s">
        <v>130</v>
      </c>
      <c r="E1300" s="68"/>
      <c r="F1300" s="68"/>
      <c r="G1300" s="68"/>
      <c r="H1300" s="68"/>
      <c r="I1300" s="68"/>
      <c r="J1300" s="78"/>
      <c r="K1300" s="68"/>
      <c r="L1300" s="68"/>
      <c r="M1300" s="68"/>
      <c r="N1300" s="68"/>
      <c r="O1300" s="68"/>
      <c r="P1300" s="68"/>
      <c r="Q1300" s="68"/>
      <c r="R1300" s="68"/>
      <c r="S1300" s="68"/>
      <c r="T1300" s="68"/>
      <c r="U1300" s="68"/>
      <c r="V1300" s="68"/>
      <c r="W1300" s="68"/>
      <c r="X1300" s="68"/>
      <c r="Y1300" s="68"/>
      <c r="Z1300" s="68"/>
      <c r="AA1300" s="68"/>
      <c r="AB1300" s="68"/>
      <c r="AC1300" s="68"/>
      <c r="AD1300" s="68"/>
      <c r="AE1300" s="68"/>
    </row>
    <row r="1301" ht="26.25" customHeight="1">
      <c r="A1301" s="68"/>
      <c r="B1301" s="68"/>
      <c r="C1301" s="61" t="s">
        <v>129</v>
      </c>
      <c r="D1301" s="61" t="s">
        <v>130</v>
      </c>
      <c r="E1301" s="68"/>
      <c r="F1301" s="68"/>
      <c r="G1301" s="68"/>
      <c r="H1301" s="68"/>
      <c r="I1301" s="68"/>
      <c r="J1301" s="78"/>
      <c r="K1301" s="68"/>
      <c r="L1301" s="68"/>
      <c r="M1301" s="68"/>
      <c r="N1301" s="68"/>
      <c r="O1301" s="68"/>
      <c r="P1301" s="68"/>
      <c r="Q1301" s="68"/>
      <c r="R1301" s="68"/>
      <c r="S1301" s="68"/>
      <c r="T1301" s="68"/>
      <c r="U1301" s="68"/>
      <c r="V1301" s="68"/>
      <c r="W1301" s="68"/>
      <c r="X1301" s="68"/>
      <c r="Y1301" s="68"/>
      <c r="Z1301" s="68"/>
      <c r="AA1301" s="68"/>
      <c r="AB1301" s="68"/>
      <c r="AC1301" s="68"/>
      <c r="AD1301" s="68"/>
      <c r="AE1301" s="68"/>
    </row>
    <row r="1302" ht="26.25" customHeight="1">
      <c r="A1302" s="68"/>
      <c r="B1302" s="68"/>
      <c r="C1302" s="61" t="s">
        <v>129</v>
      </c>
      <c r="D1302" s="61" t="s">
        <v>130</v>
      </c>
      <c r="E1302" s="68"/>
      <c r="F1302" s="68"/>
      <c r="G1302" s="68"/>
      <c r="H1302" s="68"/>
      <c r="I1302" s="68"/>
      <c r="J1302" s="78"/>
      <c r="K1302" s="68"/>
      <c r="L1302" s="68"/>
      <c r="M1302" s="68"/>
      <c r="N1302" s="68"/>
      <c r="O1302" s="68"/>
      <c r="P1302" s="68"/>
      <c r="Q1302" s="68"/>
      <c r="R1302" s="68"/>
      <c r="S1302" s="68"/>
      <c r="T1302" s="68"/>
      <c r="U1302" s="68"/>
      <c r="V1302" s="68"/>
      <c r="W1302" s="68"/>
      <c r="X1302" s="68"/>
      <c r="Y1302" s="68"/>
      <c r="Z1302" s="68"/>
      <c r="AA1302" s="68"/>
      <c r="AB1302" s="68"/>
      <c r="AC1302" s="68"/>
      <c r="AD1302" s="68"/>
      <c r="AE1302" s="68"/>
    </row>
    <row r="1303" ht="26.25" customHeight="1">
      <c r="A1303" s="68"/>
      <c r="B1303" s="68"/>
      <c r="C1303" s="61" t="s">
        <v>129</v>
      </c>
      <c r="D1303" s="61" t="s">
        <v>130</v>
      </c>
      <c r="E1303" s="68"/>
      <c r="F1303" s="68"/>
      <c r="G1303" s="68"/>
      <c r="H1303" s="68"/>
      <c r="I1303" s="68"/>
      <c r="J1303" s="78"/>
      <c r="K1303" s="68"/>
      <c r="L1303" s="68"/>
      <c r="M1303" s="68"/>
      <c r="N1303" s="68"/>
      <c r="O1303" s="68"/>
      <c r="P1303" s="68"/>
      <c r="Q1303" s="68"/>
      <c r="R1303" s="68"/>
      <c r="S1303" s="68"/>
      <c r="T1303" s="68"/>
      <c r="U1303" s="68"/>
      <c r="V1303" s="68"/>
      <c r="W1303" s="68"/>
      <c r="X1303" s="68"/>
      <c r="Y1303" s="68"/>
      <c r="Z1303" s="68"/>
      <c r="AA1303" s="68"/>
      <c r="AB1303" s="68"/>
      <c r="AC1303" s="68"/>
      <c r="AD1303" s="68"/>
      <c r="AE1303" s="68"/>
    </row>
    <row r="1304" ht="26.25" customHeight="1">
      <c r="A1304" s="68"/>
      <c r="B1304" s="68"/>
      <c r="C1304" s="61" t="s">
        <v>129</v>
      </c>
      <c r="D1304" s="61" t="s">
        <v>130</v>
      </c>
      <c r="E1304" s="68"/>
      <c r="F1304" s="68"/>
      <c r="G1304" s="68"/>
      <c r="H1304" s="68"/>
      <c r="I1304" s="68"/>
      <c r="J1304" s="78"/>
      <c r="K1304" s="68"/>
      <c r="L1304" s="68"/>
      <c r="M1304" s="68"/>
      <c r="N1304" s="68"/>
      <c r="O1304" s="68"/>
      <c r="P1304" s="68"/>
      <c r="Q1304" s="68"/>
      <c r="R1304" s="68"/>
      <c r="S1304" s="68"/>
      <c r="T1304" s="68"/>
      <c r="U1304" s="68"/>
      <c r="V1304" s="68"/>
      <c r="W1304" s="68"/>
      <c r="X1304" s="68"/>
      <c r="Y1304" s="68"/>
      <c r="Z1304" s="68"/>
      <c r="AA1304" s="68"/>
      <c r="AB1304" s="68"/>
      <c r="AC1304" s="68"/>
      <c r="AD1304" s="68"/>
      <c r="AE1304" s="68"/>
    </row>
    <row r="1305" ht="26.25" customHeight="1">
      <c r="A1305" s="68"/>
      <c r="B1305" s="68"/>
      <c r="C1305" s="61" t="s">
        <v>129</v>
      </c>
      <c r="D1305" s="61" t="s">
        <v>130</v>
      </c>
      <c r="E1305" s="68"/>
      <c r="F1305" s="68"/>
      <c r="G1305" s="68"/>
      <c r="H1305" s="68"/>
      <c r="I1305" s="68"/>
      <c r="J1305" s="78"/>
      <c r="K1305" s="68"/>
      <c r="L1305" s="68"/>
      <c r="M1305" s="68"/>
      <c r="N1305" s="68"/>
      <c r="O1305" s="68"/>
      <c r="P1305" s="68"/>
      <c r="Q1305" s="68"/>
      <c r="R1305" s="68"/>
      <c r="S1305" s="68"/>
      <c r="T1305" s="68"/>
      <c r="U1305" s="68"/>
      <c r="V1305" s="68"/>
      <c r="W1305" s="68"/>
      <c r="X1305" s="68"/>
      <c r="Y1305" s="68"/>
      <c r="Z1305" s="68"/>
      <c r="AA1305" s="68"/>
      <c r="AB1305" s="68"/>
      <c r="AC1305" s="68"/>
      <c r="AD1305" s="68"/>
      <c r="AE1305" s="68"/>
    </row>
    <row r="1306" ht="26.25" customHeight="1">
      <c r="A1306" s="68"/>
      <c r="B1306" s="68"/>
      <c r="C1306" s="61" t="s">
        <v>129</v>
      </c>
      <c r="D1306" s="61" t="s">
        <v>130</v>
      </c>
      <c r="E1306" s="68"/>
      <c r="F1306" s="68"/>
      <c r="G1306" s="68"/>
      <c r="H1306" s="68"/>
      <c r="I1306" s="68"/>
      <c r="J1306" s="78"/>
      <c r="K1306" s="68"/>
      <c r="L1306" s="68"/>
      <c r="M1306" s="68"/>
      <c r="N1306" s="68"/>
      <c r="O1306" s="68"/>
      <c r="P1306" s="68"/>
      <c r="Q1306" s="68"/>
      <c r="R1306" s="68"/>
      <c r="S1306" s="68"/>
      <c r="T1306" s="68"/>
      <c r="U1306" s="68"/>
      <c r="V1306" s="68"/>
      <c r="W1306" s="68"/>
      <c r="X1306" s="68"/>
      <c r="Y1306" s="68"/>
      <c r="Z1306" s="68"/>
      <c r="AA1306" s="68"/>
      <c r="AB1306" s="68"/>
      <c r="AC1306" s="68"/>
      <c r="AD1306" s="68"/>
      <c r="AE1306" s="68"/>
    </row>
    <row r="1307" ht="26.25" customHeight="1">
      <c r="A1307" s="68"/>
      <c r="B1307" s="68"/>
      <c r="C1307" s="61" t="s">
        <v>129</v>
      </c>
      <c r="D1307" s="61" t="s">
        <v>130</v>
      </c>
      <c r="E1307" s="68"/>
      <c r="F1307" s="68"/>
      <c r="G1307" s="68"/>
      <c r="H1307" s="68"/>
      <c r="I1307" s="68"/>
      <c r="J1307" s="78"/>
      <c r="K1307" s="68"/>
      <c r="L1307" s="68"/>
      <c r="M1307" s="68"/>
      <c r="N1307" s="68"/>
      <c r="O1307" s="68"/>
      <c r="P1307" s="68"/>
      <c r="Q1307" s="68"/>
      <c r="R1307" s="68"/>
      <c r="S1307" s="68"/>
      <c r="T1307" s="68"/>
      <c r="U1307" s="68"/>
      <c r="V1307" s="68"/>
      <c r="W1307" s="68"/>
      <c r="X1307" s="68"/>
      <c r="Y1307" s="68"/>
      <c r="Z1307" s="68"/>
      <c r="AA1307" s="68"/>
      <c r="AB1307" s="68"/>
      <c r="AC1307" s="68"/>
      <c r="AD1307" s="68"/>
      <c r="AE1307" s="68"/>
    </row>
    <row r="1308" ht="26.25" customHeight="1">
      <c r="A1308" s="68"/>
      <c r="B1308" s="68"/>
      <c r="C1308" s="61" t="s">
        <v>129</v>
      </c>
      <c r="D1308" s="61" t="s">
        <v>130</v>
      </c>
      <c r="E1308" s="68"/>
      <c r="F1308" s="68"/>
      <c r="G1308" s="68"/>
      <c r="H1308" s="68"/>
      <c r="I1308" s="68"/>
      <c r="J1308" s="78"/>
      <c r="K1308" s="68"/>
      <c r="L1308" s="68"/>
      <c r="M1308" s="68"/>
      <c r="N1308" s="68"/>
      <c r="O1308" s="68"/>
      <c r="P1308" s="68"/>
      <c r="Q1308" s="68"/>
      <c r="R1308" s="68"/>
      <c r="S1308" s="68"/>
      <c r="T1308" s="68"/>
      <c r="U1308" s="68"/>
      <c r="V1308" s="68"/>
      <c r="W1308" s="68"/>
      <c r="X1308" s="68"/>
      <c r="Y1308" s="68"/>
      <c r="Z1308" s="68"/>
      <c r="AA1308" s="68"/>
      <c r="AB1308" s="68"/>
      <c r="AC1308" s="68"/>
      <c r="AD1308" s="68"/>
      <c r="AE1308" s="68"/>
    </row>
    <row r="1309" ht="26.25" customHeight="1">
      <c r="A1309" s="68"/>
      <c r="B1309" s="68"/>
      <c r="C1309" s="61" t="s">
        <v>129</v>
      </c>
      <c r="D1309" s="61" t="s">
        <v>130</v>
      </c>
      <c r="E1309" s="68"/>
      <c r="F1309" s="68"/>
      <c r="G1309" s="68"/>
      <c r="H1309" s="68"/>
      <c r="I1309" s="68"/>
      <c r="J1309" s="78"/>
      <c r="K1309" s="68"/>
      <c r="L1309" s="68"/>
      <c r="M1309" s="68"/>
      <c r="N1309" s="68"/>
      <c r="O1309" s="68"/>
      <c r="P1309" s="68"/>
      <c r="Q1309" s="68"/>
      <c r="R1309" s="68"/>
      <c r="S1309" s="68"/>
      <c r="T1309" s="68"/>
      <c r="U1309" s="68"/>
      <c r="V1309" s="68"/>
      <c r="W1309" s="68"/>
      <c r="X1309" s="68"/>
      <c r="Y1309" s="68"/>
      <c r="Z1309" s="68"/>
      <c r="AA1309" s="68"/>
      <c r="AB1309" s="68"/>
      <c r="AC1309" s="68"/>
      <c r="AD1309" s="68"/>
      <c r="AE1309" s="68"/>
    </row>
    <row r="1310" ht="26.25" customHeight="1">
      <c r="A1310" s="68"/>
      <c r="B1310" s="68"/>
      <c r="C1310" s="61" t="s">
        <v>129</v>
      </c>
      <c r="D1310" s="61" t="s">
        <v>130</v>
      </c>
      <c r="E1310" s="68"/>
      <c r="F1310" s="68"/>
      <c r="G1310" s="68"/>
      <c r="H1310" s="68"/>
      <c r="I1310" s="68"/>
      <c r="J1310" s="78"/>
      <c r="K1310" s="68"/>
      <c r="L1310" s="68"/>
      <c r="M1310" s="68"/>
      <c r="N1310" s="68"/>
      <c r="O1310" s="68"/>
      <c r="P1310" s="68"/>
      <c r="Q1310" s="68"/>
      <c r="R1310" s="68"/>
      <c r="S1310" s="68"/>
      <c r="T1310" s="68"/>
      <c r="U1310" s="68"/>
      <c r="V1310" s="68"/>
      <c r="W1310" s="68"/>
      <c r="X1310" s="68"/>
      <c r="Y1310" s="68"/>
      <c r="Z1310" s="68"/>
      <c r="AA1310" s="68"/>
      <c r="AB1310" s="68"/>
      <c r="AC1310" s="68"/>
      <c r="AD1310" s="68"/>
      <c r="AE1310" s="68"/>
    </row>
    <row r="1311" ht="26.25" customHeight="1">
      <c r="A1311" s="68"/>
      <c r="B1311" s="68"/>
      <c r="C1311" s="61" t="s">
        <v>129</v>
      </c>
      <c r="D1311" s="61" t="s">
        <v>130</v>
      </c>
      <c r="E1311" s="68"/>
      <c r="F1311" s="68"/>
      <c r="G1311" s="68"/>
      <c r="H1311" s="68"/>
      <c r="I1311" s="68"/>
      <c r="J1311" s="78"/>
      <c r="K1311" s="68"/>
      <c r="L1311" s="68"/>
      <c r="M1311" s="68"/>
      <c r="N1311" s="68"/>
      <c r="O1311" s="68"/>
      <c r="P1311" s="68"/>
      <c r="Q1311" s="68"/>
      <c r="R1311" s="68"/>
      <c r="S1311" s="68"/>
      <c r="T1311" s="68"/>
      <c r="U1311" s="68"/>
      <c r="V1311" s="68"/>
      <c r="W1311" s="68"/>
      <c r="X1311" s="68"/>
      <c r="Y1311" s="68"/>
      <c r="Z1311" s="68"/>
      <c r="AA1311" s="68"/>
      <c r="AB1311" s="68"/>
      <c r="AC1311" s="68"/>
      <c r="AD1311" s="68"/>
      <c r="AE1311" s="68"/>
    </row>
    <row r="1312" ht="26.25" customHeight="1">
      <c r="A1312" s="68"/>
      <c r="B1312" s="68"/>
      <c r="C1312" s="61" t="s">
        <v>129</v>
      </c>
      <c r="D1312" s="61" t="s">
        <v>130</v>
      </c>
      <c r="E1312" s="68"/>
      <c r="F1312" s="68"/>
      <c r="G1312" s="68"/>
      <c r="H1312" s="68"/>
      <c r="I1312" s="68"/>
      <c r="J1312" s="78"/>
      <c r="K1312" s="68"/>
      <c r="L1312" s="68"/>
      <c r="M1312" s="68"/>
      <c r="N1312" s="68"/>
      <c r="O1312" s="68"/>
      <c r="P1312" s="68"/>
      <c r="Q1312" s="68"/>
      <c r="R1312" s="68"/>
      <c r="S1312" s="68"/>
      <c r="T1312" s="68"/>
      <c r="U1312" s="68"/>
      <c r="V1312" s="68"/>
      <c r="W1312" s="68"/>
      <c r="X1312" s="68"/>
      <c r="Y1312" s="68"/>
      <c r="Z1312" s="68"/>
      <c r="AA1312" s="68"/>
      <c r="AB1312" s="68"/>
      <c r="AC1312" s="68"/>
      <c r="AD1312" s="68"/>
      <c r="AE1312" s="68"/>
    </row>
    <row r="1313" ht="26.25" customHeight="1">
      <c r="A1313" s="68"/>
      <c r="B1313" s="68"/>
      <c r="C1313" s="61" t="s">
        <v>129</v>
      </c>
      <c r="D1313" s="61" t="s">
        <v>130</v>
      </c>
      <c r="E1313" s="68"/>
      <c r="F1313" s="68"/>
      <c r="G1313" s="68"/>
      <c r="H1313" s="68"/>
      <c r="I1313" s="68"/>
      <c r="J1313" s="78"/>
      <c r="K1313" s="68"/>
      <c r="L1313" s="68"/>
      <c r="M1313" s="68"/>
      <c r="N1313" s="68"/>
      <c r="O1313" s="68"/>
      <c r="P1313" s="68"/>
      <c r="Q1313" s="68"/>
      <c r="R1313" s="68"/>
      <c r="S1313" s="68"/>
      <c r="T1313" s="68"/>
      <c r="U1313" s="68"/>
      <c r="V1313" s="68"/>
      <c r="W1313" s="68"/>
      <c r="X1313" s="68"/>
      <c r="Y1313" s="68"/>
      <c r="Z1313" s="68"/>
      <c r="AA1313" s="68"/>
      <c r="AB1313" s="68"/>
      <c r="AC1313" s="68"/>
      <c r="AD1313" s="68"/>
      <c r="AE1313" s="68"/>
    </row>
    <row r="1314" ht="26.25" customHeight="1">
      <c r="A1314" s="68"/>
      <c r="B1314" s="68"/>
      <c r="C1314" s="61" t="s">
        <v>129</v>
      </c>
      <c r="D1314" s="61" t="s">
        <v>130</v>
      </c>
      <c r="E1314" s="68"/>
      <c r="F1314" s="68"/>
      <c r="G1314" s="68"/>
      <c r="H1314" s="68"/>
      <c r="I1314" s="68"/>
      <c r="J1314" s="78"/>
      <c r="K1314" s="68"/>
      <c r="L1314" s="68"/>
      <c r="M1314" s="68"/>
      <c r="N1314" s="68"/>
      <c r="O1314" s="68"/>
      <c r="P1314" s="68"/>
      <c r="Q1314" s="68"/>
      <c r="R1314" s="68"/>
      <c r="S1314" s="68"/>
      <c r="T1314" s="68"/>
      <c r="U1314" s="68"/>
      <c r="V1314" s="68"/>
      <c r="W1314" s="68"/>
      <c r="X1314" s="68"/>
      <c r="Y1314" s="68"/>
      <c r="Z1314" s="68"/>
      <c r="AA1314" s="68"/>
      <c r="AB1314" s="68"/>
      <c r="AC1314" s="68"/>
      <c r="AD1314" s="68"/>
      <c r="AE1314" s="68"/>
    </row>
    <row r="1315" ht="26.25" customHeight="1">
      <c r="A1315" s="68"/>
      <c r="B1315" s="68"/>
      <c r="C1315" s="61" t="s">
        <v>129</v>
      </c>
      <c r="D1315" s="61" t="s">
        <v>130</v>
      </c>
      <c r="E1315" s="68"/>
      <c r="F1315" s="68"/>
      <c r="G1315" s="68"/>
      <c r="H1315" s="68"/>
      <c r="I1315" s="68"/>
      <c r="J1315" s="78"/>
      <c r="K1315" s="68"/>
      <c r="L1315" s="68"/>
      <c r="M1315" s="68"/>
      <c r="N1315" s="68"/>
      <c r="O1315" s="68"/>
      <c r="P1315" s="68"/>
      <c r="Q1315" s="68"/>
      <c r="R1315" s="68"/>
      <c r="S1315" s="68"/>
      <c r="T1315" s="68"/>
      <c r="U1315" s="68"/>
      <c r="V1315" s="68"/>
      <c r="W1315" s="68"/>
      <c r="X1315" s="68"/>
      <c r="Y1315" s="68"/>
      <c r="Z1315" s="68"/>
      <c r="AA1315" s="68"/>
      <c r="AB1315" s="68"/>
      <c r="AC1315" s="68"/>
      <c r="AD1315" s="68"/>
      <c r="AE1315" s="68"/>
    </row>
    <row r="1316" ht="26.25" customHeight="1">
      <c r="A1316" s="68"/>
      <c r="B1316" s="68"/>
      <c r="C1316" s="61" t="s">
        <v>129</v>
      </c>
      <c r="D1316" s="61" t="s">
        <v>130</v>
      </c>
      <c r="E1316" s="68"/>
      <c r="F1316" s="68"/>
      <c r="G1316" s="68"/>
      <c r="H1316" s="68"/>
      <c r="I1316" s="68"/>
      <c r="J1316" s="78"/>
      <c r="K1316" s="68"/>
      <c r="L1316" s="68"/>
      <c r="M1316" s="68"/>
      <c r="N1316" s="68"/>
      <c r="O1316" s="68"/>
      <c r="P1316" s="68"/>
      <c r="Q1316" s="68"/>
      <c r="R1316" s="68"/>
      <c r="S1316" s="68"/>
      <c r="T1316" s="68"/>
      <c r="U1316" s="68"/>
      <c r="V1316" s="68"/>
      <c r="W1316" s="68"/>
      <c r="X1316" s="68"/>
      <c r="Y1316" s="68"/>
      <c r="Z1316" s="68"/>
      <c r="AA1316" s="68"/>
      <c r="AB1316" s="68"/>
      <c r="AC1316" s="68"/>
      <c r="AD1316" s="68"/>
      <c r="AE1316" s="68"/>
    </row>
    <row r="1317" ht="26.25" customHeight="1">
      <c r="A1317" s="68"/>
      <c r="B1317" s="68"/>
      <c r="C1317" s="61" t="s">
        <v>129</v>
      </c>
      <c r="D1317" s="61" t="s">
        <v>130</v>
      </c>
      <c r="E1317" s="68"/>
      <c r="F1317" s="68"/>
      <c r="G1317" s="68"/>
      <c r="H1317" s="68"/>
      <c r="I1317" s="68"/>
      <c r="J1317" s="78"/>
      <c r="K1317" s="68"/>
      <c r="L1317" s="68"/>
      <c r="M1317" s="68"/>
      <c r="N1317" s="68"/>
      <c r="O1317" s="68"/>
      <c r="P1317" s="68"/>
      <c r="Q1317" s="68"/>
      <c r="R1317" s="68"/>
      <c r="S1317" s="68"/>
      <c r="T1317" s="68"/>
      <c r="U1317" s="68"/>
      <c r="V1317" s="68"/>
      <c r="W1317" s="68"/>
      <c r="X1317" s="68"/>
      <c r="Y1317" s="68"/>
      <c r="Z1317" s="68"/>
      <c r="AA1317" s="68"/>
      <c r="AB1317" s="68"/>
      <c r="AC1317" s="68"/>
      <c r="AD1317" s="68"/>
      <c r="AE1317" s="68"/>
    </row>
    <row r="1318" ht="26.25" customHeight="1">
      <c r="A1318" s="68"/>
      <c r="B1318" s="68"/>
      <c r="C1318" s="61" t="s">
        <v>129</v>
      </c>
      <c r="D1318" s="61" t="s">
        <v>130</v>
      </c>
      <c r="E1318" s="68"/>
      <c r="F1318" s="68"/>
      <c r="G1318" s="68"/>
      <c r="H1318" s="68"/>
      <c r="I1318" s="68"/>
      <c r="J1318" s="78"/>
      <c r="K1318" s="68"/>
      <c r="L1318" s="68"/>
      <c r="M1318" s="68"/>
      <c r="N1318" s="68"/>
      <c r="O1318" s="68"/>
      <c r="P1318" s="68"/>
      <c r="Q1318" s="68"/>
      <c r="R1318" s="68"/>
      <c r="S1318" s="68"/>
      <c r="T1318" s="68"/>
      <c r="U1318" s="68"/>
      <c r="V1318" s="68"/>
      <c r="W1318" s="68"/>
      <c r="X1318" s="68"/>
      <c r="Y1318" s="68"/>
      <c r="Z1318" s="68"/>
      <c r="AA1318" s="68"/>
      <c r="AB1318" s="68"/>
      <c r="AC1318" s="68"/>
      <c r="AD1318" s="68"/>
      <c r="AE1318" s="68"/>
    </row>
    <row r="1319" ht="26.25" customHeight="1">
      <c r="A1319" s="68"/>
      <c r="B1319" s="68"/>
      <c r="C1319" s="61" t="s">
        <v>129</v>
      </c>
      <c r="D1319" s="61" t="s">
        <v>130</v>
      </c>
      <c r="E1319" s="68"/>
      <c r="F1319" s="68"/>
      <c r="G1319" s="68"/>
      <c r="H1319" s="68"/>
      <c r="I1319" s="68"/>
      <c r="J1319" s="78"/>
      <c r="K1319" s="68"/>
      <c r="L1319" s="68"/>
      <c r="M1319" s="68"/>
      <c r="N1319" s="68"/>
      <c r="O1319" s="68"/>
      <c r="P1319" s="68"/>
      <c r="Q1319" s="68"/>
      <c r="R1319" s="68"/>
      <c r="S1319" s="68"/>
      <c r="T1319" s="68"/>
      <c r="U1319" s="68"/>
      <c r="V1319" s="68"/>
      <c r="W1319" s="68"/>
      <c r="X1319" s="68"/>
      <c r="Y1319" s="68"/>
      <c r="Z1319" s="68"/>
      <c r="AA1319" s="68"/>
      <c r="AB1319" s="68"/>
      <c r="AC1319" s="68"/>
      <c r="AD1319" s="68"/>
      <c r="AE1319" s="68"/>
    </row>
    <row r="1320" ht="26.25" customHeight="1">
      <c r="A1320" s="68"/>
      <c r="B1320" s="68"/>
      <c r="C1320" s="61" t="s">
        <v>129</v>
      </c>
      <c r="D1320" s="61" t="s">
        <v>130</v>
      </c>
      <c r="E1320" s="68"/>
      <c r="F1320" s="68"/>
      <c r="G1320" s="68"/>
      <c r="H1320" s="68"/>
      <c r="I1320" s="68"/>
      <c r="J1320" s="78"/>
      <c r="K1320" s="68"/>
      <c r="L1320" s="68"/>
      <c r="M1320" s="68"/>
      <c r="N1320" s="68"/>
      <c r="O1320" s="68"/>
      <c r="P1320" s="68"/>
      <c r="Q1320" s="68"/>
      <c r="R1320" s="68"/>
      <c r="S1320" s="68"/>
      <c r="T1320" s="68"/>
      <c r="U1320" s="68"/>
      <c r="V1320" s="68"/>
      <c r="W1320" s="68"/>
      <c r="X1320" s="68"/>
      <c r="Y1320" s="68"/>
      <c r="Z1320" s="68"/>
      <c r="AA1320" s="68"/>
      <c r="AB1320" s="68"/>
      <c r="AC1320" s="68"/>
      <c r="AD1320" s="68"/>
      <c r="AE1320" s="68"/>
    </row>
    <row r="1321" ht="26.25" customHeight="1">
      <c r="A1321" s="68"/>
      <c r="B1321" s="68"/>
      <c r="C1321" s="61" t="s">
        <v>129</v>
      </c>
      <c r="D1321" s="61" t="s">
        <v>130</v>
      </c>
      <c r="E1321" s="68"/>
      <c r="F1321" s="68"/>
      <c r="G1321" s="68"/>
      <c r="H1321" s="68"/>
      <c r="I1321" s="68"/>
      <c r="J1321" s="78"/>
      <c r="K1321" s="68"/>
      <c r="L1321" s="68"/>
      <c r="M1321" s="68"/>
      <c r="N1321" s="68"/>
      <c r="O1321" s="68"/>
      <c r="P1321" s="68"/>
      <c r="Q1321" s="68"/>
      <c r="R1321" s="68"/>
      <c r="S1321" s="68"/>
      <c r="T1321" s="68"/>
      <c r="U1321" s="68"/>
      <c r="V1321" s="68"/>
      <c r="W1321" s="68"/>
      <c r="X1321" s="68"/>
      <c r="Y1321" s="68"/>
      <c r="Z1321" s="68"/>
      <c r="AA1321" s="68"/>
      <c r="AB1321" s="68"/>
      <c r="AC1321" s="68"/>
      <c r="AD1321" s="68"/>
      <c r="AE1321" s="68"/>
    </row>
    <row r="1322" ht="26.25" customHeight="1">
      <c r="A1322" s="68"/>
      <c r="B1322" s="68"/>
      <c r="C1322" s="61" t="s">
        <v>129</v>
      </c>
      <c r="D1322" s="61" t="s">
        <v>130</v>
      </c>
      <c r="E1322" s="68"/>
      <c r="F1322" s="68"/>
      <c r="G1322" s="68"/>
      <c r="H1322" s="68"/>
      <c r="I1322" s="68"/>
      <c r="J1322" s="78"/>
      <c r="K1322" s="68"/>
      <c r="L1322" s="68"/>
      <c r="M1322" s="68"/>
      <c r="N1322" s="68"/>
      <c r="O1322" s="68"/>
      <c r="P1322" s="68"/>
      <c r="Q1322" s="68"/>
      <c r="R1322" s="68"/>
      <c r="S1322" s="68"/>
      <c r="T1322" s="68"/>
      <c r="U1322" s="68"/>
      <c r="V1322" s="68"/>
      <c r="W1322" s="68"/>
      <c r="X1322" s="68"/>
      <c r="Y1322" s="68"/>
      <c r="Z1322" s="68"/>
      <c r="AA1322" s="68"/>
      <c r="AB1322" s="68"/>
      <c r="AC1322" s="68"/>
      <c r="AD1322" s="68"/>
      <c r="AE1322" s="68"/>
    </row>
    <row r="1323" ht="26.25" customHeight="1">
      <c r="A1323" s="68"/>
      <c r="B1323" s="68"/>
      <c r="C1323" s="61" t="s">
        <v>129</v>
      </c>
      <c r="D1323" s="61" t="s">
        <v>130</v>
      </c>
      <c r="E1323" s="68"/>
      <c r="F1323" s="68"/>
      <c r="G1323" s="68"/>
      <c r="H1323" s="68"/>
      <c r="I1323" s="68"/>
      <c r="J1323" s="78"/>
      <c r="K1323" s="68"/>
      <c r="L1323" s="68"/>
      <c r="M1323" s="68"/>
      <c r="N1323" s="68"/>
      <c r="O1323" s="68"/>
      <c r="P1323" s="68"/>
      <c r="Q1323" s="68"/>
      <c r="R1323" s="68"/>
      <c r="S1323" s="68"/>
      <c r="T1323" s="68"/>
      <c r="U1323" s="68"/>
      <c r="V1323" s="68"/>
      <c r="W1323" s="68"/>
      <c r="X1323" s="68"/>
      <c r="Y1323" s="68"/>
      <c r="Z1323" s="68"/>
      <c r="AA1323" s="68"/>
      <c r="AB1323" s="68"/>
      <c r="AC1323" s="68"/>
      <c r="AD1323" s="68"/>
      <c r="AE1323" s="68"/>
    </row>
    <row r="1324" ht="26.25" customHeight="1">
      <c r="A1324" s="68"/>
      <c r="B1324" s="68"/>
      <c r="C1324" s="61" t="s">
        <v>129</v>
      </c>
      <c r="D1324" s="61" t="s">
        <v>130</v>
      </c>
      <c r="E1324" s="68"/>
      <c r="F1324" s="68"/>
      <c r="G1324" s="68"/>
      <c r="H1324" s="68"/>
      <c r="I1324" s="68"/>
      <c r="J1324" s="78"/>
      <c r="K1324" s="68"/>
      <c r="L1324" s="68"/>
      <c r="M1324" s="68"/>
      <c r="N1324" s="68"/>
      <c r="O1324" s="68"/>
      <c r="P1324" s="68"/>
      <c r="Q1324" s="68"/>
      <c r="R1324" s="68"/>
      <c r="S1324" s="68"/>
      <c r="T1324" s="68"/>
      <c r="U1324" s="68"/>
      <c r="V1324" s="68"/>
      <c r="W1324" s="68"/>
      <c r="X1324" s="68"/>
      <c r="Y1324" s="68"/>
      <c r="Z1324" s="68"/>
      <c r="AA1324" s="68"/>
      <c r="AB1324" s="68"/>
      <c r="AC1324" s="68"/>
      <c r="AD1324" s="68"/>
      <c r="AE1324" s="68"/>
    </row>
    <row r="1325" ht="26.25" customHeight="1">
      <c r="A1325" s="68"/>
      <c r="B1325" s="68"/>
      <c r="C1325" s="61" t="s">
        <v>129</v>
      </c>
      <c r="D1325" s="61" t="s">
        <v>130</v>
      </c>
      <c r="E1325" s="68"/>
      <c r="F1325" s="68"/>
      <c r="G1325" s="68"/>
      <c r="H1325" s="68"/>
      <c r="I1325" s="68"/>
      <c r="J1325" s="78"/>
      <c r="K1325" s="68"/>
      <c r="L1325" s="68"/>
      <c r="M1325" s="68"/>
      <c r="N1325" s="68"/>
      <c r="O1325" s="68"/>
      <c r="P1325" s="68"/>
      <c r="Q1325" s="68"/>
      <c r="R1325" s="68"/>
      <c r="S1325" s="68"/>
      <c r="T1325" s="68"/>
      <c r="U1325" s="68"/>
      <c r="V1325" s="68"/>
      <c r="W1325" s="68"/>
      <c r="X1325" s="68"/>
      <c r="Y1325" s="68"/>
      <c r="Z1325" s="68"/>
      <c r="AA1325" s="68"/>
      <c r="AB1325" s="68"/>
      <c r="AC1325" s="68"/>
      <c r="AD1325" s="68"/>
      <c r="AE1325" s="68"/>
    </row>
    <row r="1326" ht="26.25" customHeight="1">
      <c r="A1326" s="68"/>
      <c r="B1326" s="68"/>
      <c r="C1326" s="61" t="s">
        <v>129</v>
      </c>
      <c r="D1326" s="61" t="s">
        <v>130</v>
      </c>
      <c r="E1326" s="68"/>
      <c r="F1326" s="68"/>
      <c r="G1326" s="68"/>
      <c r="H1326" s="68"/>
      <c r="I1326" s="68"/>
      <c r="J1326" s="78"/>
      <c r="K1326" s="68"/>
      <c r="L1326" s="68"/>
      <c r="M1326" s="68"/>
      <c r="N1326" s="68"/>
      <c r="O1326" s="68"/>
      <c r="P1326" s="68"/>
      <c r="Q1326" s="68"/>
      <c r="R1326" s="68"/>
      <c r="S1326" s="68"/>
      <c r="T1326" s="68"/>
      <c r="U1326" s="68"/>
      <c r="V1326" s="68"/>
      <c r="W1326" s="68"/>
      <c r="X1326" s="68"/>
      <c r="Y1326" s="68"/>
      <c r="Z1326" s="68"/>
      <c r="AA1326" s="68"/>
      <c r="AB1326" s="68"/>
      <c r="AC1326" s="68"/>
      <c r="AD1326" s="68"/>
      <c r="AE1326" s="68"/>
    </row>
    <row r="1327" ht="26.25" customHeight="1">
      <c r="A1327" s="68"/>
      <c r="B1327" s="68"/>
      <c r="C1327" s="61" t="s">
        <v>129</v>
      </c>
      <c r="D1327" s="61" t="s">
        <v>130</v>
      </c>
      <c r="E1327" s="68"/>
      <c r="F1327" s="68"/>
      <c r="G1327" s="68"/>
      <c r="H1327" s="68"/>
      <c r="I1327" s="68"/>
      <c r="J1327" s="78"/>
      <c r="K1327" s="68"/>
      <c r="L1327" s="68"/>
      <c r="M1327" s="68"/>
      <c r="N1327" s="68"/>
      <c r="O1327" s="68"/>
      <c r="P1327" s="68"/>
      <c r="Q1327" s="68"/>
      <c r="R1327" s="68"/>
      <c r="S1327" s="68"/>
      <c r="T1327" s="68"/>
      <c r="U1327" s="68"/>
      <c r="V1327" s="68"/>
      <c r="W1327" s="68"/>
      <c r="X1327" s="68"/>
      <c r="Y1327" s="68"/>
      <c r="Z1327" s="68"/>
      <c r="AA1327" s="68"/>
      <c r="AB1327" s="68"/>
      <c r="AC1327" s="68"/>
      <c r="AD1327" s="68"/>
      <c r="AE1327" s="68"/>
    </row>
    <row r="1328" ht="26.25" customHeight="1">
      <c r="A1328" s="68"/>
      <c r="B1328" s="68"/>
      <c r="C1328" s="61" t="s">
        <v>129</v>
      </c>
      <c r="D1328" s="61" t="s">
        <v>130</v>
      </c>
      <c r="E1328" s="68"/>
      <c r="F1328" s="68"/>
      <c r="G1328" s="68"/>
      <c r="H1328" s="68"/>
      <c r="I1328" s="68"/>
      <c r="J1328" s="78"/>
      <c r="K1328" s="68"/>
      <c r="L1328" s="68"/>
      <c r="M1328" s="68"/>
      <c r="N1328" s="68"/>
      <c r="O1328" s="68"/>
      <c r="P1328" s="68"/>
      <c r="Q1328" s="68"/>
      <c r="R1328" s="68"/>
      <c r="S1328" s="68"/>
      <c r="T1328" s="68"/>
      <c r="U1328" s="68"/>
      <c r="V1328" s="68"/>
      <c r="W1328" s="68"/>
      <c r="X1328" s="68"/>
      <c r="Y1328" s="68"/>
      <c r="Z1328" s="68"/>
      <c r="AA1328" s="68"/>
      <c r="AB1328" s="68"/>
      <c r="AC1328" s="68"/>
      <c r="AD1328" s="68"/>
      <c r="AE1328" s="68"/>
    </row>
    <row r="1329" ht="26.25" customHeight="1">
      <c r="A1329" s="68"/>
      <c r="B1329" s="68"/>
      <c r="C1329" s="61" t="s">
        <v>129</v>
      </c>
      <c r="D1329" s="61" t="s">
        <v>130</v>
      </c>
      <c r="E1329" s="68"/>
      <c r="F1329" s="68"/>
      <c r="G1329" s="68"/>
      <c r="H1329" s="68"/>
      <c r="I1329" s="68"/>
      <c r="J1329" s="78"/>
      <c r="K1329" s="68"/>
      <c r="L1329" s="68"/>
      <c r="M1329" s="68"/>
      <c r="N1329" s="68"/>
      <c r="O1329" s="68"/>
      <c r="P1329" s="68"/>
      <c r="Q1329" s="68"/>
      <c r="R1329" s="68"/>
      <c r="S1329" s="68"/>
      <c r="T1329" s="68"/>
      <c r="U1329" s="68"/>
      <c r="V1329" s="68"/>
      <c r="W1329" s="68"/>
      <c r="X1329" s="68"/>
      <c r="Y1329" s="68"/>
      <c r="Z1329" s="68"/>
      <c r="AA1329" s="68"/>
      <c r="AB1329" s="68"/>
      <c r="AC1329" s="68"/>
      <c r="AD1329" s="68"/>
      <c r="AE1329" s="68"/>
    </row>
    <row r="1330" ht="26.25" customHeight="1">
      <c r="A1330" s="68"/>
      <c r="B1330" s="68"/>
      <c r="C1330" s="61" t="s">
        <v>129</v>
      </c>
      <c r="D1330" s="61" t="s">
        <v>130</v>
      </c>
      <c r="E1330" s="68"/>
      <c r="F1330" s="68"/>
      <c r="G1330" s="68"/>
      <c r="H1330" s="68"/>
      <c r="I1330" s="68"/>
      <c r="J1330" s="78"/>
      <c r="K1330" s="68"/>
      <c r="L1330" s="68"/>
      <c r="M1330" s="68"/>
      <c r="N1330" s="68"/>
      <c r="O1330" s="68"/>
      <c r="P1330" s="68"/>
      <c r="Q1330" s="68"/>
      <c r="R1330" s="68"/>
      <c r="S1330" s="68"/>
      <c r="T1330" s="68"/>
      <c r="U1330" s="68"/>
      <c r="V1330" s="68"/>
      <c r="W1330" s="68"/>
      <c r="X1330" s="68"/>
      <c r="Y1330" s="68"/>
      <c r="Z1330" s="68"/>
      <c r="AA1330" s="68"/>
      <c r="AB1330" s="68"/>
      <c r="AC1330" s="68"/>
      <c r="AD1330" s="68"/>
      <c r="AE1330" s="68"/>
    </row>
    <row r="1331" ht="26.25" customHeight="1">
      <c r="A1331" s="68"/>
      <c r="B1331" s="68"/>
      <c r="C1331" s="61" t="s">
        <v>129</v>
      </c>
      <c r="D1331" s="61" t="s">
        <v>130</v>
      </c>
      <c r="E1331" s="68"/>
      <c r="F1331" s="68"/>
      <c r="G1331" s="68"/>
      <c r="H1331" s="68"/>
      <c r="I1331" s="68"/>
      <c r="J1331" s="78"/>
      <c r="K1331" s="68"/>
      <c r="L1331" s="68"/>
      <c r="M1331" s="68"/>
      <c r="N1331" s="68"/>
      <c r="O1331" s="68"/>
      <c r="P1331" s="68"/>
      <c r="Q1331" s="68"/>
      <c r="R1331" s="68"/>
      <c r="S1331" s="68"/>
      <c r="T1331" s="68"/>
      <c r="U1331" s="68"/>
      <c r="V1331" s="68"/>
      <c r="W1331" s="68"/>
      <c r="X1331" s="68"/>
      <c r="Y1331" s="68"/>
      <c r="Z1331" s="68"/>
      <c r="AA1331" s="68"/>
      <c r="AB1331" s="68"/>
      <c r="AC1331" s="68"/>
      <c r="AD1331" s="68"/>
      <c r="AE1331" s="68"/>
    </row>
    <row r="1332" ht="26.25" customHeight="1">
      <c r="A1332" s="68"/>
      <c r="B1332" s="68"/>
      <c r="C1332" s="61" t="s">
        <v>129</v>
      </c>
      <c r="D1332" s="61" t="s">
        <v>130</v>
      </c>
      <c r="E1332" s="68"/>
      <c r="F1332" s="68"/>
      <c r="G1332" s="68"/>
      <c r="H1332" s="68"/>
      <c r="I1332" s="68"/>
      <c r="J1332" s="78"/>
      <c r="K1332" s="68"/>
      <c r="L1332" s="68"/>
      <c r="M1332" s="68"/>
      <c r="N1332" s="68"/>
      <c r="O1332" s="68"/>
      <c r="P1332" s="68"/>
      <c r="Q1332" s="68"/>
      <c r="R1332" s="68"/>
      <c r="S1332" s="68"/>
      <c r="T1332" s="68"/>
      <c r="U1332" s="68"/>
      <c r="V1332" s="68"/>
      <c r="W1332" s="68"/>
      <c r="X1332" s="68"/>
      <c r="Y1332" s="68"/>
      <c r="Z1332" s="68"/>
      <c r="AA1332" s="68"/>
      <c r="AB1332" s="68"/>
      <c r="AC1332" s="68"/>
      <c r="AD1332" s="68"/>
      <c r="AE1332" s="68"/>
    </row>
    <row r="1333" ht="26.25" customHeight="1">
      <c r="A1333" s="68"/>
      <c r="B1333" s="68"/>
      <c r="C1333" s="61" t="s">
        <v>129</v>
      </c>
      <c r="D1333" s="61" t="s">
        <v>130</v>
      </c>
      <c r="E1333" s="68"/>
      <c r="F1333" s="68"/>
      <c r="G1333" s="68"/>
      <c r="H1333" s="68"/>
      <c r="I1333" s="68"/>
      <c r="J1333" s="78"/>
      <c r="K1333" s="68"/>
      <c r="L1333" s="68"/>
      <c r="M1333" s="68"/>
      <c r="N1333" s="68"/>
      <c r="O1333" s="68"/>
      <c r="P1333" s="68"/>
      <c r="Q1333" s="68"/>
      <c r="R1333" s="68"/>
      <c r="S1333" s="68"/>
      <c r="T1333" s="68"/>
      <c r="U1333" s="68"/>
      <c r="V1333" s="68"/>
      <c r="W1333" s="68"/>
      <c r="X1333" s="68"/>
      <c r="Y1333" s="68"/>
      <c r="Z1333" s="68"/>
      <c r="AA1333" s="68"/>
      <c r="AB1333" s="68"/>
      <c r="AC1333" s="68"/>
      <c r="AD1333" s="68"/>
      <c r="AE1333" s="68"/>
    </row>
    <row r="1334" ht="26.25" customHeight="1">
      <c r="A1334" s="68"/>
      <c r="B1334" s="68"/>
      <c r="C1334" s="61" t="s">
        <v>129</v>
      </c>
      <c r="D1334" s="61" t="s">
        <v>130</v>
      </c>
      <c r="E1334" s="68"/>
      <c r="F1334" s="68"/>
      <c r="G1334" s="68"/>
      <c r="H1334" s="68"/>
      <c r="I1334" s="68"/>
      <c r="J1334" s="78"/>
      <c r="K1334" s="68"/>
      <c r="L1334" s="68"/>
      <c r="M1334" s="68"/>
      <c r="N1334" s="68"/>
      <c r="O1334" s="68"/>
      <c r="P1334" s="68"/>
      <c r="Q1334" s="68"/>
      <c r="R1334" s="68"/>
      <c r="S1334" s="68"/>
      <c r="T1334" s="68"/>
      <c r="U1334" s="68"/>
      <c r="V1334" s="68"/>
      <c r="W1334" s="68"/>
      <c r="X1334" s="68"/>
      <c r="Y1334" s="68"/>
      <c r="Z1334" s="68"/>
      <c r="AA1334" s="68"/>
      <c r="AB1334" s="68"/>
      <c r="AC1334" s="68"/>
      <c r="AD1334" s="68"/>
      <c r="AE1334" s="68"/>
    </row>
    <row r="1335" ht="26.25" customHeight="1">
      <c r="A1335" s="68"/>
      <c r="B1335" s="68"/>
      <c r="C1335" s="61" t="s">
        <v>129</v>
      </c>
      <c r="D1335" s="61" t="s">
        <v>130</v>
      </c>
      <c r="E1335" s="68"/>
      <c r="F1335" s="68"/>
      <c r="G1335" s="68"/>
      <c r="H1335" s="68"/>
      <c r="I1335" s="68"/>
      <c r="J1335" s="78"/>
      <c r="K1335" s="68"/>
      <c r="L1335" s="68"/>
      <c r="M1335" s="68"/>
      <c r="N1335" s="68"/>
      <c r="O1335" s="68"/>
      <c r="P1335" s="68"/>
      <c r="Q1335" s="68"/>
      <c r="R1335" s="68"/>
      <c r="S1335" s="68"/>
      <c r="T1335" s="68"/>
      <c r="U1335" s="68"/>
      <c r="V1335" s="68"/>
      <c r="W1335" s="68"/>
      <c r="X1335" s="68"/>
      <c r="Y1335" s="68"/>
      <c r="Z1335" s="68"/>
      <c r="AA1335" s="68"/>
      <c r="AB1335" s="68"/>
      <c r="AC1335" s="68"/>
      <c r="AD1335" s="68"/>
      <c r="AE1335" s="68"/>
    </row>
    <row r="1336" ht="26.25" customHeight="1">
      <c r="A1336" s="68"/>
      <c r="B1336" s="68"/>
      <c r="C1336" s="61" t="s">
        <v>129</v>
      </c>
      <c r="D1336" s="61" t="s">
        <v>130</v>
      </c>
      <c r="E1336" s="68"/>
      <c r="F1336" s="68"/>
      <c r="G1336" s="68"/>
      <c r="H1336" s="68"/>
      <c r="I1336" s="68"/>
      <c r="J1336" s="78"/>
      <c r="K1336" s="68"/>
      <c r="L1336" s="68"/>
      <c r="M1336" s="68"/>
      <c r="N1336" s="68"/>
      <c r="O1336" s="68"/>
      <c r="P1336" s="68"/>
      <c r="Q1336" s="68"/>
      <c r="R1336" s="68"/>
      <c r="S1336" s="68"/>
      <c r="T1336" s="68"/>
      <c r="U1336" s="68"/>
      <c r="V1336" s="68"/>
      <c r="W1336" s="68"/>
      <c r="X1336" s="68"/>
      <c r="Y1336" s="68"/>
      <c r="Z1336" s="68"/>
      <c r="AA1336" s="68"/>
      <c r="AB1336" s="68"/>
      <c r="AC1336" s="68"/>
      <c r="AD1336" s="68"/>
      <c r="AE1336" s="68"/>
    </row>
    <row r="1337" ht="26.25" customHeight="1">
      <c r="A1337" s="68"/>
      <c r="B1337" s="68"/>
      <c r="C1337" s="61" t="s">
        <v>129</v>
      </c>
      <c r="D1337" s="61" t="s">
        <v>130</v>
      </c>
      <c r="E1337" s="68"/>
      <c r="F1337" s="68"/>
      <c r="G1337" s="68"/>
      <c r="H1337" s="68"/>
      <c r="I1337" s="68"/>
      <c r="J1337" s="78"/>
      <c r="K1337" s="68"/>
      <c r="L1337" s="68"/>
      <c r="M1337" s="68"/>
      <c r="N1337" s="68"/>
      <c r="O1337" s="68"/>
      <c r="P1337" s="68"/>
      <c r="Q1337" s="68"/>
      <c r="R1337" s="68"/>
      <c r="S1337" s="68"/>
      <c r="T1337" s="68"/>
      <c r="U1337" s="68"/>
      <c r="V1337" s="68"/>
      <c r="W1337" s="68"/>
      <c r="X1337" s="68"/>
      <c r="Y1337" s="68"/>
      <c r="Z1337" s="68"/>
      <c r="AA1337" s="68"/>
      <c r="AB1337" s="68"/>
      <c r="AC1337" s="68"/>
      <c r="AD1337" s="68"/>
      <c r="AE1337" s="68"/>
    </row>
    <row r="1338" ht="26.25" customHeight="1">
      <c r="A1338" s="68"/>
      <c r="B1338" s="68"/>
      <c r="C1338" s="61" t="s">
        <v>129</v>
      </c>
      <c r="D1338" s="61" t="s">
        <v>130</v>
      </c>
      <c r="E1338" s="68"/>
      <c r="F1338" s="68"/>
      <c r="G1338" s="68"/>
      <c r="H1338" s="68"/>
      <c r="I1338" s="68"/>
      <c r="J1338" s="78"/>
      <c r="K1338" s="68"/>
      <c r="L1338" s="68"/>
      <c r="M1338" s="68"/>
      <c r="N1338" s="68"/>
      <c r="O1338" s="68"/>
      <c r="P1338" s="68"/>
      <c r="Q1338" s="68"/>
      <c r="R1338" s="68"/>
      <c r="S1338" s="68"/>
      <c r="T1338" s="68"/>
      <c r="U1338" s="68"/>
      <c r="V1338" s="68"/>
      <c r="W1338" s="68"/>
      <c r="X1338" s="68"/>
      <c r="Y1338" s="68"/>
      <c r="Z1338" s="68"/>
      <c r="AA1338" s="68"/>
      <c r="AB1338" s="68"/>
      <c r="AC1338" s="68"/>
      <c r="AD1338" s="68"/>
      <c r="AE1338" s="68"/>
    </row>
    <row r="1339" ht="26.25" customHeight="1">
      <c r="A1339" s="68"/>
      <c r="B1339" s="68"/>
      <c r="C1339" s="61" t="s">
        <v>129</v>
      </c>
      <c r="D1339" s="61" t="s">
        <v>130</v>
      </c>
      <c r="E1339" s="68"/>
      <c r="F1339" s="68"/>
      <c r="G1339" s="68"/>
      <c r="H1339" s="68"/>
      <c r="I1339" s="68"/>
      <c r="J1339" s="78"/>
      <c r="K1339" s="68"/>
      <c r="L1339" s="68"/>
      <c r="M1339" s="68"/>
      <c r="N1339" s="68"/>
      <c r="O1339" s="68"/>
      <c r="P1339" s="68"/>
      <c r="Q1339" s="68"/>
      <c r="R1339" s="68"/>
      <c r="S1339" s="68"/>
      <c r="T1339" s="68"/>
      <c r="U1339" s="68"/>
      <c r="V1339" s="68"/>
      <c r="W1339" s="68"/>
      <c r="X1339" s="68"/>
      <c r="Y1339" s="68"/>
      <c r="Z1339" s="68"/>
      <c r="AA1339" s="68"/>
      <c r="AB1339" s="68"/>
      <c r="AC1339" s="68"/>
      <c r="AD1339" s="68"/>
      <c r="AE1339" s="68"/>
    </row>
    <row r="1340" ht="26.25" customHeight="1">
      <c r="A1340" s="68"/>
      <c r="B1340" s="68"/>
      <c r="C1340" s="61" t="s">
        <v>129</v>
      </c>
      <c r="D1340" s="61" t="s">
        <v>130</v>
      </c>
      <c r="E1340" s="68"/>
      <c r="F1340" s="68"/>
      <c r="G1340" s="68"/>
      <c r="H1340" s="68"/>
      <c r="I1340" s="68"/>
      <c r="J1340" s="78"/>
      <c r="K1340" s="68"/>
      <c r="L1340" s="68"/>
      <c r="M1340" s="68"/>
      <c r="N1340" s="68"/>
      <c r="O1340" s="68"/>
      <c r="P1340" s="68"/>
      <c r="Q1340" s="68"/>
      <c r="R1340" s="68"/>
      <c r="S1340" s="68"/>
      <c r="T1340" s="68"/>
      <c r="U1340" s="68"/>
      <c r="V1340" s="68"/>
      <c r="W1340" s="68"/>
      <c r="X1340" s="68"/>
      <c r="Y1340" s="68"/>
      <c r="Z1340" s="68"/>
      <c r="AA1340" s="68"/>
      <c r="AB1340" s="68"/>
      <c r="AC1340" s="68"/>
      <c r="AD1340" s="68"/>
      <c r="AE1340" s="68"/>
    </row>
    <row r="1341" ht="26.25" customHeight="1">
      <c r="A1341" s="68"/>
      <c r="B1341" s="68"/>
      <c r="C1341" s="61" t="s">
        <v>129</v>
      </c>
      <c r="D1341" s="61" t="s">
        <v>130</v>
      </c>
      <c r="E1341" s="68"/>
      <c r="F1341" s="68"/>
      <c r="G1341" s="68"/>
      <c r="H1341" s="68"/>
      <c r="I1341" s="68"/>
      <c r="J1341" s="78"/>
      <c r="K1341" s="68"/>
      <c r="L1341" s="68"/>
      <c r="M1341" s="68"/>
      <c r="N1341" s="68"/>
      <c r="O1341" s="68"/>
      <c r="P1341" s="68"/>
      <c r="Q1341" s="68"/>
      <c r="R1341" s="68"/>
      <c r="S1341" s="68"/>
      <c r="T1341" s="68"/>
      <c r="U1341" s="68"/>
      <c r="V1341" s="68"/>
      <c r="W1341" s="68"/>
      <c r="X1341" s="68"/>
      <c r="Y1341" s="68"/>
      <c r="Z1341" s="68"/>
      <c r="AA1341" s="68"/>
      <c r="AB1341" s="68"/>
      <c r="AC1341" s="68"/>
      <c r="AD1341" s="68"/>
      <c r="AE1341" s="68"/>
    </row>
    <row r="1342" ht="26.25" customHeight="1">
      <c r="A1342" s="68"/>
      <c r="B1342" s="68"/>
      <c r="C1342" s="61" t="s">
        <v>129</v>
      </c>
      <c r="D1342" s="61" t="s">
        <v>130</v>
      </c>
      <c r="E1342" s="68"/>
      <c r="F1342" s="68"/>
      <c r="G1342" s="68"/>
      <c r="H1342" s="68"/>
      <c r="I1342" s="68"/>
      <c r="J1342" s="78"/>
      <c r="K1342" s="68"/>
      <c r="L1342" s="68"/>
      <c r="M1342" s="68"/>
      <c r="N1342" s="68"/>
      <c r="O1342" s="68"/>
      <c r="P1342" s="68"/>
      <c r="Q1342" s="68"/>
      <c r="R1342" s="68"/>
      <c r="S1342" s="68"/>
      <c r="T1342" s="68"/>
      <c r="U1342" s="68"/>
      <c r="V1342" s="68"/>
      <c r="W1342" s="68"/>
      <c r="X1342" s="68"/>
      <c r="Y1342" s="68"/>
      <c r="Z1342" s="68"/>
      <c r="AA1342" s="68"/>
      <c r="AB1342" s="68"/>
      <c r="AC1342" s="68"/>
      <c r="AD1342" s="68"/>
      <c r="AE1342" s="68"/>
    </row>
    <row r="1343" ht="26.25" customHeight="1">
      <c r="A1343" s="68"/>
      <c r="B1343" s="68"/>
      <c r="C1343" s="61" t="s">
        <v>129</v>
      </c>
      <c r="D1343" s="61" t="s">
        <v>130</v>
      </c>
      <c r="E1343" s="68"/>
      <c r="F1343" s="68"/>
      <c r="G1343" s="68"/>
      <c r="H1343" s="68"/>
      <c r="I1343" s="68"/>
      <c r="J1343" s="78"/>
      <c r="K1343" s="68"/>
      <c r="L1343" s="68"/>
      <c r="M1343" s="68"/>
      <c r="N1343" s="68"/>
      <c r="O1343" s="68"/>
      <c r="P1343" s="68"/>
      <c r="Q1343" s="68"/>
      <c r="R1343" s="68"/>
      <c r="S1343" s="68"/>
      <c r="T1343" s="68"/>
      <c r="U1343" s="68"/>
      <c r="V1343" s="68"/>
      <c r="W1343" s="68"/>
      <c r="X1343" s="68"/>
      <c r="Y1343" s="68"/>
      <c r="Z1343" s="68"/>
      <c r="AA1343" s="68"/>
      <c r="AB1343" s="68"/>
      <c r="AC1343" s="68"/>
      <c r="AD1343" s="68"/>
      <c r="AE1343" s="68"/>
    </row>
    <row r="1344" ht="26.25" customHeight="1">
      <c r="A1344" s="68"/>
      <c r="B1344" s="68"/>
      <c r="C1344" s="61" t="s">
        <v>129</v>
      </c>
      <c r="D1344" s="61" t="s">
        <v>130</v>
      </c>
      <c r="E1344" s="68"/>
      <c r="F1344" s="68"/>
      <c r="G1344" s="68"/>
      <c r="H1344" s="68"/>
      <c r="I1344" s="68"/>
      <c r="J1344" s="78"/>
      <c r="K1344" s="68"/>
      <c r="L1344" s="68"/>
      <c r="M1344" s="68"/>
      <c r="N1344" s="68"/>
      <c r="O1344" s="68"/>
      <c r="P1344" s="68"/>
      <c r="Q1344" s="68"/>
      <c r="R1344" s="68"/>
      <c r="S1344" s="68"/>
      <c r="T1344" s="68"/>
      <c r="U1344" s="68"/>
      <c r="V1344" s="68"/>
      <c r="W1344" s="68"/>
      <c r="X1344" s="68"/>
      <c r="Y1344" s="68"/>
      <c r="Z1344" s="68"/>
      <c r="AA1344" s="68"/>
      <c r="AB1344" s="68"/>
      <c r="AC1344" s="68"/>
      <c r="AD1344" s="68"/>
      <c r="AE1344" s="68"/>
    </row>
    <row r="1345" ht="26.25" customHeight="1">
      <c r="A1345" s="68"/>
      <c r="B1345" s="68"/>
      <c r="C1345" s="61" t="s">
        <v>129</v>
      </c>
      <c r="D1345" s="61" t="s">
        <v>130</v>
      </c>
      <c r="E1345" s="68"/>
      <c r="F1345" s="68"/>
      <c r="G1345" s="68"/>
      <c r="H1345" s="68"/>
      <c r="I1345" s="68"/>
      <c r="J1345" s="78"/>
      <c r="K1345" s="68"/>
      <c r="L1345" s="68"/>
      <c r="M1345" s="68"/>
      <c r="N1345" s="68"/>
      <c r="O1345" s="68"/>
      <c r="P1345" s="68"/>
      <c r="Q1345" s="68"/>
      <c r="R1345" s="68"/>
      <c r="S1345" s="68"/>
      <c r="T1345" s="68"/>
      <c r="U1345" s="68"/>
      <c r="V1345" s="68"/>
      <c r="W1345" s="68"/>
      <c r="X1345" s="68"/>
      <c r="Y1345" s="68"/>
      <c r="Z1345" s="68"/>
      <c r="AA1345" s="68"/>
      <c r="AB1345" s="68"/>
      <c r="AC1345" s="68"/>
      <c r="AD1345" s="68"/>
      <c r="AE1345" s="68"/>
    </row>
    <row r="1346" ht="26.25" customHeight="1">
      <c r="A1346" s="68"/>
      <c r="B1346" s="68"/>
      <c r="C1346" s="61" t="s">
        <v>129</v>
      </c>
      <c r="D1346" s="61" t="s">
        <v>130</v>
      </c>
      <c r="E1346" s="68"/>
      <c r="F1346" s="68"/>
      <c r="G1346" s="68"/>
      <c r="H1346" s="68"/>
      <c r="I1346" s="68"/>
      <c r="J1346" s="78"/>
      <c r="K1346" s="68"/>
      <c r="L1346" s="68"/>
      <c r="M1346" s="68"/>
      <c r="N1346" s="68"/>
      <c r="O1346" s="68"/>
      <c r="P1346" s="68"/>
      <c r="Q1346" s="68"/>
      <c r="R1346" s="68"/>
      <c r="S1346" s="68"/>
      <c r="T1346" s="68"/>
      <c r="U1346" s="68"/>
      <c r="V1346" s="68"/>
      <c r="W1346" s="68"/>
      <c r="X1346" s="68"/>
      <c r="Y1346" s="68"/>
      <c r="Z1346" s="68"/>
      <c r="AA1346" s="68"/>
      <c r="AB1346" s="68"/>
      <c r="AC1346" s="68"/>
      <c r="AD1346" s="68"/>
      <c r="AE1346" s="68"/>
    </row>
    <row r="1347" ht="26.25" customHeight="1">
      <c r="A1347" s="68"/>
      <c r="B1347" s="68"/>
      <c r="C1347" s="61" t="s">
        <v>129</v>
      </c>
      <c r="D1347" s="61" t="s">
        <v>130</v>
      </c>
      <c r="E1347" s="68"/>
      <c r="F1347" s="68"/>
      <c r="G1347" s="68"/>
      <c r="H1347" s="68"/>
      <c r="I1347" s="68"/>
      <c r="J1347" s="78"/>
      <c r="K1347" s="68"/>
      <c r="L1347" s="68"/>
      <c r="M1347" s="68"/>
      <c r="N1347" s="68"/>
      <c r="O1347" s="68"/>
      <c r="P1347" s="68"/>
      <c r="Q1347" s="68"/>
      <c r="R1347" s="68"/>
      <c r="S1347" s="68"/>
      <c r="T1347" s="68"/>
      <c r="U1347" s="68"/>
      <c r="V1347" s="68"/>
      <c r="W1347" s="68"/>
      <c r="X1347" s="68"/>
      <c r="Y1347" s="68"/>
      <c r="Z1347" s="68"/>
      <c r="AA1347" s="68"/>
      <c r="AB1347" s="68"/>
      <c r="AC1347" s="68"/>
      <c r="AD1347" s="68"/>
      <c r="AE1347" s="68"/>
    </row>
    <row r="1348" ht="26.25" customHeight="1">
      <c r="A1348" s="68"/>
      <c r="B1348" s="68"/>
      <c r="C1348" s="61" t="s">
        <v>129</v>
      </c>
      <c r="D1348" s="61" t="s">
        <v>130</v>
      </c>
      <c r="E1348" s="68"/>
      <c r="F1348" s="68"/>
      <c r="G1348" s="68"/>
      <c r="H1348" s="68"/>
      <c r="I1348" s="68"/>
      <c r="J1348" s="78"/>
      <c r="K1348" s="68"/>
      <c r="L1348" s="68"/>
      <c r="M1348" s="68"/>
      <c r="N1348" s="68"/>
      <c r="O1348" s="68"/>
      <c r="P1348" s="68"/>
      <c r="Q1348" s="68"/>
      <c r="R1348" s="68"/>
      <c r="S1348" s="68"/>
      <c r="T1348" s="68"/>
      <c r="U1348" s="68"/>
      <c r="V1348" s="68"/>
      <c r="W1348" s="68"/>
      <c r="X1348" s="68"/>
      <c r="Y1348" s="68"/>
      <c r="Z1348" s="68"/>
      <c r="AA1348" s="68"/>
      <c r="AB1348" s="68"/>
      <c r="AC1348" s="68"/>
      <c r="AD1348" s="68"/>
      <c r="AE1348" s="68"/>
    </row>
    <row r="1349" ht="26.25" customHeight="1">
      <c r="A1349" s="68"/>
      <c r="B1349" s="68"/>
      <c r="C1349" s="61" t="s">
        <v>129</v>
      </c>
      <c r="D1349" s="61" t="s">
        <v>130</v>
      </c>
      <c r="E1349" s="68"/>
      <c r="F1349" s="68"/>
      <c r="G1349" s="68"/>
      <c r="H1349" s="68"/>
      <c r="I1349" s="68"/>
      <c r="J1349" s="78"/>
      <c r="K1349" s="68"/>
      <c r="L1349" s="68"/>
      <c r="M1349" s="68"/>
      <c r="N1349" s="68"/>
      <c r="O1349" s="68"/>
      <c r="P1349" s="68"/>
      <c r="Q1349" s="68"/>
      <c r="R1349" s="68"/>
      <c r="S1349" s="68"/>
      <c r="T1349" s="68"/>
      <c r="U1349" s="68"/>
      <c r="V1349" s="68"/>
      <c r="W1349" s="68"/>
      <c r="X1349" s="68"/>
      <c r="Y1349" s="68"/>
      <c r="Z1349" s="68"/>
      <c r="AA1349" s="68"/>
      <c r="AB1349" s="68"/>
      <c r="AC1349" s="68"/>
      <c r="AD1349" s="68"/>
      <c r="AE1349" s="68"/>
    </row>
    <row r="1350" ht="26.25" customHeight="1">
      <c r="A1350" s="68"/>
      <c r="B1350" s="68"/>
      <c r="C1350" s="61" t="s">
        <v>129</v>
      </c>
      <c r="D1350" s="61" t="s">
        <v>130</v>
      </c>
      <c r="E1350" s="68"/>
      <c r="F1350" s="68"/>
      <c r="G1350" s="68"/>
      <c r="H1350" s="68"/>
      <c r="I1350" s="68"/>
      <c r="J1350" s="78"/>
      <c r="K1350" s="68"/>
      <c r="L1350" s="68"/>
      <c r="M1350" s="68"/>
      <c r="N1350" s="68"/>
      <c r="O1350" s="68"/>
      <c r="P1350" s="68"/>
      <c r="Q1350" s="68"/>
      <c r="R1350" s="68"/>
      <c r="S1350" s="68"/>
      <c r="T1350" s="68"/>
      <c r="U1350" s="68"/>
      <c r="V1350" s="68"/>
      <c r="W1350" s="68"/>
      <c r="X1350" s="68"/>
      <c r="Y1350" s="68"/>
      <c r="Z1350" s="68"/>
      <c r="AA1350" s="68"/>
      <c r="AB1350" s="68"/>
      <c r="AC1350" s="68"/>
      <c r="AD1350" s="68"/>
      <c r="AE1350" s="68"/>
    </row>
    <row r="1351" ht="26.25" customHeight="1">
      <c r="A1351" s="68"/>
      <c r="B1351" s="68"/>
      <c r="C1351" s="61" t="s">
        <v>129</v>
      </c>
      <c r="D1351" s="61" t="s">
        <v>130</v>
      </c>
      <c r="E1351" s="68"/>
      <c r="F1351" s="68"/>
      <c r="G1351" s="68"/>
      <c r="H1351" s="68"/>
      <c r="I1351" s="68"/>
      <c r="J1351" s="78"/>
      <c r="K1351" s="68"/>
      <c r="L1351" s="68"/>
      <c r="M1351" s="68"/>
      <c r="N1351" s="68"/>
      <c r="O1351" s="68"/>
      <c r="P1351" s="68"/>
      <c r="Q1351" s="68"/>
      <c r="R1351" s="68"/>
      <c r="S1351" s="68"/>
      <c r="T1351" s="68"/>
      <c r="U1351" s="68"/>
      <c r="V1351" s="68"/>
      <c r="W1351" s="68"/>
      <c r="X1351" s="68"/>
      <c r="Y1351" s="68"/>
      <c r="Z1351" s="68"/>
      <c r="AA1351" s="68"/>
      <c r="AB1351" s="68"/>
      <c r="AC1351" s="68"/>
      <c r="AD1351" s="68"/>
      <c r="AE1351" s="68"/>
    </row>
    <row r="1352" ht="26.25" customHeight="1">
      <c r="A1352" s="68"/>
      <c r="B1352" s="68"/>
      <c r="C1352" s="61" t="s">
        <v>129</v>
      </c>
      <c r="D1352" s="61" t="s">
        <v>130</v>
      </c>
      <c r="E1352" s="68"/>
      <c r="F1352" s="68"/>
      <c r="G1352" s="68"/>
      <c r="H1352" s="68"/>
      <c r="I1352" s="68"/>
      <c r="J1352" s="78"/>
      <c r="K1352" s="68"/>
      <c r="L1352" s="68"/>
      <c r="M1352" s="68"/>
      <c r="N1352" s="68"/>
      <c r="O1352" s="68"/>
      <c r="P1352" s="68"/>
      <c r="Q1352" s="68"/>
      <c r="R1352" s="68"/>
      <c r="S1352" s="68"/>
      <c r="T1352" s="68"/>
      <c r="U1352" s="68"/>
      <c r="V1352" s="68"/>
      <c r="W1352" s="68"/>
      <c r="X1352" s="68"/>
      <c r="Y1352" s="68"/>
      <c r="Z1352" s="68"/>
      <c r="AA1352" s="68"/>
      <c r="AB1352" s="68"/>
      <c r="AC1352" s="68"/>
      <c r="AD1352" s="68"/>
      <c r="AE1352" s="68"/>
    </row>
    <row r="1353" ht="26.25" customHeight="1">
      <c r="A1353" s="68"/>
      <c r="B1353" s="68"/>
      <c r="C1353" s="61" t="s">
        <v>129</v>
      </c>
      <c r="D1353" s="61" t="s">
        <v>130</v>
      </c>
      <c r="E1353" s="68"/>
      <c r="F1353" s="68"/>
      <c r="G1353" s="68"/>
      <c r="H1353" s="68"/>
      <c r="I1353" s="68"/>
      <c r="J1353" s="78"/>
      <c r="K1353" s="68"/>
      <c r="L1353" s="68"/>
      <c r="M1353" s="68"/>
      <c r="N1353" s="68"/>
      <c r="O1353" s="68"/>
      <c r="P1353" s="68"/>
      <c r="Q1353" s="68"/>
      <c r="R1353" s="68"/>
      <c r="S1353" s="68"/>
      <c r="T1353" s="68"/>
      <c r="U1353" s="68"/>
      <c r="V1353" s="68"/>
      <c r="W1353" s="68"/>
      <c r="X1353" s="68"/>
      <c r="Y1353" s="68"/>
      <c r="Z1353" s="68"/>
      <c r="AA1353" s="68"/>
      <c r="AB1353" s="68"/>
      <c r="AC1353" s="68"/>
      <c r="AD1353" s="68"/>
      <c r="AE1353" s="68"/>
    </row>
    <row r="1354" ht="26.25" customHeight="1">
      <c r="A1354" s="68"/>
      <c r="B1354" s="68"/>
      <c r="C1354" s="61" t="s">
        <v>129</v>
      </c>
      <c r="D1354" s="61" t="s">
        <v>130</v>
      </c>
      <c r="E1354" s="68"/>
      <c r="F1354" s="68"/>
      <c r="G1354" s="68"/>
      <c r="H1354" s="68"/>
      <c r="I1354" s="68"/>
      <c r="J1354" s="78"/>
      <c r="K1354" s="68"/>
      <c r="L1354" s="68"/>
      <c r="M1354" s="68"/>
      <c r="N1354" s="68"/>
      <c r="O1354" s="68"/>
      <c r="P1354" s="68"/>
      <c r="Q1354" s="68"/>
      <c r="R1354" s="68"/>
      <c r="S1354" s="68"/>
      <c r="T1354" s="68"/>
      <c r="U1354" s="68"/>
      <c r="V1354" s="68"/>
      <c r="W1354" s="68"/>
      <c r="X1354" s="68"/>
      <c r="Y1354" s="68"/>
      <c r="Z1354" s="68"/>
      <c r="AA1354" s="68"/>
      <c r="AB1354" s="68"/>
      <c r="AC1354" s="68"/>
      <c r="AD1354" s="68"/>
      <c r="AE1354" s="68"/>
    </row>
    <row r="1355" ht="26.25" customHeight="1">
      <c r="A1355" s="68"/>
      <c r="B1355" s="68"/>
      <c r="C1355" s="61" t="s">
        <v>129</v>
      </c>
      <c r="D1355" s="61" t="s">
        <v>130</v>
      </c>
      <c r="E1355" s="68"/>
      <c r="F1355" s="68"/>
      <c r="G1355" s="68"/>
      <c r="H1355" s="68"/>
      <c r="I1355" s="68"/>
      <c r="J1355" s="78"/>
      <c r="K1355" s="68"/>
      <c r="L1355" s="68"/>
      <c r="M1355" s="68"/>
      <c r="N1355" s="68"/>
      <c r="O1355" s="68"/>
      <c r="P1355" s="68"/>
      <c r="Q1355" s="68"/>
      <c r="R1355" s="68"/>
      <c r="S1355" s="68"/>
      <c r="T1355" s="68"/>
      <c r="U1355" s="68"/>
      <c r="V1355" s="68"/>
      <c r="W1355" s="68"/>
      <c r="X1355" s="68"/>
      <c r="Y1355" s="68"/>
      <c r="Z1355" s="68"/>
      <c r="AA1355" s="68"/>
      <c r="AB1355" s="68"/>
      <c r="AC1355" s="68"/>
      <c r="AD1355" s="68"/>
      <c r="AE1355" s="68"/>
    </row>
    <row r="1356" ht="26.25" customHeight="1">
      <c r="A1356" s="68"/>
      <c r="B1356" s="68"/>
      <c r="C1356" s="61" t="s">
        <v>129</v>
      </c>
      <c r="D1356" s="61" t="s">
        <v>130</v>
      </c>
      <c r="E1356" s="68"/>
      <c r="F1356" s="68"/>
      <c r="G1356" s="68"/>
      <c r="H1356" s="68"/>
      <c r="I1356" s="68"/>
      <c r="J1356" s="78"/>
      <c r="K1356" s="68"/>
      <c r="L1356" s="68"/>
      <c r="M1356" s="68"/>
      <c r="N1356" s="68"/>
      <c r="O1356" s="68"/>
      <c r="P1356" s="68"/>
      <c r="Q1356" s="68"/>
      <c r="R1356" s="68"/>
      <c r="S1356" s="68"/>
      <c r="T1356" s="68"/>
      <c r="U1356" s="68"/>
      <c r="V1356" s="68"/>
      <c r="W1356" s="68"/>
      <c r="X1356" s="68"/>
      <c r="Y1356" s="68"/>
      <c r="Z1356" s="68"/>
      <c r="AA1356" s="68"/>
      <c r="AB1356" s="68"/>
      <c r="AC1356" s="68"/>
      <c r="AD1356" s="68"/>
      <c r="AE1356" s="68"/>
    </row>
    <row r="1357" ht="26.25" customHeight="1">
      <c r="A1357" s="68"/>
      <c r="B1357" s="68"/>
      <c r="C1357" s="61" t="s">
        <v>129</v>
      </c>
      <c r="D1357" s="61" t="s">
        <v>130</v>
      </c>
      <c r="E1357" s="68"/>
      <c r="F1357" s="68"/>
      <c r="G1357" s="68"/>
      <c r="H1357" s="68"/>
      <c r="I1357" s="68"/>
      <c r="J1357" s="78"/>
      <c r="K1357" s="68"/>
      <c r="L1357" s="68"/>
      <c r="M1357" s="68"/>
      <c r="N1357" s="68"/>
      <c r="O1357" s="68"/>
      <c r="P1357" s="68"/>
      <c r="Q1357" s="68"/>
      <c r="R1357" s="68"/>
      <c r="S1357" s="68"/>
      <c r="T1357" s="68"/>
      <c r="U1357" s="68"/>
      <c r="V1357" s="68"/>
      <c r="W1357" s="68"/>
      <c r="X1357" s="68"/>
      <c r="Y1357" s="68"/>
      <c r="Z1357" s="68"/>
      <c r="AA1357" s="68"/>
      <c r="AB1357" s="68"/>
      <c r="AC1357" s="68"/>
      <c r="AD1357" s="68"/>
      <c r="AE1357" s="68"/>
    </row>
    <row r="1358" ht="26.25" customHeight="1">
      <c r="A1358" s="68"/>
      <c r="B1358" s="68"/>
      <c r="C1358" s="61" t="s">
        <v>129</v>
      </c>
      <c r="D1358" s="61" t="s">
        <v>130</v>
      </c>
      <c r="E1358" s="68"/>
      <c r="F1358" s="68"/>
      <c r="G1358" s="68"/>
      <c r="H1358" s="68"/>
      <c r="I1358" s="68"/>
      <c r="J1358" s="78"/>
      <c r="K1358" s="68"/>
      <c r="L1358" s="68"/>
      <c r="M1358" s="68"/>
      <c r="N1358" s="68"/>
      <c r="O1358" s="68"/>
      <c r="P1358" s="68"/>
      <c r="Q1358" s="68"/>
      <c r="R1358" s="68"/>
      <c r="S1358" s="68"/>
      <c r="T1358" s="68"/>
      <c r="U1358" s="68"/>
      <c r="V1358" s="68"/>
      <c r="W1358" s="68"/>
      <c r="X1358" s="68"/>
      <c r="Y1358" s="68"/>
      <c r="Z1358" s="68"/>
      <c r="AA1358" s="68"/>
      <c r="AB1358" s="68"/>
      <c r="AC1358" s="68"/>
      <c r="AD1358" s="68"/>
      <c r="AE1358" s="68"/>
    </row>
    <row r="1359" ht="26.25" customHeight="1">
      <c r="A1359" s="68"/>
      <c r="B1359" s="68"/>
      <c r="C1359" s="61" t="s">
        <v>129</v>
      </c>
      <c r="D1359" s="61" t="s">
        <v>130</v>
      </c>
      <c r="E1359" s="68"/>
      <c r="F1359" s="68"/>
      <c r="G1359" s="68"/>
      <c r="H1359" s="68"/>
      <c r="I1359" s="68"/>
      <c r="J1359" s="78"/>
      <c r="K1359" s="68"/>
      <c r="L1359" s="68"/>
      <c r="M1359" s="68"/>
      <c r="N1359" s="68"/>
      <c r="O1359" s="68"/>
      <c r="P1359" s="68"/>
      <c r="Q1359" s="68"/>
      <c r="R1359" s="68"/>
      <c r="S1359" s="68"/>
      <c r="T1359" s="68"/>
      <c r="U1359" s="68"/>
      <c r="V1359" s="68"/>
      <c r="W1359" s="68"/>
      <c r="X1359" s="68"/>
      <c r="Y1359" s="68"/>
      <c r="Z1359" s="68"/>
      <c r="AA1359" s="68"/>
      <c r="AB1359" s="68"/>
      <c r="AC1359" s="68"/>
      <c r="AD1359" s="68"/>
      <c r="AE1359" s="68"/>
    </row>
    <row r="1360" ht="26.25" customHeight="1">
      <c r="A1360" s="68"/>
      <c r="B1360" s="68"/>
      <c r="C1360" s="61" t="s">
        <v>129</v>
      </c>
      <c r="D1360" s="61" t="s">
        <v>130</v>
      </c>
      <c r="E1360" s="68"/>
      <c r="F1360" s="68"/>
      <c r="G1360" s="68"/>
      <c r="H1360" s="68"/>
      <c r="I1360" s="68"/>
      <c r="J1360" s="78"/>
      <c r="K1360" s="68"/>
      <c r="L1360" s="68"/>
      <c r="M1360" s="68"/>
      <c r="N1360" s="68"/>
      <c r="O1360" s="68"/>
      <c r="P1360" s="68"/>
      <c r="Q1360" s="68"/>
      <c r="R1360" s="68"/>
      <c r="S1360" s="68"/>
      <c r="T1360" s="68"/>
      <c r="U1360" s="68"/>
      <c r="V1360" s="68"/>
      <c r="W1360" s="68"/>
      <c r="X1360" s="68"/>
      <c r="Y1360" s="68"/>
      <c r="Z1360" s="68"/>
      <c r="AA1360" s="68"/>
      <c r="AB1360" s="68"/>
      <c r="AC1360" s="68"/>
      <c r="AD1360" s="68"/>
      <c r="AE1360" s="68"/>
    </row>
    <row r="1361" ht="26.25" customHeight="1">
      <c r="A1361" s="68"/>
      <c r="B1361" s="68"/>
      <c r="C1361" s="61" t="s">
        <v>129</v>
      </c>
      <c r="D1361" s="61" t="s">
        <v>130</v>
      </c>
      <c r="E1361" s="68"/>
      <c r="F1361" s="68"/>
      <c r="G1361" s="68"/>
      <c r="H1361" s="68"/>
      <c r="I1361" s="68"/>
      <c r="J1361" s="78"/>
      <c r="K1361" s="68"/>
      <c r="L1361" s="68"/>
      <c r="M1361" s="68"/>
      <c r="N1361" s="68"/>
      <c r="O1361" s="68"/>
      <c r="P1361" s="68"/>
      <c r="Q1361" s="68"/>
      <c r="R1361" s="68"/>
      <c r="S1361" s="68"/>
      <c r="T1361" s="68"/>
      <c r="U1361" s="68"/>
      <c r="V1361" s="68"/>
      <c r="W1361" s="68"/>
      <c r="X1361" s="68"/>
      <c r="Y1361" s="68"/>
      <c r="Z1361" s="68"/>
      <c r="AA1361" s="68"/>
      <c r="AB1361" s="68"/>
      <c r="AC1361" s="68"/>
      <c r="AD1361" s="68"/>
      <c r="AE1361" s="68"/>
    </row>
    <row r="1362" ht="26.25" customHeight="1">
      <c r="A1362" s="68"/>
      <c r="B1362" s="68"/>
      <c r="C1362" s="61" t="s">
        <v>129</v>
      </c>
      <c r="D1362" s="61" t="s">
        <v>130</v>
      </c>
      <c r="E1362" s="68"/>
      <c r="F1362" s="68"/>
      <c r="G1362" s="68"/>
      <c r="H1362" s="68"/>
      <c r="I1362" s="68"/>
      <c r="J1362" s="78"/>
      <c r="K1362" s="68"/>
      <c r="L1362" s="68"/>
      <c r="M1362" s="68"/>
      <c r="N1362" s="68"/>
      <c r="O1362" s="68"/>
      <c r="P1362" s="68"/>
      <c r="Q1362" s="68"/>
      <c r="R1362" s="68"/>
      <c r="S1362" s="68"/>
      <c r="T1362" s="68"/>
      <c r="U1362" s="68"/>
      <c r="V1362" s="68"/>
      <c r="W1362" s="68"/>
      <c r="X1362" s="68"/>
      <c r="Y1362" s="68"/>
      <c r="Z1362" s="68"/>
      <c r="AA1362" s="68"/>
      <c r="AB1362" s="68"/>
      <c r="AC1362" s="68"/>
      <c r="AD1362" s="68"/>
      <c r="AE1362" s="68"/>
    </row>
    <row r="1363" ht="26.25" customHeight="1">
      <c r="A1363" s="68"/>
      <c r="B1363" s="68"/>
      <c r="C1363" s="61" t="s">
        <v>129</v>
      </c>
      <c r="D1363" s="61" t="s">
        <v>130</v>
      </c>
      <c r="E1363" s="68"/>
      <c r="F1363" s="68"/>
      <c r="G1363" s="68"/>
      <c r="H1363" s="68"/>
      <c r="I1363" s="68"/>
      <c r="J1363" s="78"/>
      <c r="K1363" s="68"/>
      <c r="L1363" s="68"/>
      <c r="M1363" s="68"/>
      <c r="N1363" s="68"/>
      <c r="O1363" s="68"/>
      <c r="P1363" s="68"/>
      <c r="Q1363" s="68"/>
      <c r="R1363" s="68"/>
      <c r="S1363" s="68"/>
      <c r="T1363" s="68"/>
      <c r="U1363" s="68"/>
      <c r="V1363" s="68"/>
      <c r="W1363" s="68"/>
      <c r="X1363" s="68"/>
      <c r="Y1363" s="68"/>
      <c r="Z1363" s="68"/>
      <c r="AA1363" s="68"/>
      <c r="AB1363" s="68"/>
      <c r="AC1363" s="68"/>
      <c r="AD1363" s="68"/>
      <c r="AE1363" s="68"/>
    </row>
    <row r="1364" ht="26.25" customHeight="1">
      <c r="A1364" s="68"/>
      <c r="B1364" s="68"/>
      <c r="C1364" s="61" t="s">
        <v>129</v>
      </c>
      <c r="D1364" s="61" t="s">
        <v>130</v>
      </c>
      <c r="E1364" s="68"/>
      <c r="F1364" s="68"/>
      <c r="G1364" s="68"/>
      <c r="H1364" s="68"/>
      <c r="I1364" s="68"/>
      <c r="J1364" s="78"/>
      <c r="K1364" s="68"/>
      <c r="L1364" s="68"/>
      <c r="M1364" s="68"/>
      <c r="N1364" s="68"/>
      <c r="O1364" s="68"/>
      <c r="P1364" s="68"/>
      <c r="Q1364" s="68"/>
      <c r="R1364" s="68"/>
      <c r="S1364" s="68"/>
      <c r="T1364" s="68"/>
      <c r="U1364" s="68"/>
      <c r="V1364" s="68"/>
      <c r="W1364" s="68"/>
      <c r="X1364" s="68"/>
      <c r="Y1364" s="68"/>
      <c r="Z1364" s="68"/>
      <c r="AA1364" s="68"/>
      <c r="AB1364" s="68"/>
      <c r="AC1364" s="68"/>
      <c r="AD1364" s="68"/>
      <c r="AE1364" s="68"/>
    </row>
    <row r="1365" ht="26.25" customHeight="1">
      <c r="A1365" s="68"/>
      <c r="B1365" s="68"/>
      <c r="C1365" s="61" t="s">
        <v>129</v>
      </c>
      <c r="D1365" s="61" t="s">
        <v>130</v>
      </c>
      <c r="E1365" s="68"/>
      <c r="F1365" s="68"/>
      <c r="G1365" s="68"/>
      <c r="H1365" s="68"/>
      <c r="I1365" s="68"/>
      <c r="J1365" s="78"/>
      <c r="K1365" s="68"/>
      <c r="L1365" s="68"/>
      <c r="M1365" s="68"/>
      <c r="N1365" s="68"/>
      <c r="O1365" s="68"/>
      <c r="P1365" s="68"/>
      <c r="Q1365" s="68"/>
      <c r="R1365" s="68"/>
      <c r="S1365" s="68"/>
      <c r="T1365" s="68"/>
      <c r="U1365" s="68"/>
      <c r="V1365" s="68"/>
      <c r="W1365" s="68"/>
      <c r="X1365" s="68"/>
      <c r="Y1365" s="68"/>
      <c r="Z1365" s="68"/>
      <c r="AA1365" s="68"/>
      <c r="AB1365" s="68"/>
      <c r="AC1365" s="68"/>
      <c r="AD1365" s="68"/>
      <c r="AE1365" s="68"/>
    </row>
    <row r="1366" ht="26.25" customHeight="1">
      <c r="A1366" s="68"/>
      <c r="B1366" s="68"/>
      <c r="C1366" s="61" t="s">
        <v>129</v>
      </c>
      <c r="D1366" s="61" t="s">
        <v>130</v>
      </c>
      <c r="E1366" s="68"/>
      <c r="F1366" s="68"/>
      <c r="G1366" s="68"/>
      <c r="H1366" s="68"/>
      <c r="I1366" s="68"/>
      <c r="J1366" s="78"/>
      <c r="K1366" s="68"/>
      <c r="L1366" s="68"/>
      <c r="M1366" s="68"/>
      <c r="N1366" s="68"/>
      <c r="O1366" s="68"/>
      <c r="P1366" s="68"/>
      <c r="Q1366" s="68"/>
      <c r="R1366" s="68"/>
      <c r="S1366" s="68"/>
      <c r="T1366" s="68"/>
      <c r="U1366" s="68"/>
      <c r="V1366" s="68"/>
      <c r="W1366" s="68"/>
      <c r="X1366" s="68"/>
      <c r="Y1366" s="68"/>
      <c r="Z1366" s="68"/>
      <c r="AA1366" s="68"/>
      <c r="AB1366" s="68"/>
      <c r="AC1366" s="68"/>
      <c r="AD1366" s="68"/>
      <c r="AE1366" s="68"/>
    </row>
    <row r="1367" ht="26.25" customHeight="1">
      <c r="A1367" s="68"/>
      <c r="B1367" s="68"/>
      <c r="C1367" s="61" t="s">
        <v>129</v>
      </c>
      <c r="D1367" s="61" t="s">
        <v>130</v>
      </c>
      <c r="E1367" s="68"/>
      <c r="F1367" s="68"/>
      <c r="G1367" s="68"/>
      <c r="H1367" s="68"/>
      <c r="I1367" s="68"/>
      <c r="J1367" s="78"/>
      <c r="K1367" s="68"/>
      <c r="L1367" s="68"/>
      <c r="M1367" s="68"/>
      <c r="N1367" s="68"/>
      <c r="O1367" s="68"/>
      <c r="P1367" s="68"/>
      <c r="Q1367" s="68"/>
      <c r="R1367" s="68"/>
      <c r="S1367" s="68"/>
      <c r="T1367" s="68"/>
      <c r="U1367" s="68"/>
      <c r="V1367" s="68"/>
      <c r="W1367" s="68"/>
      <c r="X1367" s="68"/>
      <c r="Y1367" s="68"/>
      <c r="Z1367" s="68"/>
      <c r="AA1367" s="68"/>
      <c r="AB1367" s="68"/>
      <c r="AC1367" s="68"/>
      <c r="AD1367" s="68"/>
      <c r="AE1367" s="68"/>
    </row>
    <row r="1368" ht="26.25" customHeight="1">
      <c r="A1368" s="68"/>
      <c r="B1368" s="68"/>
      <c r="C1368" s="61" t="s">
        <v>129</v>
      </c>
      <c r="D1368" s="61" t="s">
        <v>130</v>
      </c>
      <c r="E1368" s="68"/>
      <c r="F1368" s="68"/>
      <c r="G1368" s="68"/>
      <c r="H1368" s="68"/>
      <c r="I1368" s="68"/>
      <c r="J1368" s="78"/>
      <c r="K1368" s="68"/>
      <c r="L1368" s="68"/>
      <c r="M1368" s="68"/>
      <c r="N1368" s="68"/>
      <c r="O1368" s="68"/>
      <c r="P1368" s="68"/>
      <c r="Q1368" s="68"/>
      <c r="R1368" s="68"/>
      <c r="S1368" s="68"/>
      <c r="T1368" s="68"/>
      <c r="U1368" s="68"/>
      <c r="V1368" s="68"/>
      <c r="W1368" s="68"/>
      <c r="X1368" s="68"/>
      <c r="Y1368" s="68"/>
      <c r="Z1368" s="68"/>
      <c r="AA1368" s="68"/>
      <c r="AB1368" s="68"/>
      <c r="AC1368" s="68"/>
      <c r="AD1368" s="68"/>
      <c r="AE1368" s="68"/>
    </row>
    <row r="1369" ht="26.25" customHeight="1">
      <c r="A1369" s="68"/>
      <c r="B1369" s="68"/>
      <c r="C1369" s="61" t="s">
        <v>129</v>
      </c>
      <c r="D1369" s="61" t="s">
        <v>130</v>
      </c>
      <c r="E1369" s="68"/>
      <c r="F1369" s="68"/>
      <c r="G1369" s="68"/>
      <c r="H1369" s="68"/>
      <c r="I1369" s="68"/>
      <c r="J1369" s="78"/>
      <c r="K1369" s="68"/>
      <c r="L1369" s="68"/>
      <c r="M1369" s="68"/>
      <c r="N1369" s="68"/>
      <c r="O1369" s="68"/>
      <c r="P1369" s="68"/>
      <c r="Q1369" s="68"/>
      <c r="R1369" s="68"/>
      <c r="S1369" s="68"/>
      <c r="T1369" s="68"/>
      <c r="U1369" s="68"/>
      <c r="V1369" s="68"/>
      <c r="W1369" s="68"/>
      <c r="X1369" s="68"/>
      <c r="Y1369" s="68"/>
      <c r="Z1369" s="68"/>
      <c r="AA1369" s="68"/>
      <c r="AB1369" s="68"/>
      <c r="AC1369" s="68"/>
      <c r="AD1369" s="68"/>
      <c r="AE1369" s="68"/>
    </row>
    <row r="1370" ht="26.25" customHeight="1">
      <c r="A1370" s="68"/>
      <c r="B1370" s="68"/>
      <c r="C1370" s="61" t="s">
        <v>129</v>
      </c>
      <c r="D1370" s="61" t="s">
        <v>130</v>
      </c>
      <c r="E1370" s="68"/>
      <c r="F1370" s="68"/>
      <c r="G1370" s="68"/>
      <c r="H1370" s="68"/>
      <c r="I1370" s="68"/>
      <c r="J1370" s="78"/>
      <c r="K1370" s="68"/>
      <c r="L1370" s="68"/>
      <c r="M1370" s="68"/>
      <c r="N1370" s="68"/>
      <c r="O1370" s="68"/>
      <c r="P1370" s="68"/>
      <c r="Q1370" s="68"/>
      <c r="R1370" s="68"/>
      <c r="S1370" s="68"/>
      <c r="T1370" s="68"/>
      <c r="U1370" s="68"/>
      <c r="V1370" s="68"/>
      <c r="W1370" s="68"/>
      <c r="X1370" s="68"/>
      <c r="Y1370" s="68"/>
      <c r="Z1370" s="68"/>
      <c r="AA1370" s="68"/>
      <c r="AB1370" s="68"/>
      <c r="AC1370" s="68"/>
      <c r="AD1370" s="68"/>
      <c r="AE1370" s="68"/>
    </row>
    <row r="1371" ht="26.25" customHeight="1">
      <c r="A1371" s="68"/>
      <c r="B1371" s="68"/>
      <c r="C1371" s="61" t="s">
        <v>129</v>
      </c>
      <c r="D1371" s="61" t="s">
        <v>130</v>
      </c>
      <c r="E1371" s="68"/>
      <c r="F1371" s="68"/>
      <c r="G1371" s="68"/>
      <c r="H1371" s="68"/>
      <c r="I1371" s="68"/>
      <c r="J1371" s="78"/>
      <c r="K1371" s="68"/>
      <c r="L1371" s="68"/>
      <c r="M1371" s="68"/>
      <c r="N1371" s="68"/>
      <c r="O1371" s="68"/>
      <c r="P1371" s="68"/>
      <c r="Q1371" s="68"/>
      <c r="R1371" s="68"/>
      <c r="S1371" s="68"/>
      <c r="T1371" s="68"/>
      <c r="U1371" s="68"/>
      <c r="V1371" s="68"/>
      <c r="W1371" s="68"/>
      <c r="X1371" s="68"/>
      <c r="Y1371" s="68"/>
      <c r="Z1371" s="68"/>
      <c r="AA1371" s="68"/>
      <c r="AB1371" s="68"/>
      <c r="AC1371" s="68"/>
      <c r="AD1371" s="68"/>
      <c r="AE1371" s="68"/>
    </row>
    <row r="1372" ht="26.25" customHeight="1">
      <c r="A1372" s="68"/>
      <c r="B1372" s="68"/>
      <c r="C1372" s="61" t="s">
        <v>129</v>
      </c>
      <c r="D1372" s="61" t="s">
        <v>130</v>
      </c>
      <c r="E1372" s="68"/>
      <c r="F1372" s="68"/>
      <c r="G1372" s="68"/>
      <c r="H1372" s="68"/>
      <c r="I1372" s="68"/>
      <c r="J1372" s="78"/>
      <c r="K1372" s="68"/>
      <c r="L1372" s="68"/>
      <c r="M1372" s="68"/>
      <c r="N1372" s="68"/>
      <c r="O1372" s="68"/>
      <c r="P1372" s="68"/>
      <c r="Q1372" s="68"/>
      <c r="R1372" s="68"/>
      <c r="S1372" s="68"/>
      <c r="T1372" s="68"/>
      <c r="U1372" s="68"/>
      <c r="V1372" s="68"/>
      <c r="W1372" s="68"/>
      <c r="X1372" s="68"/>
      <c r="Y1372" s="68"/>
      <c r="Z1372" s="68"/>
      <c r="AA1372" s="68"/>
      <c r="AB1372" s="68"/>
      <c r="AC1372" s="68"/>
      <c r="AD1372" s="68"/>
      <c r="AE1372" s="68"/>
    </row>
    <row r="1373" ht="26.25" customHeight="1">
      <c r="A1373" s="68"/>
      <c r="B1373" s="68"/>
      <c r="C1373" s="61" t="s">
        <v>129</v>
      </c>
      <c r="D1373" s="61" t="s">
        <v>130</v>
      </c>
      <c r="E1373" s="68"/>
      <c r="F1373" s="68"/>
      <c r="G1373" s="68"/>
      <c r="H1373" s="68"/>
      <c r="I1373" s="68"/>
      <c r="J1373" s="78"/>
      <c r="K1373" s="68"/>
      <c r="L1373" s="68"/>
      <c r="M1373" s="68"/>
      <c r="N1373" s="68"/>
      <c r="O1373" s="68"/>
      <c r="P1373" s="68"/>
      <c r="Q1373" s="68"/>
      <c r="R1373" s="68"/>
      <c r="S1373" s="68"/>
      <c r="T1373" s="68"/>
      <c r="U1373" s="68"/>
      <c r="V1373" s="68"/>
      <c r="W1373" s="68"/>
      <c r="X1373" s="68"/>
      <c r="Y1373" s="68"/>
      <c r="Z1373" s="68"/>
      <c r="AA1373" s="68"/>
      <c r="AB1373" s="68"/>
      <c r="AC1373" s="68"/>
      <c r="AD1373" s="68"/>
      <c r="AE1373" s="68"/>
    </row>
    <row r="1374" ht="26.25" customHeight="1">
      <c r="A1374" s="68"/>
      <c r="B1374" s="68"/>
      <c r="C1374" s="61" t="s">
        <v>129</v>
      </c>
      <c r="D1374" s="61" t="s">
        <v>130</v>
      </c>
      <c r="E1374" s="68"/>
      <c r="F1374" s="68"/>
      <c r="G1374" s="68"/>
      <c r="H1374" s="68"/>
      <c r="I1374" s="68"/>
      <c r="J1374" s="78"/>
      <c r="K1374" s="68"/>
      <c r="L1374" s="68"/>
      <c r="M1374" s="68"/>
      <c r="N1374" s="68"/>
      <c r="O1374" s="68"/>
      <c r="P1374" s="68"/>
      <c r="Q1374" s="68"/>
      <c r="R1374" s="68"/>
      <c r="S1374" s="68"/>
      <c r="T1374" s="68"/>
      <c r="U1374" s="68"/>
      <c r="V1374" s="68"/>
      <c r="W1374" s="68"/>
      <c r="X1374" s="68"/>
      <c r="Y1374" s="68"/>
      <c r="Z1374" s="68"/>
      <c r="AA1374" s="68"/>
      <c r="AB1374" s="68"/>
      <c r="AC1374" s="68"/>
      <c r="AD1374" s="68"/>
      <c r="AE1374" s="68"/>
    </row>
    <row r="1375" ht="26.25" customHeight="1">
      <c r="A1375" s="68"/>
      <c r="B1375" s="68"/>
      <c r="C1375" s="61" t="s">
        <v>129</v>
      </c>
      <c r="D1375" s="61" t="s">
        <v>130</v>
      </c>
      <c r="E1375" s="68"/>
      <c r="F1375" s="68"/>
      <c r="G1375" s="68"/>
      <c r="H1375" s="68"/>
      <c r="I1375" s="68"/>
      <c r="J1375" s="78"/>
      <c r="K1375" s="68"/>
      <c r="L1375" s="68"/>
      <c r="M1375" s="68"/>
      <c r="N1375" s="68"/>
      <c r="O1375" s="68"/>
      <c r="P1375" s="68"/>
      <c r="Q1375" s="68"/>
      <c r="R1375" s="68"/>
      <c r="S1375" s="68"/>
      <c r="T1375" s="68"/>
      <c r="U1375" s="68"/>
      <c r="V1375" s="68"/>
      <c r="W1375" s="68"/>
      <c r="X1375" s="68"/>
      <c r="Y1375" s="68"/>
      <c r="Z1375" s="68"/>
      <c r="AA1375" s="68"/>
      <c r="AB1375" s="68"/>
      <c r="AC1375" s="68"/>
      <c r="AD1375" s="68"/>
      <c r="AE1375" s="68"/>
    </row>
    <row r="1376" ht="26.25" customHeight="1">
      <c r="A1376" s="68"/>
      <c r="B1376" s="68"/>
      <c r="C1376" s="61" t="s">
        <v>129</v>
      </c>
      <c r="D1376" s="61" t="s">
        <v>130</v>
      </c>
      <c r="E1376" s="68"/>
      <c r="F1376" s="68"/>
      <c r="G1376" s="68"/>
      <c r="H1376" s="68"/>
      <c r="I1376" s="68"/>
      <c r="J1376" s="78"/>
      <c r="K1376" s="68"/>
      <c r="L1376" s="68"/>
      <c r="M1376" s="68"/>
      <c r="N1376" s="68"/>
      <c r="O1376" s="68"/>
      <c r="P1376" s="68"/>
      <c r="Q1376" s="68"/>
      <c r="R1376" s="68"/>
      <c r="S1376" s="68"/>
      <c r="T1376" s="68"/>
      <c r="U1376" s="68"/>
      <c r="V1376" s="68"/>
      <c r="W1376" s="68"/>
      <c r="X1376" s="68"/>
      <c r="Y1376" s="68"/>
      <c r="Z1376" s="68"/>
      <c r="AA1376" s="68"/>
      <c r="AB1376" s="68"/>
      <c r="AC1376" s="68"/>
      <c r="AD1376" s="68"/>
      <c r="AE1376" s="68"/>
    </row>
    <row r="1377" ht="26.25" customHeight="1">
      <c r="A1377" s="68"/>
      <c r="B1377" s="68"/>
      <c r="C1377" s="61" t="s">
        <v>129</v>
      </c>
      <c r="D1377" s="61" t="s">
        <v>130</v>
      </c>
      <c r="E1377" s="68"/>
      <c r="F1377" s="68"/>
      <c r="G1377" s="68"/>
      <c r="H1377" s="68"/>
      <c r="I1377" s="68"/>
      <c r="J1377" s="78"/>
      <c r="K1377" s="68"/>
      <c r="L1377" s="68"/>
      <c r="M1377" s="68"/>
      <c r="N1377" s="68"/>
      <c r="O1377" s="68"/>
      <c r="P1377" s="68"/>
      <c r="Q1377" s="68"/>
      <c r="R1377" s="68"/>
      <c r="S1377" s="68"/>
      <c r="T1377" s="68"/>
      <c r="U1377" s="68"/>
      <c r="V1377" s="68"/>
      <c r="W1377" s="68"/>
      <c r="X1377" s="68"/>
      <c r="Y1377" s="68"/>
      <c r="Z1377" s="68"/>
      <c r="AA1377" s="68"/>
      <c r="AB1377" s="68"/>
      <c r="AC1377" s="68"/>
      <c r="AD1377" s="68"/>
      <c r="AE1377" s="68"/>
    </row>
    <row r="1378" ht="26.25" customHeight="1">
      <c r="A1378" s="68"/>
      <c r="B1378" s="68"/>
      <c r="C1378" s="61" t="s">
        <v>129</v>
      </c>
      <c r="D1378" s="61" t="s">
        <v>130</v>
      </c>
      <c r="E1378" s="68"/>
      <c r="F1378" s="68"/>
      <c r="G1378" s="68"/>
      <c r="H1378" s="68"/>
      <c r="I1378" s="68"/>
      <c r="J1378" s="78"/>
      <c r="K1378" s="68"/>
      <c r="L1378" s="68"/>
      <c r="M1378" s="68"/>
      <c r="N1378" s="68"/>
      <c r="O1378" s="68"/>
      <c r="P1378" s="68"/>
      <c r="Q1378" s="68"/>
      <c r="R1378" s="68"/>
      <c r="S1378" s="68"/>
      <c r="T1378" s="68"/>
      <c r="U1378" s="68"/>
      <c r="V1378" s="68"/>
      <c r="W1378" s="68"/>
      <c r="X1378" s="68"/>
      <c r="Y1378" s="68"/>
      <c r="Z1378" s="68"/>
      <c r="AA1378" s="68"/>
      <c r="AB1378" s="68"/>
      <c r="AC1378" s="68"/>
      <c r="AD1378" s="68"/>
      <c r="AE1378" s="68"/>
    </row>
    <row r="1379" ht="26.25" customHeight="1">
      <c r="A1379" s="68"/>
      <c r="B1379" s="68"/>
      <c r="C1379" s="61" t="s">
        <v>129</v>
      </c>
      <c r="D1379" s="61" t="s">
        <v>130</v>
      </c>
      <c r="E1379" s="68"/>
      <c r="F1379" s="68"/>
      <c r="G1379" s="68"/>
      <c r="H1379" s="68"/>
      <c r="I1379" s="68"/>
      <c r="J1379" s="78"/>
      <c r="K1379" s="68"/>
      <c r="L1379" s="68"/>
      <c r="M1379" s="68"/>
      <c r="N1379" s="68"/>
      <c r="O1379" s="68"/>
      <c r="P1379" s="68"/>
      <c r="Q1379" s="68"/>
      <c r="R1379" s="68"/>
      <c r="S1379" s="68"/>
      <c r="T1379" s="68"/>
      <c r="U1379" s="68"/>
      <c r="V1379" s="68"/>
      <c r="W1379" s="68"/>
      <c r="X1379" s="68"/>
      <c r="Y1379" s="68"/>
      <c r="Z1379" s="68"/>
      <c r="AA1379" s="68"/>
      <c r="AB1379" s="68"/>
      <c r="AC1379" s="68"/>
      <c r="AD1379" s="68"/>
      <c r="AE1379" s="68"/>
    </row>
    <row r="1380" ht="26.25" customHeight="1">
      <c r="A1380" s="68"/>
      <c r="B1380" s="68"/>
      <c r="C1380" s="61" t="s">
        <v>129</v>
      </c>
      <c r="D1380" s="61" t="s">
        <v>130</v>
      </c>
      <c r="E1380" s="68"/>
      <c r="F1380" s="68"/>
      <c r="G1380" s="68"/>
      <c r="H1380" s="68"/>
      <c r="I1380" s="68"/>
      <c r="J1380" s="78"/>
      <c r="K1380" s="68"/>
      <c r="L1380" s="68"/>
      <c r="M1380" s="68"/>
      <c r="N1380" s="68"/>
      <c r="O1380" s="68"/>
      <c r="P1380" s="68"/>
      <c r="Q1380" s="68"/>
      <c r="R1380" s="68"/>
      <c r="S1380" s="68"/>
      <c r="T1380" s="68"/>
      <c r="U1380" s="68"/>
      <c r="V1380" s="68"/>
      <c r="W1380" s="68"/>
      <c r="X1380" s="68"/>
      <c r="Y1380" s="68"/>
      <c r="Z1380" s="68"/>
      <c r="AA1380" s="68"/>
      <c r="AB1380" s="68"/>
      <c r="AC1380" s="68"/>
      <c r="AD1380" s="68"/>
      <c r="AE1380" s="68"/>
    </row>
    <row r="1381" ht="26.25" customHeight="1">
      <c r="A1381" s="68"/>
      <c r="B1381" s="68"/>
      <c r="C1381" s="61" t="s">
        <v>129</v>
      </c>
      <c r="D1381" s="61" t="s">
        <v>130</v>
      </c>
      <c r="E1381" s="68"/>
      <c r="F1381" s="68"/>
      <c r="G1381" s="68"/>
      <c r="H1381" s="68"/>
      <c r="I1381" s="68"/>
      <c r="J1381" s="78"/>
      <c r="K1381" s="68"/>
      <c r="L1381" s="68"/>
      <c r="M1381" s="68"/>
      <c r="N1381" s="68"/>
      <c r="O1381" s="68"/>
      <c r="P1381" s="68"/>
      <c r="Q1381" s="68"/>
      <c r="R1381" s="68"/>
      <c r="S1381" s="68"/>
      <c r="T1381" s="68"/>
      <c r="U1381" s="68"/>
      <c r="V1381" s="68"/>
      <c r="W1381" s="68"/>
      <c r="X1381" s="68"/>
      <c r="Y1381" s="68"/>
      <c r="Z1381" s="68"/>
      <c r="AA1381" s="68"/>
      <c r="AB1381" s="68"/>
      <c r="AC1381" s="68"/>
      <c r="AD1381" s="68"/>
      <c r="AE1381" s="68"/>
    </row>
    <row r="1382" ht="26.25" customHeight="1">
      <c r="A1382" s="68"/>
      <c r="B1382" s="68"/>
      <c r="C1382" s="61" t="s">
        <v>129</v>
      </c>
      <c r="D1382" s="61" t="s">
        <v>130</v>
      </c>
      <c r="E1382" s="68"/>
      <c r="F1382" s="68"/>
      <c r="G1382" s="68"/>
      <c r="H1382" s="68"/>
      <c r="I1382" s="68"/>
      <c r="J1382" s="78"/>
      <c r="K1382" s="68"/>
      <c r="L1382" s="68"/>
      <c r="M1382" s="68"/>
      <c r="N1382" s="68"/>
      <c r="O1382" s="68"/>
      <c r="P1382" s="68"/>
      <c r="Q1382" s="68"/>
      <c r="R1382" s="68"/>
      <c r="S1382" s="68"/>
      <c r="T1382" s="68"/>
      <c r="U1382" s="68"/>
      <c r="V1382" s="68"/>
      <c r="W1382" s="68"/>
      <c r="X1382" s="68"/>
      <c r="Y1382" s="68"/>
      <c r="Z1382" s="68"/>
      <c r="AA1382" s="68"/>
      <c r="AB1382" s="68"/>
      <c r="AC1382" s="68"/>
      <c r="AD1382" s="68"/>
      <c r="AE1382" s="68"/>
    </row>
    <row r="1383" ht="26.25" customHeight="1">
      <c r="A1383" s="68"/>
      <c r="B1383" s="68"/>
      <c r="C1383" s="61" t="s">
        <v>129</v>
      </c>
      <c r="D1383" s="61" t="s">
        <v>130</v>
      </c>
      <c r="E1383" s="68"/>
      <c r="F1383" s="68"/>
      <c r="G1383" s="68"/>
      <c r="H1383" s="68"/>
      <c r="I1383" s="68"/>
      <c r="J1383" s="78"/>
      <c r="K1383" s="68"/>
      <c r="L1383" s="68"/>
      <c r="M1383" s="68"/>
      <c r="N1383" s="68"/>
      <c r="O1383" s="68"/>
      <c r="P1383" s="68"/>
      <c r="Q1383" s="68"/>
      <c r="R1383" s="68"/>
      <c r="S1383" s="68"/>
      <c r="T1383" s="68"/>
      <c r="U1383" s="68"/>
      <c r="V1383" s="68"/>
      <c r="W1383" s="68"/>
      <c r="X1383" s="68"/>
      <c r="Y1383" s="68"/>
      <c r="Z1383" s="68"/>
      <c r="AA1383" s="68"/>
      <c r="AB1383" s="68"/>
      <c r="AC1383" s="68"/>
      <c r="AD1383" s="68"/>
      <c r="AE1383" s="68"/>
    </row>
    <row r="1384" ht="26.25" customHeight="1">
      <c r="A1384" s="68"/>
      <c r="B1384" s="68"/>
      <c r="C1384" s="61" t="s">
        <v>129</v>
      </c>
      <c r="D1384" s="61" t="s">
        <v>130</v>
      </c>
      <c r="E1384" s="68"/>
      <c r="F1384" s="68"/>
      <c r="G1384" s="68"/>
      <c r="H1384" s="68"/>
      <c r="I1384" s="68"/>
      <c r="J1384" s="78"/>
      <c r="K1384" s="68"/>
      <c r="L1384" s="68"/>
      <c r="M1384" s="68"/>
      <c r="N1384" s="68"/>
      <c r="O1384" s="68"/>
      <c r="P1384" s="68"/>
      <c r="Q1384" s="68"/>
      <c r="R1384" s="68"/>
      <c r="S1384" s="68"/>
      <c r="T1384" s="68"/>
      <c r="U1384" s="68"/>
      <c r="V1384" s="68"/>
      <c r="W1384" s="68"/>
      <c r="X1384" s="68"/>
      <c r="Y1384" s="68"/>
      <c r="Z1384" s="68"/>
      <c r="AA1384" s="68"/>
      <c r="AB1384" s="68"/>
      <c r="AC1384" s="68"/>
      <c r="AD1384" s="68"/>
      <c r="AE1384" s="68"/>
    </row>
    <row r="1385" ht="26.25" customHeight="1">
      <c r="A1385" s="68"/>
      <c r="B1385" s="68"/>
      <c r="C1385" s="61" t="s">
        <v>129</v>
      </c>
      <c r="D1385" s="61" t="s">
        <v>130</v>
      </c>
      <c r="E1385" s="68"/>
      <c r="F1385" s="68"/>
      <c r="G1385" s="68"/>
      <c r="H1385" s="68"/>
      <c r="I1385" s="68"/>
      <c r="J1385" s="78"/>
      <c r="K1385" s="68"/>
      <c r="L1385" s="68"/>
      <c r="M1385" s="68"/>
      <c r="N1385" s="68"/>
      <c r="O1385" s="68"/>
      <c r="P1385" s="68"/>
      <c r="Q1385" s="68"/>
      <c r="R1385" s="68"/>
      <c r="S1385" s="68"/>
      <c r="T1385" s="68"/>
      <c r="U1385" s="68"/>
      <c r="V1385" s="68"/>
      <c r="W1385" s="68"/>
      <c r="X1385" s="68"/>
      <c r="Y1385" s="68"/>
      <c r="Z1385" s="68"/>
      <c r="AA1385" s="68"/>
      <c r="AB1385" s="68"/>
      <c r="AC1385" s="68"/>
      <c r="AD1385" s="68"/>
      <c r="AE1385" s="68"/>
    </row>
    <row r="1386" ht="26.25" customHeight="1">
      <c r="A1386" s="68"/>
      <c r="B1386" s="68"/>
      <c r="C1386" s="61" t="s">
        <v>129</v>
      </c>
      <c r="D1386" s="61" t="s">
        <v>130</v>
      </c>
      <c r="E1386" s="68"/>
      <c r="F1386" s="68"/>
      <c r="G1386" s="68"/>
      <c r="H1386" s="68"/>
      <c r="I1386" s="68"/>
      <c r="J1386" s="78"/>
      <c r="K1386" s="68"/>
      <c r="L1386" s="68"/>
      <c r="M1386" s="68"/>
      <c r="N1386" s="68"/>
      <c r="O1386" s="68"/>
      <c r="P1386" s="68"/>
      <c r="Q1386" s="68"/>
      <c r="R1386" s="68"/>
      <c r="S1386" s="68"/>
      <c r="T1386" s="68"/>
      <c r="U1386" s="68"/>
      <c r="V1386" s="68"/>
      <c r="W1386" s="68"/>
      <c r="X1386" s="68"/>
      <c r="Y1386" s="68"/>
      <c r="Z1386" s="68"/>
      <c r="AA1386" s="68"/>
      <c r="AB1386" s="68"/>
      <c r="AC1386" s="68"/>
      <c r="AD1386" s="68"/>
      <c r="AE1386" s="68"/>
    </row>
    <row r="1387" ht="26.25" customHeight="1">
      <c r="A1387" s="68"/>
      <c r="B1387" s="68"/>
      <c r="C1387" s="61" t="s">
        <v>129</v>
      </c>
      <c r="D1387" s="61" t="s">
        <v>130</v>
      </c>
      <c r="E1387" s="68"/>
      <c r="F1387" s="68"/>
      <c r="G1387" s="68"/>
      <c r="H1387" s="68"/>
      <c r="I1387" s="68"/>
      <c r="J1387" s="78"/>
      <c r="K1387" s="68"/>
      <c r="L1387" s="68"/>
      <c r="M1387" s="68"/>
      <c r="N1387" s="68"/>
      <c r="O1387" s="68"/>
      <c r="P1387" s="68"/>
      <c r="Q1387" s="68"/>
      <c r="R1387" s="68"/>
      <c r="S1387" s="68"/>
      <c r="T1387" s="68"/>
      <c r="U1387" s="68"/>
      <c r="V1387" s="68"/>
      <c r="W1387" s="68"/>
      <c r="X1387" s="68"/>
      <c r="Y1387" s="68"/>
      <c r="Z1387" s="68"/>
      <c r="AA1387" s="68"/>
      <c r="AB1387" s="68"/>
      <c r="AC1387" s="68"/>
      <c r="AD1387" s="68"/>
      <c r="AE1387" s="68"/>
    </row>
    <row r="1388" ht="26.25" customHeight="1">
      <c r="A1388" s="68"/>
      <c r="B1388" s="68"/>
      <c r="C1388" s="61" t="s">
        <v>129</v>
      </c>
      <c r="D1388" s="61" t="s">
        <v>130</v>
      </c>
      <c r="E1388" s="68"/>
      <c r="F1388" s="68"/>
      <c r="G1388" s="68"/>
      <c r="H1388" s="68"/>
      <c r="I1388" s="68"/>
      <c r="J1388" s="78"/>
      <c r="K1388" s="68"/>
      <c r="L1388" s="68"/>
      <c r="M1388" s="68"/>
      <c r="N1388" s="68"/>
      <c r="O1388" s="68"/>
      <c r="P1388" s="68"/>
      <c r="Q1388" s="68"/>
      <c r="R1388" s="68"/>
      <c r="S1388" s="68"/>
      <c r="T1388" s="68"/>
      <c r="U1388" s="68"/>
      <c r="V1388" s="68"/>
      <c r="W1388" s="68"/>
      <c r="X1388" s="68"/>
      <c r="Y1388" s="68"/>
      <c r="Z1388" s="68"/>
      <c r="AA1388" s="68"/>
      <c r="AB1388" s="68"/>
      <c r="AC1388" s="68"/>
      <c r="AD1388" s="68"/>
      <c r="AE1388" s="68"/>
    </row>
    <row r="1389" ht="26.25" customHeight="1">
      <c r="A1389" s="68"/>
      <c r="B1389" s="68"/>
      <c r="C1389" s="61" t="s">
        <v>129</v>
      </c>
      <c r="D1389" s="61" t="s">
        <v>130</v>
      </c>
      <c r="E1389" s="68"/>
      <c r="F1389" s="68"/>
      <c r="G1389" s="68"/>
      <c r="H1389" s="68"/>
      <c r="I1389" s="68"/>
      <c r="J1389" s="78"/>
      <c r="K1389" s="68"/>
      <c r="L1389" s="68"/>
      <c r="M1389" s="68"/>
      <c r="N1389" s="68"/>
      <c r="O1389" s="68"/>
      <c r="P1389" s="68"/>
      <c r="Q1389" s="68"/>
      <c r="R1389" s="68"/>
      <c r="S1389" s="68"/>
      <c r="T1389" s="68"/>
      <c r="U1389" s="68"/>
      <c r="V1389" s="68"/>
      <c r="W1389" s="68"/>
      <c r="X1389" s="68"/>
      <c r="Y1389" s="68"/>
      <c r="Z1389" s="68"/>
      <c r="AA1389" s="68"/>
      <c r="AB1389" s="68"/>
      <c r="AC1389" s="68"/>
      <c r="AD1389" s="68"/>
      <c r="AE1389" s="68"/>
    </row>
    <row r="1390" ht="26.25" customHeight="1">
      <c r="A1390" s="68"/>
      <c r="B1390" s="68"/>
      <c r="C1390" s="61" t="s">
        <v>129</v>
      </c>
      <c r="D1390" s="61" t="s">
        <v>130</v>
      </c>
      <c r="E1390" s="68"/>
      <c r="F1390" s="68"/>
      <c r="G1390" s="68"/>
      <c r="H1390" s="68"/>
      <c r="I1390" s="68"/>
      <c r="J1390" s="78"/>
      <c r="K1390" s="68"/>
      <c r="L1390" s="68"/>
      <c r="M1390" s="68"/>
      <c r="N1390" s="68"/>
      <c r="O1390" s="68"/>
      <c r="P1390" s="68"/>
      <c r="Q1390" s="68"/>
      <c r="R1390" s="68"/>
      <c r="S1390" s="68"/>
      <c r="T1390" s="68"/>
      <c r="U1390" s="68"/>
      <c r="V1390" s="68"/>
      <c r="W1390" s="68"/>
      <c r="X1390" s="68"/>
      <c r="Y1390" s="68"/>
      <c r="Z1390" s="68"/>
      <c r="AA1390" s="68"/>
      <c r="AB1390" s="68"/>
      <c r="AC1390" s="68"/>
      <c r="AD1390" s="68"/>
      <c r="AE1390" s="68"/>
    </row>
    <row r="1391" ht="26.25" customHeight="1">
      <c r="A1391" s="68"/>
      <c r="B1391" s="68"/>
      <c r="C1391" s="61" t="s">
        <v>129</v>
      </c>
      <c r="D1391" s="61" t="s">
        <v>130</v>
      </c>
      <c r="E1391" s="68"/>
      <c r="F1391" s="68"/>
      <c r="G1391" s="68"/>
      <c r="H1391" s="68"/>
      <c r="I1391" s="68"/>
      <c r="J1391" s="78"/>
      <c r="K1391" s="68"/>
      <c r="L1391" s="68"/>
      <c r="M1391" s="68"/>
      <c r="N1391" s="68"/>
      <c r="O1391" s="68"/>
      <c r="P1391" s="68"/>
      <c r="Q1391" s="68"/>
      <c r="R1391" s="68"/>
      <c r="S1391" s="68"/>
      <c r="T1391" s="68"/>
      <c r="U1391" s="68"/>
      <c r="V1391" s="68"/>
      <c r="W1391" s="68"/>
      <c r="X1391" s="68"/>
      <c r="Y1391" s="68"/>
      <c r="Z1391" s="68"/>
      <c r="AA1391" s="68"/>
      <c r="AB1391" s="68"/>
      <c r="AC1391" s="68"/>
      <c r="AD1391" s="68"/>
      <c r="AE1391" s="68"/>
    </row>
    <row r="1392" ht="26.25" customHeight="1">
      <c r="A1392" s="68"/>
      <c r="B1392" s="68"/>
      <c r="C1392" s="61" t="s">
        <v>129</v>
      </c>
      <c r="D1392" s="61" t="s">
        <v>130</v>
      </c>
      <c r="E1392" s="68"/>
      <c r="F1392" s="68"/>
      <c r="G1392" s="68"/>
      <c r="H1392" s="68"/>
      <c r="I1392" s="68"/>
      <c r="J1392" s="78"/>
      <c r="K1392" s="68"/>
      <c r="L1392" s="68"/>
      <c r="M1392" s="68"/>
      <c r="N1392" s="68"/>
      <c r="O1392" s="68"/>
      <c r="P1392" s="68"/>
      <c r="Q1392" s="68"/>
      <c r="R1392" s="68"/>
      <c r="S1392" s="68"/>
      <c r="T1392" s="68"/>
      <c r="U1392" s="68"/>
      <c r="V1392" s="68"/>
      <c r="W1392" s="68"/>
      <c r="X1392" s="68"/>
      <c r="Y1392" s="68"/>
      <c r="Z1392" s="68"/>
      <c r="AA1392" s="68"/>
      <c r="AB1392" s="68"/>
      <c r="AC1392" s="68"/>
      <c r="AD1392" s="68"/>
      <c r="AE1392" s="68"/>
    </row>
    <row r="1393" ht="26.25" customHeight="1">
      <c r="A1393" s="68"/>
      <c r="B1393" s="68"/>
      <c r="C1393" s="61" t="s">
        <v>129</v>
      </c>
      <c r="D1393" s="61" t="s">
        <v>130</v>
      </c>
      <c r="E1393" s="68"/>
      <c r="F1393" s="68"/>
      <c r="G1393" s="68"/>
      <c r="H1393" s="68"/>
      <c r="I1393" s="68"/>
      <c r="J1393" s="78"/>
      <c r="K1393" s="68"/>
      <c r="L1393" s="68"/>
      <c r="M1393" s="68"/>
      <c r="N1393" s="68"/>
      <c r="O1393" s="68"/>
      <c r="P1393" s="68"/>
      <c r="Q1393" s="68"/>
      <c r="R1393" s="68"/>
      <c r="S1393" s="68"/>
      <c r="T1393" s="68"/>
      <c r="U1393" s="68"/>
      <c r="V1393" s="68"/>
      <c r="W1393" s="68"/>
      <c r="X1393" s="68"/>
      <c r="Y1393" s="68"/>
      <c r="Z1393" s="68"/>
      <c r="AA1393" s="68"/>
      <c r="AB1393" s="68"/>
      <c r="AC1393" s="68"/>
      <c r="AD1393" s="68"/>
      <c r="AE1393" s="68"/>
    </row>
    <row r="1394" ht="26.25" customHeight="1">
      <c r="A1394" s="68"/>
      <c r="B1394" s="68"/>
      <c r="C1394" s="61" t="s">
        <v>129</v>
      </c>
      <c r="D1394" s="61" t="s">
        <v>130</v>
      </c>
      <c r="E1394" s="68"/>
      <c r="F1394" s="68"/>
      <c r="G1394" s="68"/>
      <c r="H1394" s="68"/>
      <c r="I1394" s="68"/>
      <c r="J1394" s="78"/>
      <c r="K1394" s="68"/>
      <c r="L1394" s="68"/>
      <c r="M1394" s="68"/>
      <c r="N1394" s="68"/>
      <c r="O1394" s="68"/>
      <c r="P1394" s="68"/>
      <c r="Q1394" s="68"/>
      <c r="R1394" s="68"/>
      <c r="S1394" s="68"/>
      <c r="T1394" s="68"/>
      <c r="U1394" s="68"/>
      <c r="V1394" s="68"/>
      <c r="W1394" s="68"/>
      <c r="X1394" s="68"/>
      <c r="Y1394" s="68"/>
      <c r="Z1394" s="68"/>
      <c r="AA1394" s="68"/>
      <c r="AB1394" s="68"/>
      <c r="AC1394" s="68"/>
      <c r="AD1394" s="68"/>
      <c r="AE1394" s="68"/>
    </row>
    <row r="1395" ht="26.25" customHeight="1">
      <c r="A1395" s="68"/>
      <c r="B1395" s="68"/>
      <c r="C1395" s="61" t="s">
        <v>129</v>
      </c>
      <c r="D1395" s="61" t="s">
        <v>130</v>
      </c>
      <c r="E1395" s="68"/>
      <c r="F1395" s="68"/>
      <c r="G1395" s="68"/>
      <c r="H1395" s="68"/>
      <c r="I1395" s="68"/>
      <c r="J1395" s="78"/>
      <c r="K1395" s="68"/>
      <c r="L1395" s="68"/>
      <c r="M1395" s="68"/>
      <c r="N1395" s="68"/>
      <c r="O1395" s="68"/>
      <c r="P1395" s="68"/>
      <c r="Q1395" s="68"/>
      <c r="R1395" s="68"/>
      <c r="S1395" s="68"/>
      <c r="T1395" s="68"/>
      <c r="U1395" s="68"/>
      <c r="V1395" s="68"/>
      <c r="W1395" s="68"/>
      <c r="X1395" s="68"/>
      <c r="Y1395" s="68"/>
      <c r="Z1395" s="68"/>
      <c r="AA1395" s="68"/>
      <c r="AB1395" s="68"/>
      <c r="AC1395" s="68"/>
      <c r="AD1395" s="68"/>
      <c r="AE1395" s="68"/>
    </row>
    <row r="1396" ht="26.25" customHeight="1">
      <c r="A1396" s="68"/>
      <c r="B1396" s="68"/>
      <c r="C1396" s="61" t="s">
        <v>129</v>
      </c>
      <c r="D1396" s="61" t="s">
        <v>130</v>
      </c>
      <c r="E1396" s="68"/>
      <c r="F1396" s="68"/>
      <c r="G1396" s="68"/>
      <c r="H1396" s="68"/>
      <c r="I1396" s="68"/>
      <c r="J1396" s="78"/>
      <c r="K1396" s="68"/>
      <c r="L1396" s="68"/>
      <c r="M1396" s="68"/>
      <c r="N1396" s="68"/>
      <c r="O1396" s="68"/>
      <c r="P1396" s="68"/>
      <c r="Q1396" s="68"/>
      <c r="R1396" s="68"/>
      <c r="S1396" s="68"/>
      <c r="T1396" s="68"/>
      <c r="U1396" s="68"/>
      <c r="V1396" s="68"/>
      <c r="W1396" s="68"/>
      <c r="X1396" s="68"/>
      <c r="Y1396" s="68"/>
      <c r="Z1396" s="68"/>
      <c r="AA1396" s="68"/>
      <c r="AB1396" s="68"/>
      <c r="AC1396" s="68"/>
      <c r="AD1396" s="68"/>
      <c r="AE1396" s="68"/>
    </row>
    <row r="1397" ht="26.25" customHeight="1">
      <c r="A1397" s="68"/>
      <c r="B1397" s="68"/>
      <c r="C1397" s="61" t="s">
        <v>129</v>
      </c>
      <c r="D1397" s="61" t="s">
        <v>130</v>
      </c>
      <c r="E1397" s="68"/>
      <c r="F1397" s="68"/>
      <c r="G1397" s="68"/>
      <c r="H1397" s="68"/>
      <c r="I1397" s="68"/>
      <c r="J1397" s="78"/>
      <c r="K1397" s="68"/>
      <c r="L1397" s="68"/>
      <c r="M1397" s="68"/>
      <c r="N1397" s="68"/>
      <c r="O1397" s="68"/>
      <c r="P1397" s="68"/>
      <c r="Q1397" s="68"/>
      <c r="R1397" s="68"/>
      <c r="S1397" s="68"/>
      <c r="T1397" s="68"/>
      <c r="U1397" s="68"/>
      <c r="V1397" s="68"/>
      <c r="W1397" s="68"/>
      <c r="X1397" s="68"/>
      <c r="Y1397" s="68"/>
      <c r="Z1397" s="68"/>
      <c r="AA1397" s="68"/>
      <c r="AB1397" s="68"/>
      <c r="AC1397" s="68"/>
      <c r="AD1397" s="68"/>
      <c r="AE1397" s="68"/>
    </row>
    <row r="1398" ht="26.25" customHeight="1">
      <c r="A1398" s="68"/>
      <c r="B1398" s="68"/>
      <c r="C1398" s="61" t="s">
        <v>129</v>
      </c>
      <c r="D1398" s="61" t="s">
        <v>130</v>
      </c>
      <c r="E1398" s="68"/>
      <c r="F1398" s="68"/>
      <c r="G1398" s="68"/>
      <c r="H1398" s="68"/>
      <c r="I1398" s="68"/>
      <c r="J1398" s="78"/>
      <c r="K1398" s="68"/>
      <c r="L1398" s="68"/>
      <c r="M1398" s="68"/>
      <c r="N1398" s="68"/>
      <c r="O1398" s="68"/>
      <c r="P1398" s="68"/>
      <c r="Q1398" s="68"/>
      <c r="R1398" s="68"/>
      <c r="S1398" s="68"/>
      <c r="T1398" s="68"/>
      <c r="U1398" s="68"/>
      <c r="V1398" s="68"/>
      <c r="W1398" s="68"/>
      <c r="X1398" s="68"/>
      <c r="Y1398" s="68"/>
      <c r="Z1398" s="68"/>
      <c r="AA1398" s="68"/>
      <c r="AB1398" s="68"/>
      <c r="AC1398" s="68"/>
      <c r="AD1398" s="68"/>
      <c r="AE1398" s="68"/>
    </row>
    <row r="1399" ht="26.25" customHeight="1">
      <c r="A1399" s="68"/>
      <c r="B1399" s="68"/>
      <c r="C1399" s="61" t="s">
        <v>129</v>
      </c>
      <c r="D1399" s="61" t="s">
        <v>130</v>
      </c>
      <c r="E1399" s="68"/>
      <c r="F1399" s="68"/>
      <c r="G1399" s="68"/>
      <c r="H1399" s="68"/>
      <c r="I1399" s="68"/>
      <c r="J1399" s="78"/>
      <c r="K1399" s="68"/>
      <c r="L1399" s="68"/>
      <c r="M1399" s="68"/>
      <c r="N1399" s="68"/>
      <c r="O1399" s="68"/>
      <c r="P1399" s="68"/>
      <c r="Q1399" s="68"/>
      <c r="R1399" s="68"/>
      <c r="S1399" s="68"/>
      <c r="T1399" s="68"/>
      <c r="U1399" s="68"/>
      <c r="V1399" s="68"/>
      <c r="W1399" s="68"/>
      <c r="X1399" s="68"/>
      <c r="Y1399" s="68"/>
      <c r="Z1399" s="68"/>
      <c r="AA1399" s="68"/>
      <c r="AB1399" s="68"/>
      <c r="AC1399" s="68"/>
      <c r="AD1399" s="68"/>
      <c r="AE1399" s="68"/>
    </row>
    <row r="1400" ht="26.25" customHeight="1">
      <c r="A1400" s="68"/>
      <c r="B1400" s="68"/>
      <c r="C1400" s="61" t="s">
        <v>129</v>
      </c>
      <c r="D1400" s="61" t="s">
        <v>130</v>
      </c>
      <c r="E1400" s="68"/>
      <c r="F1400" s="68"/>
      <c r="G1400" s="68"/>
      <c r="H1400" s="68"/>
      <c r="I1400" s="68"/>
      <c r="J1400" s="78"/>
      <c r="K1400" s="68"/>
      <c r="L1400" s="68"/>
      <c r="M1400" s="68"/>
      <c r="N1400" s="68"/>
      <c r="O1400" s="68"/>
      <c r="P1400" s="68"/>
      <c r="Q1400" s="68"/>
      <c r="R1400" s="68"/>
      <c r="S1400" s="68"/>
      <c r="T1400" s="68"/>
      <c r="U1400" s="68"/>
      <c r="V1400" s="68"/>
      <c r="W1400" s="68"/>
      <c r="X1400" s="68"/>
      <c r="Y1400" s="68"/>
      <c r="Z1400" s="68"/>
      <c r="AA1400" s="68"/>
      <c r="AB1400" s="68"/>
      <c r="AC1400" s="68"/>
      <c r="AD1400" s="68"/>
      <c r="AE1400" s="68"/>
    </row>
    <row r="1401" ht="26.25" customHeight="1">
      <c r="A1401" s="68"/>
      <c r="B1401" s="68"/>
      <c r="C1401" s="61" t="s">
        <v>129</v>
      </c>
      <c r="D1401" s="61" t="s">
        <v>130</v>
      </c>
      <c r="E1401" s="68"/>
      <c r="F1401" s="68"/>
      <c r="G1401" s="68"/>
      <c r="H1401" s="68"/>
      <c r="I1401" s="68"/>
      <c r="J1401" s="78"/>
      <c r="K1401" s="68"/>
      <c r="L1401" s="68"/>
      <c r="M1401" s="68"/>
      <c r="N1401" s="68"/>
      <c r="O1401" s="68"/>
      <c r="P1401" s="68"/>
      <c r="Q1401" s="68"/>
      <c r="R1401" s="68"/>
      <c r="S1401" s="68"/>
      <c r="T1401" s="68"/>
      <c r="U1401" s="68"/>
      <c r="V1401" s="68"/>
      <c r="W1401" s="68"/>
      <c r="X1401" s="68"/>
      <c r="Y1401" s="68"/>
      <c r="Z1401" s="68"/>
      <c r="AA1401" s="68"/>
      <c r="AB1401" s="68"/>
      <c r="AC1401" s="68"/>
      <c r="AD1401" s="68"/>
      <c r="AE1401" s="68"/>
    </row>
    <row r="1402" ht="26.25" customHeight="1">
      <c r="A1402" s="68"/>
      <c r="B1402" s="68"/>
      <c r="C1402" s="61" t="s">
        <v>129</v>
      </c>
      <c r="D1402" s="61" t="s">
        <v>130</v>
      </c>
      <c r="E1402" s="68"/>
      <c r="F1402" s="68"/>
      <c r="G1402" s="68"/>
      <c r="H1402" s="68"/>
      <c r="I1402" s="68"/>
      <c r="J1402" s="78"/>
      <c r="K1402" s="68"/>
      <c r="L1402" s="68"/>
      <c r="M1402" s="68"/>
      <c r="N1402" s="68"/>
      <c r="O1402" s="68"/>
      <c r="P1402" s="68"/>
      <c r="Q1402" s="68"/>
      <c r="R1402" s="68"/>
      <c r="S1402" s="68"/>
      <c r="T1402" s="68"/>
      <c r="U1402" s="68"/>
      <c r="V1402" s="68"/>
      <c r="W1402" s="68"/>
      <c r="X1402" s="68"/>
      <c r="Y1402" s="68"/>
      <c r="Z1402" s="68"/>
      <c r="AA1402" s="68"/>
      <c r="AB1402" s="68"/>
      <c r="AC1402" s="68"/>
      <c r="AD1402" s="68"/>
      <c r="AE1402" s="68"/>
    </row>
    <row r="1403" ht="26.25" customHeight="1">
      <c r="A1403" s="68"/>
      <c r="B1403" s="68"/>
      <c r="C1403" s="61" t="s">
        <v>129</v>
      </c>
      <c r="D1403" s="61" t="s">
        <v>130</v>
      </c>
      <c r="E1403" s="68"/>
      <c r="F1403" s="68"/>
      <c r="G1403" s="68"/>
      <c r="H1403" s="68"/>
      <c r="I1403" s="68"/>
      <c r="J1403" s="78"/>
      <c r="K1403" s="68"/>
      <c r="L1403" s="68"/>
      <c r="M1403" s="68"/>
      <c r="N1403" s="68"/>
      <c r="O1403" s="68"/>
      <c r="P1403" s="68"/>
      <c r="Q1403" s="68"/>
      <c r="R1403" s="68"/>
      <c r="S1403" s="68"/>
      <c r="T1403" s="68"/>
      <c r="U1403" s="68"/>
      <c r="V1403" s="68"/>
      <c r="W1403" s="68"/>
      <c r="X1403" s="68"/>
      <c r="Y1403" s="68"/>
      <c r="Z1403" s="68"/>
      <c r="AA1403" s="68"/>
      <c r="AB1403" s="68"/>
      <c r="AC1403" s="68"/>
      <c r="AD1403" s="68"/>
      <c r="AE1403" s="68"/>
    </row>
    <row r="1404" ht="26.25" customHeight="1">
      <c r="A1404" s="68"/>
      <c r="B1404" s="68"/>
      <c r="C1404" s="61" t="s">
        <v>129</v>
      </c>
      <c r="D1404" s="61" t="s">
        <v>130</v>
      </c>
      <c r="E1404" s="68"/>
      <c r="F1404" s="68"/>
      <c r="G1404" s="68"/>
      <c r="H1404" s="68"/>
      <c r="I1404" s="68"/>
      <c r="J1404" s="78"/>
      <c r="K1404" s="68"/>
      <c r="L1404" s="68"/>
      <c r="M1404" s="68"/>
      <c r="N1404" s="68"/>
      <c r="O1404" s="68"/>
      <c r="P1404" s="68"/>
      <c r="Q1404" s="68"/>
      <c r="R1404" s="68"/>
      <c r="S1404" s="68"/>
      <c r="T1404" s="68"/>
      <c r="U1404" s="68"/>
      <c r="V1404" s="68"/>
      <c r="W1404" s="68"/>
      <c r="X1404" s="68"/>
      <c r="Y1404" s="68"/>
      <c r="Z1404" s="68"/>
      <c r="AA1404" s="68"/>
      <c r="AB1404" s="68"/>
      <c r="AC1404" s="68"/>
      <c r="AD1404" s="68"/>
      <c r="AE1404" s="68"/>
    </row>
    <row r="1405" ht="26.25" customHeight="1">
      <c r="A1405" s="68"/>
      <c r="B1405" s="68"/>
      <c r="C1405" s="61" t="s">
        <v>129</v>
      </c>
      <c r="D1405" s="61" t="s">
        <v>130</v>
      </c>
      <c r="E1405" s="68"/>
      <c r="F1405" s="68"/>
      <c r="G1405" s="68"/>
      <c r="H1405" s="68"/>
      <c r="I1405" s="68"/>
      <c r="J1405" s="78"/>
      <c r="K1405" s="68"/>
      <c r="L1405" s="68"/>
      <c r="M1405" s="68"/>
      <c r="N1405" s="68"/>
      <c r="O1405" s="68"/>
      <c r="P1405" s="68"/>
      <c r="Q1405" s="68"/>
      <c r="R1405" s="68"/>
      <c r="S1405" s="68"/>
      <c r="T1405" s="68"/>
      <c r="U1405" s="68"/>
      <c r="V1405" s="68"/>
      <c r="W1405" s="68"/>
      <c r="X1405" s="68"/>
      <c r="Y1405" s="68"/>
      <c r="Z1405" s="68"/>
      <c r="AA1405" s="68"/>
      <c r="AB1405" s="68"/>
      <c r="AC1405" s="68"/>
      <c r="AD1405" s="68"/>
      <c r="AE1405" s="68"/>
    </row>
    <row r="1406" ht="26.25" customHeight="1">
      <c r="A1406" s="68"/>
      <c r="B1406" s="68"/>
      <c r="C1406" s="61" t="s">
        <v>129</v>
      </c>
      <c r="D1406" s="61" t="s">
        <v>130</v>
      </c>
      <c r="E1406" s="68"/>
      <c r="F1406" s="68"/>
      <c r="G1406" s="68"/>
      <c r="H1406" s="68"/>
      <c r="I1406" s="68"/>
      <c r="J1406" s="78"/>
      <c r="K1406" s="68"/>
      <c r="L1406" s="68"/>
      <c r="M1406" s="68"/>
      <c r="N1406" s="68"/>
      <c r="O1406" s="68"/>
      <c r="P1406" s="68"/>
      <c r="Q1406" s="68"/>
      <c r="R1406" s="68"/>
      <c r="S1406" s="68"/>
      <c r="T1406" s="68"/>
      <c r="U1406" s="68"/>
      <c r="V1406" s="68"/>
      <c r="W1406" s="68"/>
      <c r="X1406" s="68"/>
      <c r="Y1406" s="68"/>
      <c r="Z1406" s="68"/>
      <c r="AA1406" s="68"/>
      <c r="AB1406" s="68"/>
      <c r="AC1406" s="68"/>
      <c r="AD1406" s="68"/>
      <c r="AE1406" s="68"/>
    </row>
    <row r="1407" ht="26.25" customHeight="1">
      <c r="A1407" s="68"/>
      <c r="B1407" s="68"/>
      <c r="C1407" s="61" t="s">
        <v>129</v>
      </c>
      <c r="D1407" s="61" t="s">
        <v>130</v>
      </c>
      <c r="E1407" s="68"/>
      <c r="F1407" s="68"/>
      <c r="G1407" s="68"/>
      <c r="H1407" s="68"/>
      <c r="I1407" s="68"/>
      <c r="J1407" s="78"/>
      <c r="K1407" s="68"/>
      <c r="L1407" s="68"/>
      <c r="M1407" s="68"/>
      <c r="N1407" s="68"/>
      <c r="O1407" s="68"/>
      <c r="P1407" s="68"/>
      <c r="Q1407" s="68"/>
      <c r="R1407" s="68"/>
      <c r="S1407" s="68"/>
      <c r="T1407" s="68"/>
      <c r="U1407" s="68"/>
      <c r="V1407" s="68"/>
      <c r="W1407" s="68"/>
      <c r="X1407" s="68"/>
      <c r="Y1407" s="68"/>
      <c r="Z1407" s="68"/>
      <c r="AA1407" s="68"/>
      <c r="AB1407" s="68"/>
      <c r="AC1407" s="68"/>
      <c r="AD1407" s="68"/>
      <c r="AE1407" s="68"/>
    </row>
    <row r="1408" ht="26.25" customHeight="1">
      <c r="A1408" s="68"/>
      <c r="B1408" s="68"/>
      <c r="C1408" s="61" t="s">
        <v>129</v>
      </c>
      <c r="D1408" s="61" t="s">
        <v>130</v>
      </c>
      <c r="E1408" s="68"/>
      <c r="F1408" s="68"/>
      <c r="G1408" s="68"/>
      <c r="H1408" s="68"/>
      <c r="I1408" s="68"/>
      <c r="J1408" s="78"/>
      <c r="K1408" s="68"/>
      <c r="L1408" s="68"/>
      <c r="M1408" s="68"/>
      <c r="N1408" s="68"/>
      <c r="O1408" s="68"/>
      <c r="P1408" s="68"/>
      <c r="Q1408" s="68"/>
      <c r="R1408" s="68"/>
      <c r="S1408" s="68"/>
      <c r="T1408" s="68"/>
      <c r="U1408" s="68"/>
      <c r="V1408" s="68"/>
      <c r="W1408" s="68"/>
      <c r="X1408" s="68"/>
      <c r="Y1408" s="68"/>
      <c r="Z1408" s="68"/>
      <c r="AA1408" s="68"/>
      <c r="AB1408" s="68"/>
      <c r="AC1408" s="68"/>
      <c r="AD1408" s="68"/>
      <c r="AE1408" s="68"/>
    </row>
    <row r="1409" ht="26.25" customHeight="1">
      <c r="A1409" s="68"/>
      <c r="B1409" s="68"/>
      <c r="C1409" s="61" t="s">
        <v>129</v>
      </c>
      <c r="D1409" s="61" t="s">
        <v>130</v>
      </c>
      <c r="E1409" s="68"/>
      <c r="F1409" s="68"/>
      <c r="G1409" s="68"/>
      <c r="H1409" s="68"/>
      <c r="I1409" s="68"/>
      <c r="J1409" s="78"/>
      <c r="K1409" s="68"/>
      <c r="L1409" s="68"/>
      <c r="M1409" s="68"/>
      <c r="N1409" s="68"/>
      <c r="O1409" s="68"/>
      <c r="P1409" s="68"/>
      <c r="Q1409" s="68"/>
      <c r="R1409" s="68"/>
      <c r="S1409" s="68"/>
      <c r="T1409" s="68"/>
      <c r="U1409" s="68"/>
      <c r="V1409" s="68"/>
      <c r="W1409" s="68"/>
      <c r="X1409" s="68"/>
      <c r="Y1409" s="68"/>
      <c r="Z1409" s="68"/>
      <c r="AA1409" s="68"/>
      <c r="AB1409" s="68"/>
      <c r="AC1409" s="68"/>
      <c r="AD1409" s="68"/>
      <c r="AE1409" s="68"/>
    </row>
    <row r="1410" ht="26.25" customHeight="1">
      <c r="A1410" s="68"/>
      <c r="B1410" s="68"/>
      <c r="C1410" s="61" t="s">
        <v>129</v>
      </c>
      <c r="D1410" s="61" t="s">
        <v>130</v>
      </c>
      <c r="E1410" s="68"/>
      <c r="F1410" s="68"/>
      <c r="G1410" s="68"/>
      <c r="H1410" s="68"/>
      <c r="I1410" s="68"/>
      <c r="J1410" s="78"/>
      <c r="K1410" s="68"/>
      <c r="L1410" s="68"/>
      <c r="M1410" s="68"/>
      <c r="N1410" s="68"/>
      <c r="O1410" s="68"/>
      <c r="P1410" s="68"/>
      <c r="Q1410" s="68"/>
      <c r="R1410" s="68"/>
      <c r="S1410" s="68"/>
      <c r="T1410" s="68"/>
      <c r="U1410" s="68"/>
      <c r="V1410" s="68"/>
      <c r="W1410" s="68"/>
      <c r="X1410" s="68"/>
      <c r="Y1410" s="68"/>
      <c r="Z1410" s="68"/>
      <c r="AA1410" s="68"/>
      <c r="AB1410" s="68"/>
      <c r="AC1410" s="68"/>
      <c r="AD1410" s="68"/>
      <c r="AE1410" s="68"/>
    </row>
    <row r="1411" ht="26.25" customHeight="1">
      <c r="A1411" s="68"/>
      <c r="B1411" s="68"/>
      <c r="C1411" s="61" t="s">
        <v>129</v>
      </c>
      <c r="D1411" s="61" t="s">
        <v>130</v>
      </c>
      <c r="E1411" s="68"/>
      <c r="F1411" s="68"/>
      <c r="G1411" s="68"/>
      <c r="H1411" s="68"/>
      <c r="I1411" s="68"/>
      <c r="J1411" s="78"/>
      <c r="K1411" s="68"/>
      <c r="L1411" s="68"/>
      <c r="M1411" s="68"/>
      <c r="N1411" s="68"/>
      <c r="O1411" s="68"/>
      <c r="P1411" s="68"/>
      <c r="Q1411" s="68"/>
      <c r="R1411" s="68"/>
      <c r="S1411" s="68"/>
      <c r="T1411" s="68"/>
      <c r="U1411" s="68"/>
      <c r="V1411" s="68"/>
      <c r="W1411" s="68"/>
      <c r="X1411" s="68"/>
      <c r="Y1411" s="68"/>
      <c r="Z1411" s="68"/>
      <c r="AA1411" s="68"/>
      <c r="AB1411" s="68"/>
      <c r="AC1411" s="68"/>
      <c r="AD1411" s="68"/>
      <c r="AE1411" s="68"/>
    </row>
    <row r="1412" ht="26.25" customHeight="1">
      <c r="A1412" s="68"/>
      <c r="B1412" s="68"/>
      <c r="C1412" s="61" t="s">
        <v>129</v>
      </c>
      <c r="D1412" s="61" t="s">
        <v>130</v>
      </c>
      <c r="E1412" s="68"/>
      <c r="F1412" s="68"/>
      <c r="G1412" s="68"/>
      <c r="H1412" s="68"/>
      <c r="I1412" s="68"/>
      <c r="J1412" s="78"/>
      <c r="K1412" s="68"/>
      <c r="L1412" s="68"/>
      <c r="M1412" s="68"/>
      <c r="N1412" s="68"/>
      <c r="O1412" s="68"/>
      <c r="P1412" s="68"/>
      <c r="Q1412" s="68"/>
      <c r="R1412" s="68"/>
      <c r="S1412" s="68"/>
      <c r="T1412" s="68"/>
      <c r="U1412" s="68"/>
      <c r="V1412" s="68"/>
      <c r="W1412" s="68"/>
      <c r="X1412" s="68"/>
      <c r="Y1412" s="68"/>
      <c r="Z1412" s="68"/>
      <c r="AA1412" s="68"/>
      <c r="AB1412" s="68"/>
      <c r="AC1412" s="68"/>
      <c r="AD1412" s="68"/>
      <c r="AE1412" s="68"/>
    </row>
    <row r="1413" ht="26.25" customHeight="1">
      <c r="A1413" s="68"/>
      <c r="B1413" s="68"/>
      <c r="C1413" s="61" t="s">
        <v>129</v>
      </c>
      <c r="D1413" s="61" t="s">
        <v>130</v>
      </c>
      <c r="E1413" s="68"/>
      <c r="F1413" s="68"/>
      <c r="G1413" s="68"/>
      <c r="H1413" s="68"/>
      <c r="I1413" s="68"/>
      <c r="J1413" s="78"/>
      <c r="K1413" s="68"/>
      <c r="L1413" s="68"/>
      <c r="M1413" s="68"/>
      <c r="N1413" s="68"/>
      <c r="O1413" s="68"/>
      <c r="P1413" s="68"/>
      <c r="Q1413" s="68"/>
      <c r="R1413" s="68"/>
      <c r="S1413" s="68"/>
      <c r="T1413" s="68"/>
      <c r="U1413" s="68"/>
      <c r="V1413" s="68"/>
      <c r="W1413" s="68"/>
      <c r="X1413" s="68"/>
      <c r="Y1413" s="68"/>
      <c r="Z1413" s="68"/>
      <c r="AA1413" s="68"/>
      <c r="AB1413" s="68"/>
      <c r="AC1413" s="68"/>
      <c r="AD1413" s="68"/>
      <c r="AE1413" s="68"/>
    </row>
    <row r="1414" ht="26.25" customHeight="1">
      <c r="A1414" s="68"/>
      <c r="B1414" s="68"/>
      <c r="C1414" s="61" t="s">
        <v>129</v>
      </c>
      <c r="D1414" s="61" t="s">
        <v>130</v>
      </c>
      <c r="E1414" s="68"/>
      <c r="F1414" s="68"/>
      <c r="G1414" s="68"/>
      <c r="H1414" s="68"/>
      <c r="I1414" s="68"/>
      <c r="J1414" s="78"/>
      <c r="K1414" s="68"/>
      <c r="L1414" s="68"/>
      <c r="M1414" s="68"/>
      <c r="N1414" s="68"/>
      <c r="O1414" s="68"/>
      <c r="P1414" s="68"/>
      <c r="Q1414" s="68"/>
      <c r="R1414" s="68"/>
      <c r="S1414" s="68"/>
      <c r="T1414" s="68"/>
      <c r="U1414" s="68"/>
      <c r="V1414" s="68"/>
      <c r="W1414" s="68"/>
      <c r="X1414" s="68"/>
      <c r="Y1414" s="68"/>
      <c r="Z1414" s="68"/>
      <c r="AA1414" s="68"/>
      <c r="AB1414" s="68"/>
      <c r="AC1414" s="68"/>
      <c r="AD1414" s="68"/>
      <c r="AE1414" s="68"/>
    </row>
    <row r="1415" ht="26.25" customHeight="1">
      <c r="A1415" s="68"/>
      <c r="B1415" s="68"/>
      <c r="C1415" s="61" t="s">
        <v>129</v>
      </c>
      <c r="D1415" s="61" t="s">
        <v>130</v>
      </c>
      <c r="E1415" s="68"/>
      <c r="F1415" s="68"/>
      <c r="G1415" s="68"/>
      <c r="H1415" s="68"/>
      <c r="I1415" s="68"/>
      <c r="J1415" s="78"/>
      <c r="K1415" s="68"/>
      <c r="L1415" s="68"/>
      <c r="M1415" s="68"/>
      <c r="N1415" s="68"/>
      <c r="O1415" s="68"/>
      <c r="P1415" s="68"/>
      <c r="Q1415" s="68"/>
      <c r="R1415" s="68"/>
      <c r="S1415" s="68"/>
      <c r="T1415" s="68"/>
      <c r="U1415" s="68"/>
      <c r="V1415" s="68"/>
      <c r="W1415" s="68"/>
      <c r="X1415" s="68"/>
      <c r="Y1415" s="68"/>
      <c r="Z1415" s="68"/>
      <c r="AA1415" s="68"/>
      <c r="AB1415" s="68"/>
      <c r="AC1415" s="68"/>
      <c r="AD1415" s="68"/>
      <c r="AE1415" s="68"/>
    </row>
    <row r="1416" ht="26.25" customHeight="1">
      <c r="A1416" s="68"/>
      <c r="B1416" s="68"/>
      <c r="C1416" s="61" t="s">
        <v>129</v>
      </c>
      <c r="D1416" s="61" t="s">
        <v>130</v>
      </c>
      <c r="E1416" s="68"/>
      <c r="F1416" s="68"/>
      <c r="G1416" s="68"/>
      <c r="H1416" s="68"/>
      <c r="I1416" s="68"/>
      <c r="J1416" s="78"/>
      <c r="K1416" s="68"/>
      <c r="L1416" s="68"/>
      <c r="M1416" s="68"/>
      <c r="N1416" s="68"/>
      <c r="O1416" s="68"/>
      <c r="P1416" s="68"/>
      <c r="Q1416" s="68"/>
      <c r="R1416" s="68"/>
      <c r="S1416" s="68"/>
      <c r="T1416" s="68"/>
      <c r="U1416" s="68"/>
      <c r="V1416" s="68"/>
      <c r="W1416" s="68"/>
      <c r="X1416" s="68"/>
      <c r="Y1416" s="68"/>
      <c r="Z1416" s="68"/>
      <c r="AA1416" s="68"/>
      <c r="AB1416" s="68"/>
      <c r="AC1416" s="68"/>
      <c r="AD1416" s="68"/>
      <c r="AE1416" s="68"/>
    </row>
    <row r="1417" ht="26.25" customHeight="1">
      <c r="A1417" s="68"/>
      <c r="B1417" s="68"/>
      <c r="C1417" s="61" t="s">
        <v>129</v>
      </c>
      <c r="D1417" s="61" t="s">
        <v>130</v>
      </c>
      <c r="E1417" s="68"/>
      <c r="F1417" s="68"/>
      <c r="G1417" s="68"/>
      <c r="H1417" s="68"/>
      <c r="I1417" s="68"/>
      <c r="J1417" s="78"/>
      <c r="K1417" s="68"/>
      <c r="L1417" s="68"/>
      <c r="M1417" s="68"/>
      <c r="N1417" s="68"/>
      <c r="O1417" s="68"/>
      <c r="P1417" s="68"/>
      <c r="Q1417" s="68"/>
      <c r="R1417" s="68"/>
      <c r="S1417" s="68"/>
      <c r="T1417" s="68"/>
      <c r="U1417" s="68"/>
      <c r="V1417" s="68"/>
      <c r="W1417" s="68"/>
      <c r="X1417" s="68"/>
      <c r="Y1417" s="68"/>
      <c r="Z1417" s="68"/>
      <c r="AA1417" s="68"/>
      <c r="AB1417" s="68"/>
      <c r="AC1417" s="68"/>
      <c r="AD1417" s="68"/>
      <c r="AE1417" s="68"/>
    </row>
    <row r="1418" ht="26.25" customHeight="1">
      <c r="A1418" s="68"/>
      <c r="B1418" s="68"/>
      <c r="C1418" s="61" t="s">
        <v>129</v>
      </c>
      <c r="D1418" s="61" t="s">
        <v>130</v>
      </c>
      <c r="E1418" s="68"/>
      <c r="F1418" s="68"/>
      <c r="G1418" s="68"/>
      <c r="H1418" s="68"/>
      <c r="I1418" s="68"/>
      <c r="J1418" s="78"/>
      <c r="K1418" s="68"/>
      <c r="L1418" s="68"/>
      <c r="M1418" s="68"/>
      <c r="N1418" s="68"/>
      <c r="O1418" s="68"/>
      <c r="P1418" s="68"/>
      <c r="Q1418" s="68"/>
      <c r="R1418" s="68"/>
      <c r="S1418" s="68"/>
      <c r="T1418" s="68"/>
      <c r="U1418" s="68"/>
      <c r="V1418" s="68"/>
      <c r="W1418" s="68"/>
      <c r="X1418" s="68"/>
      <c r="Y1418" s="68"/>
      <c r="Z1418" s="68"/>
      <c r="AA1418" s="68"/>
      <c r="AB1418" s="68"/>
      <c r="AC1418" s="68"/>
      <c r="AD1418" s="68"/>
      <c r="AE1418" s="68"/>
    </row>
    <row r="1419" ht="26.25" customHeight="1">
      <c r="A1419" s="68"/>
      <c r="B1419" s="68"/>
      <c r="C1419" s="61" t="s">
        <v>129</v>
      </c>
      <c r="D1419" s="61" t="s">
        <v>130</v>
      </c>
      <c r="E1419" s="68"/>
      <c r="F1419" s="68"/>
      <c r="G1419" s="68"/>
      <c r="H1419" s="68"/>
      <c r="I1419" s="68"/>
      <c r="J1419" s="78"/>
      <c r="K1419" s="68"/>
      <c r="L1419" s="68"/>
      <c r="M1419" s="68"/>
      <c r="N1419" s="68"/>
      <c r="O1419" s="68"/>
      <c r="P1419" s="68"/>
      <c r="Q1419" s="68"/>
      <c r="R1419" s="68"/>
      <c r="S1419" s="68"/>
      <c r="T1419" s="68"/>
      <c r="U1419" s="68"/>
      <c r="V1419" s="68"/>
      <c r="W1419" s="68"/>
      <c r="X1419" s="68"/>
      <c r="Y1419" s="68"/>
      <c r="Z1419" s="68"/>
      <c r="AA1419" s="68"/>
      <c r="AB1419" s="68"/>
      <c r="AC1419" s="68"/>
      <c r="AD1419" s="68"/>
      <c r="AE1419" s="68"/>
    </row>
    <row r="1420" ht="26.25" customHeight="1">
      <c r="A1420" s="68"/>
      <c r="B1420" s="68"/>
      <c r="C1420" s="61" t="s">
        <v>129</v>
      </c>
      <c r="D1420" s="61" t="s">
        <v>130</v>
      </c>
      <c r="E1420" s="68"/>
      <c r="F1420" s="68"/>
      <c r="G1420" s="68"/>
      <c r="H1420" s="68"/>
      <c r="I1420" s="68"/>
      <c r="J1420" s="78"/>
      <c r="K1420" s="68"/>
      <c r="L1420" s="68"/>
      <c r="M1420" s="68"/>
      <c r="N1420" s="68"/>
      <c r="O1420" s="68"/>
      <c r="P1420" s="68"/>
      <c r="Q1420" s="68"/>
      <c r="R1420" s="68"/>
      <c r="S1420" s="68"/>
      <c r="T1420" s="68"/>
      <c r="U1420" s="68"/>
      <c r="V1420" s="68"/>
      <c r="W1420" s="68"/>
      <c r="X1420" s="68"/>
      <c r="Y1420" s="68"/>
      <c r="Z1420" s="68"/>
      <c r="AA1420" s="68"/>
      <c r="AB1420" s="68"/>
      <c r="AC1420" s="68"/>
      <c r="AD1420" s="68"/>
      <c r="AE1420" s="68"/>
    </row>
    <row r="1421" ht="26.25" customHeight="1">
      <c r="A1421" s="68"/>
      <c r="B1421" s="68"/>
      <c r="C1421" s="61" t="s">
        <v>129</v>
      </c>
      <c r="D1421" s="61" t="s">
        <v>130</v>
      </c>
      <c r="E1421" s="68"/>
      <c r="F1421" s="68"/>
      <c r="G1421" s="68"/>
      <c r="H1421" s="68"/>
      <c r="I1421" s="68"/>
      <c r="J1421" s="78"/>
      <c r="K1421" s="68"/>
      <c r="L1421" s="68"/>
      <c r="M1421" s="68"/>
      <c r="N1421" s="68"/>
      <c r="O1421" s="68"/>
      <c r="P1421" s="68"/>
      <c r="Q1421" s="68"/>
      <c r="R1421" s="68"/>
      <c r="S1421" s="68"/>
      <c r="T1421" s="68"/>
      <c r="U1421" s="68"/>
      <c r="V1421" s="68"/>
      <c r="W1421" s="68"/>
      <c r="X1421" s="68"/>
      <c r="Y1421" s="68"/>
      <c r="Z1421" s="68"/>
      <c r="AA1421" s="68"/>
      <c r="AB1421" s="68"/>
      <c r="AC1421" s="68"/>
      <c r="AD1421" s="68"/>
      <c r="AE1421" s="68"/>
    </row>
    <row r="1422" ht="26.25" customHeight="1">
      <c r="A1422" s="68"/>
      <c r="B1422" s="68"/>
      <c r="C1422" s="61" t="s">
        <v>129</v>
      </c>
      <c r="D1422" s="61" t="s">
        <v>130</v>
      </c>
      <c r="E1422" s="68"/>
      <c r="F1422" s="68"/>
      <c r="G1422" s="68"/>
      <c r="H1422" s="68"/>
      <c r="I1422" s="68"/>
      <c r="J1422" s="78"/>
      <c r="K1422" s="68"/>
      <c r="L1422" s="68"/>
      <c r="M1422" s="68"/>
      <c r="N1422" s="68"/>
      <c r="O1422" s="68"/>
      <c r="P1422" s="68"/>
      <c r="Q1422" s="68"/>
      <c r="R1422" s="68"/>
      <c r="S1422" s="68"/>
      <c r="T1422" s="68"/>
      <c r="U1422" s="68"/>
      <c r="V1422" s="68"/>
      <c r="W1422" s="68"/>
      <c r="X1422" s="68"/>
      <c r="Y1422" s="68"/>
      <c r="Z1422" s="68"/>
      <c r="AA1422" s="68"/>
      <c r="AB1422" s="68"/>
      <c r="AC1422" s="68"/>
      <c r="AD1422" s="68"/>
      <c r="AE1422" s="68"/>
    </row>
    <row r="1423" ht="26.25" customHeight="1">
      <c r="A1423" s="68"/>
      <c r="B1423" s="68"/>
      <c r="C1423" s="61" t="s">
        <v>129</v>
      </c>
      <c r="D1423" s="61" t="s">
        <v>130</v>
      </c>
      <c r="E1423" s="68"/>
      <c r="F1423" s="68"/>
      <c r="G1423" s="68"/>
      <c r="H1423" s="68"/>
      <c r="I1423" s="68"/>
      <c r="J1423" s="78"/>
      <c r="K1423" s="68"/>
      <c r="L1423" s="68"/>
      <c r="M1423" s="68"/>
      <c r="N1423" s="68"/>
      <c r="O1423" s="68"/>
      <c r="P1423" s="68"/>
      <c r="Q1423" s="68"/>
      <c r="R1423" s="68"/>
      <c r="S1423" s="68"/>
      <c r="T1423" s="68"/>
      <c r="U1423" s="68"/>
      <c r="V1423" s="68"/>
      <c r="W1423" s="68"/>
      <c r="X1423" s="68"/>
      <c r="Y1423" s="68"/>
      <c r="Z1423" s="68"/>
      <c r="AA1423" s="68"/>
      <c r="AB1423" s="68"/>
      <c r="AC1423" s="68"/>
      <c r="AD1423" s="68"/>
      <c r="AE1423" s="68"/>
    </row>
    <row r="1424" ht="26.25" customHeight="1">
      <c r="A1424" s="68"/>
      <c r="B1424" s="68"/>
      <c r="C1424" s="61" t="s">
        <v>129</v>
      </c>
      <c r="D1424" s="61" t="s">
        <v>130</v>
      </c>
      <c r="E1424" s="68"/>
      <c r="F1424" s="68"/>
      <c r="G1424" s="68"/>
      <c r="H1424" s="68"/>
      <c r="I1424" s="68"/>
      <c r="J1424" s="78"/>
      <c r="K1424" s="68"/>
      <c r="L1424" s="68"/>
      <c r="M1424" s="68"/>
      <c r="N1424" s="68"/>
      <c r="O1424" s="68"/>
      <c r="P1424" s="68"/>
      <c r="Q1424" s="68"/>
      <c r="R1424" s="68"/>
      <c r="S1424" s="68"/>
      <c r="T1424" s="68"/>
      <c r="U1424" s="68"/>
      <c r="V1424" s="68"/>
      <c r="W1424" s="68"/>
      <c r="X1424" s="68"/>
      <c r="Y1424" s="68"/>
      <c r="Z1424" s="68"/>
      <c r="AA1424" s="68"/>
      <c r="AB1424" s="68"/>
      <c r="AC1424" s="68"/>
      <c r="AD1424" s="68"/>
      <c r="AE1424" s="68"/>
    </row>
    <row r="1425" ht="26.25" customHeight="1">
      <c r="A1425" s="68"/>
      <c r="B1425" s="68"/>
      <c r="C1425" s="61" t="s">
        <v>129</v>
      </c>
      <c r="D1425" s="61" t="s">
        <v>130</v>
      </c>
      <c r="E1425" s="68"/>
      <c r="F1425" s="68"/>
      <c r="G1425" s="68"/>
      <c r="H1425" s="68"/>
      <c r="I1425" s="68"/>
      <c r="J1425" s="78"/>
      <c r="K1425" s="68"/>
      <c r="L1425" s="68"/>
      <c r="M1425" s="68"/>
      <c r="N1425" s="68"/>
      <c r="O1425" s="68"/>
      <c r="P1425" s="68"/>
      <c r="Q1425" s="68"/>
      <c r="R1425" s="68"/>
      <c r="S1425" s="68"/>
      <c r="T1425" s="68"/>
      <c r="U1425" s="68"/>
      <c r="V1425" s="68"/>
      <c r="W1425" s="68"/>
      <c r="X1425" s="68"/>
      <c r="Y1425" s="68"/>
      <c r="Z1425" s="68"/>
      <c r="AA1425" s="68"/>
      <c r="AB1425" s="68"/>
      <c r="AC1425" s="68"/>
      <c r="AD1425" s="68"/>
      <c r="AE1425" s="68"/>
    </row>
    <row r="1426" ht="26.25" customHeight="1">
      <c r="A1426" s="68"/>
      <c r="B1426" s="68"/>
      <c r="C1426" s="61" t="s">
        <v>129</v>
      </c>
      <c r="D1426" s="61" t="s">
        <v>130</v>
      </c>
      <c r="E1426" s="68"/>
      <c r="F1426" s="68"/>
      <c r="G1426" s="68"/>
      <c r="H1426" s="68"/>
      <c r="I1426" s="68"/>
      <c r="J1426" s="78"/>
      <c r="K1426" s="68"/>
      <c r="L1426" s="68"/>
      <c r="M1426" s="68"/>
      <c r="N1426" s="68"/>
      <c r="O1426" s="68"/>
      <c r="P1426" s="68"/>
      <c r="Q1426" s="68"/>
      <c r="R1426" s="68"/>
      <c r="S1426" s="68"/>
      <c r="T1426" s="68"/>
      <c r="U1426" s="68"/>
      <c r="V1426" s="68"/>
      <c r="W1426" s="68"/>
      <c r="X1426" s="68"/>
      <c r="Y1426" s="68"/>
      <c r="Z1426" s="68"/>
      <c r="AA1426" s="68"/>
      <c r="AB1426" s="68"/>
      <c r="AC1426" s="68"/>
      <c r="AD1426" s="68"/>
      <c r="AE1426" s="68"/>
    </row>
    <row r="1427" ht="26.25" customHeight="1">
      <c r="A1427" s="68"/>
      <c r="B1427" s="68"/>
      <c r="C1427" s="61" t="s">
        <v>129</v>
      </c>
      <c r="D1427" s="61" t="s">
        <v>130</v>
      </c>
      <c r="E1427" s="68"/>
      <c r="F1427" s="68"/>
      <c r="G1427" s="68"/>
      <c r="H1427" s="68"/>
      <c r="I1427" s="68"/>
      <c r="J1427" s="78"/>
      <c r="K1427" s="68"/>
      <c r="L1427" s="68"/>
      <c r="M1427" s="68"/>
      <c r="N1427" s="68"/>
      <c r="O1427" s="68"/>
      <c r="P1427" s="68"/>
      <c r="Q1427" s="68"/>
      <c r="R1427" s="68"/>
      <c r="S1427" s="68"/>
      <c r="T1427" s="68"/>
      <c r="U1427" s="68"/>
      <c r="V1427" s="68"/>
      <c r="W1427" s="68"/>
      <c r="X1427" s="68"/>
      <c r="Y1427" s="68"/>
      <c r="Z1427" s="68"/>
      <c r="AA1427" s="68"/>
      <c r="AB1427" s="68"/>
      <c r="AC1427" s="68"/>
      <c r="AD1427" s="68"/>
      <c r="AE1427" s="68"/>
    </row>
    <row r="1428" ht="26.25" customHeight="1">
      <c r="A1428" s="68"/>
      <c r="B1428" s="68"/>
      <c r="C1428" s="61" t="s">
        <v>129</v>
      </c>
      <c r="D1428" s="61" t="s">
        <v>130</v>
      </c>
      <c r="E1428" s="68"/>
      <c r="F1428" s="68"/>
      <c r="G1428" s="68"/>
      <c r="H1428" s="68"/>
      <c r="I1428" s="68"/>
      <c r="J1428" s="78"/>
      <c r="K1428" s="68"/>
      <c r="L1428" s="68"/>
      <c r="M1428" s="68"/>
      <c r="N1428" s="68"/>
      <c r="O1428" s="68"/>
      <c r="P1428" s="68"/>
      <c r="Q1428" s="68"/>
      <c r="R1428" s="68"/>
      <c r="S1428" s="68"/>
      <c r="T1428" s="68"/>
      <c r="U1428" s="68"/>
      <c r="V1428" s="68"/>
      <c r="W1428" s="68"/>
      <c r="X1428" s="68"/>
      <c r="Y1428" s="68"/>
      <c r="Z1428" s="68"/>
      <c r="AA1428" s="68"/>
      <c r="AB1428" s="68"/>
      <c r="AC1428" s="68"/>
      <c r="AD1428" s="68"/>
      <c r="AE1428" s="68"/>
    </row>
    <row r="1429" ht="26.25" customHeight="1">
      <c r="A1429" s="68"/>
      <c r="B1429" s="68"/>
      <c r="C1429" s="61" t="s">
        <v>129</v>
      </c>
      <c r="D1429" s="61" t="s">
        <v>130</v>
      </c>
      <c r="E1429" s="68"/>
      <c r="F1429" s="68"/>
      <c r="G1429" s="68"/>
      <c r="H1429" s="68"/>
      <c r="I1429" s="68"/>
      <c r="J1429" s="78"/>
      <c r="K1429" s="68"/>
      <c r="L1429" s="68"/>
      <c r="M1429" s="68"/>
      <c r="N1429" s="68"/>
      <c r="O1429" s="68"/>
      <c r="P1429" s="68"/>
      <c r="Q1429" s="68"/>
      <c r="R1429" s="68"/>
      <c r="S1429" s="68"/>
      <c r="T1429" s="68"/>
      <c r="U1429" s="68"/>
      <c r="V1429" s="68"/>
      <c r="W1429" s="68"/>
      <c r="X1429" s="68"/>
      <c r="Y1429" s="68"/>
      <c r="Z1429" s="68"/>
      <c r="AA1429" s="68"/>
      <c r="AB1429" s="68"/>
      <c r="AC1429" s="68"/>
      <c r="AD1429" s="68"/>
      <c r="AE1429" s="68"/>
    </row>
    <row r="1430" ht="26.25" customHeight="1">
      <c r="A1430" s="68"/>
      <c r="B1430" s="68"/>
      <c r="C1430" s="61" t="s">
        <v>129</v>
      </c>
      <c r="D1430" s="61" t="s">
        <v>130</v>
      </c>
      <c r="E1430" s="68"/>
      <c r="F1430" s="68"/>
      <c r="G1430" s="68"/>
      <c r="H1430" s="68"/>
      <c r="I1430" s="68"/>
      <c r="J1430" s="78"/>
      <c r="K1430" s="68"/>
      <c r="L1430" s="68"/>
      <c r="M1430" s="68"/>
      <c r="N1430" s="68"/>
      <c r="O1430" s="68"/>
      <c r="P1430" s="68"/>
      <c r="Q1430" s="68"/>
      <c r="R1430" s="68"/>
      <c r="S1430" s="68"/>
      <c r="T1430" s="68"/>
      <c r="U1430" s="68"/>
      <c r="V1430" s="68"/>
      <c r="W1430" s="68"/>
      <c r="X1430" s="68"/>
      <c r="Y1430" s="68"/>
      <c r="Z1430" s="68"/>
      <c r="AA1430" s="68"/>
      <c r="AB1430" s="68"/>
      <c r="AC1430" s="68"/>
      <c r="AD1430" s="68"/>
      <c r="AE1430" s="68"/>
    </row>
    <row r="1431" ht="26.25" customHeight="1">
      <c r="A1431" s="68"/>
      <c r="B1431" s="68"/>
      <c r="C1431" s="61" t="s">
        <v>129</v>
      </c>
      <c r="D1431" s="61" t="s">
        <v>130</v>
      </c>
      <c r="E1431" s="68"/>
      <c r="F1431" s="68"/>
      <c r="G1431" s="68"/>
      <c r="H1431" s="68"/>
      <c r="I1431" s="68"/>
      <c r="J1431" s="78"/>
      <c r="K1431" s="68"/>
      <c r="L1431" s="68"/>
      <c r="M1431" s="68"/>
      <c r="N1431" s="68"/>
      <c r="O1431" s="68"/>
      <c r="P1431" s="68"/>
      <c r="Q1431" s="68"/>
      <c r="R1431" s="68"/>
      <c r="S1431" s="68"/>
      <c r="T1431" s="68"/>
      <c r="U1431" s="68"/>
      <c r="V1431" s="68"/>
      <c r="W1431" s="68"/>
      <c r="X1431" s="68"/>
      <c r="Y1431" s="68"/>
      <c r="Z1431" s="68"/>
      <c r="AA1431" s="68"/>
      <c r="AB1431" s="68"/>
      <c r="AC1431" s="68"/>
      <c r="AD1431" s="68"/>
      <c r="AE1431" s="68"/>
    </row>
    <row r="1432" ht="26.25" customHeight="1">
      <c r="A1432" s="68"/>
      <c r="B1432" s="68"/>
      <c r="C1432" s="61" t="s">
        <v>129</v>
      </c>
      <c r="D1432" s="61" t="s">
        <v>130</v>
      </c>
      <c r="E1432" s="68"/>
      <c r="F1432" s="68"/>
      <c r="G1432" s="68"/>
      <c r="H1432" s="68"/>
      <c r="I1432" s="68"/>
      <c r="J1432" s="78"/>
      <c r="K1432" s="68"/>
      <c r="L1432" s="68"/>
      <c r="M1432" s="68"/>
      <c r="N1432" s="68"/>
      <c r="O1432" s="68"/>
      <c r="P1432" s="68"/>
      <c r="Q1432" s="68"/>
      <c r="R1432" s="68"/>
      <c r="S1432" s="68"/>
      <c r="T1432" s="68"/>
      <c r="U1432" s="68"/>
      <c r="V1432" s="68"/>
      <c r="W1432" s="68"/>
      <c r="X1432" s="68"/>
      <c r="Y1432" s="68"/>
      <c r="Z1432" s="68"/>
      <c r="AA1432" s="68"/>
      <c r="AB1432" s="68"/>
      <c r="AC1432" s="68"/>
      <c r="AD1432" s="68"/>
      <c r="AE1432" s="68"/>
    </row>
    <row r="1433" ht="26.25" customHeight="1">
      <c r="A1433" s="68"/>
      <c r="B1433" s="68"/>
      <c r="C1433" s="61" t="s">
        <v>129</v>
      </c>
      <c r="D1433" s="61" t="s">
        <v>130</v>
      </c>
      <c r="E1433" s="68"/>
      <c r="F1433" s="68"/>
      <c r="G1433" s="68"/>
      <c r="H1433" s="68"/>
      <c r="I1433" s="68"/>
      <c r="J1433" s="78"/>
      <c r="K1433" s="68"/>
      <c r="L1433" s="68"/>
      <c r="M1433" s="68"/>
      <c r="N1433" s="68"/>
      <c r="O1433" s="68"/>
      <c r="P1433" s="68"/>
      <c r="Q1433" s="68"/>
      <c r="R1433" s="68"/>
      <c r="S1433" s="68"/>
      <c r="T1433" s="68"/>
      <c r="U1433" s="68"/>
      <c r="V1433" s="68"/>
      <c r="W1433" s="68"/>
      <c r="X1433" s="68"/>
      <c r="Y1433" s="68"/>
      <c r="Z1433" s="68"/>
      <c r="AA1433" s="68"/>
      <c r="AB1433" s="68"/>
      <c r="AC1433" s="68"/>
      <c r="AD1433" s="68"/>
      <c r="AE1433" s="68"/>
    </row>
    <row r="1434" ht="26.25" customHeight="1">
      <c r="A1434" s="68"/>
      <c r="B1434" s="68"/>
      <c r="C1434" s="61" t="s">
        <v>129</v>
      </c>
      <c r="D1434" s="61" t="s">
        <v>130</v>
      </c>
      <c r="E1434" s="68"/>
      <c r="F1434" s="68"/>
      <c r="G1434" s="68"/>
      <c r="H1434" s="68"/>
      <c r="I1434" s="68"/>
      <c r="J1434" s="78"/>
      <c r="K1434" s="68"/>
      <c r="L1434" s="68"/>
      <c r="M1434" s="68"/>
      <c r="N1434" s="68"/>
      <c r="O1434" s="68"/>
      <c r="P1434" s="68"/>
      <c r="Q1434" s="68"/>
      <c r="R1434" s="68"/>
      <c r="S1434" s="68"/>
      <c r="T1434" s="68"/>
      <c r="U1434" s="68"/>
      <c r="V1434" s="68"/>
      <c r="W1434" s="68"/>
      <c r="X1434" s="68"/>
      <c r="Y1434" s="68"/>
      <c r="Z1434" s="68"/>
      <c r="AA1434" s="68"/>
      <c r="AB1434" s="68"/>
      <c r="AC1434" s="68"/>
      <c r="AD1434" s="68"/>
      <c r="AE1434" s="68"/>
    </row>
    <row r="1435" ht="26.25" customHeight="1">
      <c r="A1435" s="68"/>
      <c r="B1435" s="68"/>
      <c r="C1435" s="61" t="s">
        <v>129</v>
      </c>
      <c r="D1435" s="61" t="s">
        <v>130</v>
      </c>
      <c r="E1435" s="68"/>
      <c r="F1435" s="68"/>
      <c r="G1435" s="68"/>
      <c r="H1435" s="68"/>
      <c r="I1435" s="68"/>
      <c r="J1435" s="78"/>
      <c r="K1435" s="68"/>
      <c r="L1435" s="68"/>
      <c r="M1435" s="68"/>
      <c r="N1435" s="68"/>
      <c r="O1435" s="68"/>
      <c r="P1435" s="68"/>
      <c r="Q1435" s="68"/>
      <c r="R1435" s="68"/>
      <c r="S1435" s="68"/>
      <c r="T1435" s="68"/>
      <c r="U1435" s="68"/>
      <c r="V1435" s="68"/>
      <c r="W1435" s="68"/>
      <c r="X1435" s="68"/>
      <c r="Y1435" s="68"/>
      <c r="Z1435" s="68"/>
      <c r="AA1435" s="68"/>
      <c r="AB1435" s="68"/>
      <c r="AC1435" s="68"/>
      <c r="AD1435" s="68"/>
      <c r="AE1435" s="68"/>
    </row>
    <row r="1436" ht="26.25" customHeight="1">
      <c r="A1436" s="68"/>
      <c r="B1436" s="68"/>
      <c r="C1436" s="61" t="s">
        <v>129</v>
      </c>
      <c r="D1436" s="61" t="s">
        <v>130</v>
      </c>
      <c r="E1436" s="68"/>
      <c r="F1436" s="68"/>
      <c r="G1436" s="68"/>
      <c r="H1436" s="68"/>
      <c r="I1436" s="68"/>
      <c r="J1436" s="78"/>
      <c r="K1436" s="68"/>
      <c r="L1436" s="68"/>
      <c r="M1436" s="68"/>
      <c r="N1436" s="68"/>
      <c r="O1436" s="68"/>
      <c r="P1436" s="68"/>
      <c r="Q1436" s="68"/>
      <c r="R1436" s="68"/>
      <c r="S1436" s="68"/>
      <c r="T1436" s="68"/>
      <c r="U1436" s="68"/>
      <c r="V1436" s="68"/>
      <c r="W1436" s="68"/>
      <c r="X1436" s="68"/>
      <c r="Y1436" s="68"/>
      <c r="Z1436" s="68"/>
      <c r="AA1436" s="68"/>
      <c r="AB1436" s="68"/>
      <c r="AC1436" s="68"/>
      <c r="AD1436" s="68"/>
      <c r="AE1436" s="68"/>
    </row>
    <row r="1437" ht="26.25" customHeight="1">
      <c r="A1437" s="68"/>
      <c r="B1437" s="68"/>
      <c r="C1437" s="61" t="s">
        <v>129</v>
      </c>
      <c r="D1437" s="61" t="s">
        <v>130</v>
      </c>
      <c r="E1437" s="68"/>
      <c r="F1437" s="68"/>
      <c r="G1437" s="68"/>
      <c r="H1437" s="68"/>
      <c r="I1437" s="68"/>
      <c r="J1437" s="78"/>
      <c r="K1437" s="68"/>
      <c r="L1437" s="68"/>
      <c r="M1437" s="68"/>
      <c r="N1437" s="68"/>
      <c r="O1437" s="68"/>
      <c r="P1437" s="68"/>
      <c r="Q1437" s="68"/>
      <c r="R1437" s="68"/>
      <c r="S1437" s="68"/>
      <c r="T1437" s="68"/>
      <c r="U1437" s="68"/>
      <c r="V1437" s="68"/>
      <c r="W1437" s="68"/>
      <c r="X1437" s="68"/>
      <c r="Y1437" s="68"/>
      <c r="Z1437" s="68"/>
      <c r="AA1437" s="68"/>
      <c r="AB1437" s="68"/>
      <c r="AC1437" s="68"/>
      <c r="AD1437" s="68"/>
      <c r="AE1437" s="68"/>
    </row>
    <row r="1438" ht="26.25" customHeight="1">
      <c r="A1438" s="68"/>
      <c r="B1438" s="68"/>
      <c r="C1438" s="61" t="s">
        <v>129</v>
      </c>
      <c r="D1438" s="61" t="s">
        <v>130</v>
      </c>
      <c r="E1438" s="68"/>
      <c r="F1438" s="68"/>
      <c r="G1438" s="68"/>
      <c r="H1438" s="68"/>
      <c r="I1438" s="68"/>
      <c r="J1438" s="78"/>
      <c r="K1438" s="68"/>
      <c r="L1438" s="68"/>
      <c r="M1438" s="68"/>
      <c r="N1438" s="68"/>
      <c r="O1438" s="68"/>
      <c r="P1438" s="68"/>
      <c r="Q1438" s="68"/>
      <c r="R1438" s="68"/>
      <c r="S1438" s="68"/>
      <c r="T1438" s="68"/>
      <c r="U1438" s="68"/>
      <c r="V1438" s="68"/>
      <c r="W1438" s="68"/>
      <c r="X1438" s="68"/>
      <c r="Y1438" s="68"/>
      <c r="Z1438" s="68"/>
      <c r="AA1438" s="68"/>
      <c r="AB1438" s="68"/>
      <c r="AC1438" s="68"/>
      <c r="AD1438" s="68"/>
      <c r="AE1438" s="68"/>
    </row>
    <row r="1439" ht="26.25" customHeight="1">
      <c r="A1439" s="68"/>
      <c r="B1439" s="68"/>
      <c r="C1439" s="61" t="s">
        <v>129</v>
      </c>
      <c r="D1439" s="61" t="s">
        <v>130</v>
      </c>
      <c r="E1439" s="68"/>
      <c r="F1439" s="68"/>
      <c r="G1439" s="68"/>
      <c r="H1439" s="68"/>
      <c r="I1439" s="68"/>
      <c r="J1439" s="78"/>
      <c r="K1439" s="68"/>
      <c r="L1439" s="68"/>
      <c r="M1439" s="68"/>
      <c r="N1439" s="68"/>
      <c r="O1439" s="68"/>
      <c r="P1439" s="68"/>
      <c r="Q1439" s="68"/>
      <c r="R1439" s="68"/>
      <c r="S1439" s="68"/>
      <c r="T1439" s="68"/>
      <c r="U1439" s="68"/>
      <c r="V1439" s="68"/>
      <c r="W1439" s="68"/>
      <c r="X1439" s="68"/>
      <c r="Y1439" s="68"/>
      <c r="Z1439" s="68"/>
      <c r="AA1439" s="68"/>
      <c r="AB1439" s="68"/>
      <c r="AC1439" s="68"/>
      <c r="AD1439" s="68"/>
      <c r="AE1439" s="68"/>
    </row>
    <row r="1440" ht="26.25" customHeight="1">
      <c r="A1440" s="68"/>
      <c r="B1440" s="68"/>
      <c r="C1440" s="61" t="s">
        <v>129</v>
      </c>
      <c r="D1440" s="61" t="s">
        <v>130</v>
      </c>
      <c r="E1440" s="68"/>
      <c r="F1440" s="68"/>
      <c r="G1440" s="68"/>
      <c r="H1440" s="68"/>
      <c r="I1440" s="68"/>
      <c r="J1440" s="78"/>
      <c r="K1440" s="68"/>
      <c r="L1440" s="68"/>
      <c r="M1440" s="68"/>
      <c r="N1440" s="68"/>
      <c r="O1440" s="68"/>
      <c r="P1440" s="68"/>
      <c r="Q1440" s="68"/>
      <c r="R1440" s="68"/>
      <c r="S1440" s="68"/>
      <c r="T1440" s="68"/>
      <c r="U1440" s="68"/>
      <c r="V1440" s="68"/>
      <c r="W1440" s="68"/>
      <c r="X1440" s="68"/>
      <c r="Y1440" s="68"/>
      <c r="Z1440" s="68"/>
      <c r="AA1440" s="68"/>
      <c r="AB1440" s="68"/>
      <c r="AC1440" s="68"/>
      <c r="AD1440" s="68"/>
      <c r="AE1440" s="68"/>
    </row>
    <row r="1441" ht="26.25" customHeight="1">
      <c r="A1441" s="68"/>
      <c r="B1441" s="68"/>
      <c r="C1441" s="61" t="s">
        <v>129</v>
      </c>
      <c r="D1441" s="61" t="s">
        <v>130</v>
      </c>
      <c r="E1441" s="68"/>
      <c r="F1441" s="68"/>
      <c r="G1441" s="68"/>
      <c r="H1441" s="68"/>
      <c r="I1441" s="68"/>
      <c r="J1441" s="78"/>
      <c r="K1441" s="68"/>
      <c r="L1441" s="68"/>
      <c r="M1441" s="68"/>
      <c r="N1441" s="68"/>
      <c r="O1441" s="68"/>
      <c r="P1441" s="68"/>
      <c r="Q1441" s="68"/>
      <c r="R1441" s="68"/>
      <c r="S1441" s="68"/>
      <c r="T1441" s="68"/>
      <c r="U1441" s="68"/>
      <c r="V1441" s="68"/>
      <c r="W1441" s="68"/>
      <c r="X1441" s="68"/>
      <c r="Y1441" s="68"/>
      <c r="Z1441" s="68"/>
      <c r="AA1441" s="68"/>
      <c r="AB1441" s="68"/>
      <c r="AC1441" s="68"/>
      <c r="AD1441" s="68"/>
      <c r="AE1441" s="68"/>
    </row>
    <row r="1442" ht="26.25" customHeight="1">
      <c r="A1442" s="68"/>
      <c r="B1442" s="68"/>
      <c r="C1442" s="61" t="s">
        <v>129</v>
      </c>
      <c r="D1442" s="61" t="s">
        <v>130</v>
      </c>
      <c r="E1442" s="68"/>
      <c r="F1442" s="68"/>
      <c r="G1442" s="68"/>
      <c r="H1442" s="68"/>
      <c r="I1442" s="68"/>
      <c r="J1442" s="78"/>
      <c r="K1442" s="68"/>
      <c r="L1442" s="68"/>
      <c r="M1442" s="68"/>
      <c r="N1442" s="68"/>
      <c r="O1442" s="68"/>
      <c r="P1442" s="68"/>
      <c r="Q1442" s="68"/>
      <c r="R1442" s="68"/>
      <c r="S1442" s="68"/>
      <c r="T1442" s="68"/>
      <c r="U1442" s="68"/>
      <c r="V1442" s="68"/>
      <c r="W1442" s="68"/>
      <c r="X1442" s="68"/>
      <c r="Y1442" s="68"/>
      <c r="Z1442" s="68"/>
      <c r="AA1442" s="68"/>
      <c r="AB1442" s="68"/>
      <c r="AC1442" s="68"/>
      <c r="AD1442" s="68"/>
      <c r="AE1442" s="68"/>
    </row>
    <row r="1443" ht="26.25" customHeight="1">
      <c r="A1443" s="68"/>
      <c r="B1443" s="68"/>
      <c r="C1443" s="61" t="s">
        <v>129</v>
      </c>
      <c r="D1443" s="61" t="s">
        <v>130</v>
      </c>
      <c r="E1443" s="68"/>
      <c r="F1443" s="68"/>
      <c r="G1443" s="68"/>
      <c r="H1443" s="68"/>
      <c r="I1443" s="68"/>
      <c r="J1443" s="78"/>
      <c r="K1443" s="68"/>
      <c r="L1443" s="68"/>
      <c r="M1443" s="68"/>
      <c r="N1443" s="68"/>
      <c r="O1443" s="68"/>
      <c r="P1443" s="68"/>
      <c r="Q1443" s="68"/>
      <c r="R1443" s="68"/>
      <c r="S1443" s="68"/>
      <c r="T1443" s="68"/>
      <c r="U1443" s="68"/>
      <c r="V1443" s="68"/>
      <c r="W1443" s="68"/>
      <c r="X1443" s="68"/>
      <c r="Y1443" s="68"/>
      <c r="Z1443" s="68"/>
      <c r="AA1443" s="68"/>
      <c r="AB1443" s="68"/>
      <c r="AC1443" s="68"/>
      <c r="AD1443" s="68"/>
      <c r="AE1443" s="68"/>
    </row>
    <row r="1444" ht="26.25" customHeight="1">
      <c r="A1444" s="68"/>
      <c r="B1444" s="68"/>
      <c r="C1444" s="61" t="s">
        <v>129</v>
      </c>
      <c r="D1444" s="61" t="s">
        <v>130</v>
      </c>
      <c r="E1444" s="68"/>
      <c r="F1444" s="68"/>
      <c r="G1444" s="68"/>
      <c r="H1444" s="68"/>
      <c r="I1444" s="68"/>
      <c r="J1444" s="78"/>
      <c r="K1444" s="68"/>
      <c r="L1444" s="68"/>
      <c r="M1444" s="68"/>
      <c r="N1444" s="68"/>
      <c r="O1444" s="68"/>
      <c r="P1444" s="68"/>
      <c r="Q1444" s="68"/>
      <c r="R1444" s="68"/>
      <c r="S1444" s="68"/>
      <c r="T1444" s="68"/>
      <c r="U1444" s="68"/>
      <c r="V1444" s="68"/>
      <c r="W1444" s="68"/>
      <c r="X1444" s="68"/>
      <c r="Y1444" s="68"/>
      <c r="Z1444" s="68"/>
      <c r="AA1444" s="68"/>
      <c r="AB1444" s="68"/>
      <c r="AC1444" s="68"/>
      <c r="AD1444" s="68"/>
      <c r="AE1444" s="68"/>
    </row>
    <row r="1445" ht="26.25" customHeight="1">
      <c r="A1445" s="68"/>
      <c r="B1445" s="68"/>
      <c r="C1445" s="61" t="s">
        <v>129</v>
      </c>
      <c r="D1445" s="61" t="s">
        <v>130</v>
      </c>
      <c r="E1445" s="68"/>
      <c r="F1445" s="68"/>
      <c r="G1445" s="68"/>
      <c r="H1445" s="68"/>
      <c r="I1445" s="68"/>
      <c r="J1445" s="78"/>
      <c r="K1445" s="68"/>
      <c r="L1445" s="68"/>
      <c r="M1445" s="68"/>
      <c r="N1445" s="68"/>
      <c r="O1445" s="68"/>
      <c r="P1445" s="68"/>
      <c r="Q1445" s="68"/>
      <c r="R1445" s="68"/>
      <c r="S1445" s="68"/>
      <c r="T1445" s="68"/>
      <c r="U1445" s="68"/>
      <c r="V1445" s="68"/>
      <c r="W1445" s="68"/>
      <c r="X1445" s="68"/>
      <c r="Y1445" s="68"/>
      <c r="Z1445" s="68"/>
      <c r="AA1445" s="68"/>
      <c r="AB1445" s="68"/>
      <c r="AC1445" s="68"/>
      <c r="AD1445" s="68"/>
      <c r="AE1445" s="68"/>
    </row>
    <row r="1446" ht="26.25" customHeight="1">
      <c r="A1446" s="68"/>
      <c r="B1446" s="68"/>
      <c r="C1446" s="61" t="s">
        <v>129</v>
      </c>
      <c r="D1446" s="61" t="s">
        <v>130</v>
      </c>
      <c r="E1446" s="68"/>
      <c r="F1446" s="68"/>
      <c r="G1446" s="68"/>
      <c r="H1446" s="68"/>
      <c r="I1446" s="68"/>
      <c r="J1446" s="78"/>
      <c r="K1446" s="68"/>
      <c r="L1446" s="68"/>
      <c r="M1446" s="68"/>
      <c r="N1446" s="68"/>
      <c r="O1446" s="68"/>
      <c r="P1446" s="68"/>
      <c r="Q1446" s="68"/>
      <c r="R1446" s="68"/>
      <c r="S1446" s="68"/>
      <c r="T1446" s="68"/>
      <c r="U1446" s="68"/>
      <c r="V1446" s="68"/>
      <c r="W1446" s="68"/>
      <c r="X1446" s="68"/>
      <c r="Y1446" s="68"/>
      <c r="Z1446" s="68"/>
      <c r="AA1446" s="68"/>
      <c r="AB1446" s="68"/>
      <c r="AC1446" s="68"/>
      <c r="AD1446" s="68"/>
      <c r="AE1446" s="68"/>
    </row>
    <row r="1447" ht="26.25" customHeight="1">
      <c r="A1447" s="68"/>
      <c r="B1447" s="68"/>
      <c r="C1447" s="61" t="s">
        <v>129</v>
      </c>
      <c r="D1447" s="61" t="s">
        <v>130</v>
      </c>
      <c r="E1447" s="68"/>
      <c r="F1447" s="68"/>
      <c r="G1447" s="68"/>
      <c r="H1447" s="68"/>
      <c r="I1447" s="68"/>
      <c r="J1447" s="78"/>
      <c r="K1447" s="68"/>
      <c r="L1447" s="68"/>
      <c r="M1447" s="68"/>
      <c r="N1447" s="68"/>
      <c r="O1447" s="68"/>
      <c r="P1447" s="68"/>
      <c r="Q1447" s="68"/>
      <c r="R1447" s="68"/>
      <c r="S1447" s="68"/>
      <c r="T1447" s="68"/>
      <c r="U1447" s="68"/>
      <c r="V1447" s="68"/>
      <c r="W1447" s="68"/>
      <c r="X1447" s="68"/>
      <c r="Y1447" s="68"/>
      <c r="Z1447" s="68"/>
      <c r="AA1447" s="68"/>
      <c r="AB1447" s="68"/>
      <c r="AC1447" s="68"/>
      <c r="AD1447" s="68"/>
      <c r="AE1447" s="68"/>
    </row>
    <row r="1448" ht="26.25" customHeight="1">
      <c r="A1448" s="68"/>
      <c r="B1448" s="68"/>
      <c r="C1448" s="61" t="s">
        <v>129</v>
      </c>
      <c r="D1448" s="61" t="s">
        <v>130</v>
      </c>
      <c r="E1448" s="68"/>
      <c r="F1448" s="68"/>
      <c r="G1448" s="68"/>
      <c r="H1448" s="68"/>
      <c r="I1448" s="68"/>
      <c r="J1448" s="78"/>
      <c r="K1448" s="68"/>
      <c r="L1448" s="68"/>
      <c r="M1448" s="68"/>
      <c r="N1448" s="68"/>
      <c r="O1448" s="68"/>
      <c r="P1448" s="68"/>
      <c r="Q1448" s="68"/>
      <c r="R1448" s="68"/>
      <c r="S1448" s="68"/>
      <c r="T1448" s="68"/>
      <c r="U1448" s="68"/>
      <c r="V1448" s="68"/>
      <c r="W1448" s="68"/>
      <c r="X1448" s="68"/>
      <c r="Y1448" s="68"/>
      <c r="Z1448" s="68"/>
      <c r="AA1448" s="68"/>
      <c r="AB1448" s="68"/>
      <c r="AC1448" s="68"/>
      <c r="AD1448" s="68"/>
      <c r="AE1448" s="68"/>
    </row>
    <row r="1449" ht="26.25" customHeight="1">
      <c r="A1449" s="68"/>
      <c r="B1449" s="68"/>
      <c r="C1449" s="61" t="s">
        <v>129</v>
      </c>
      <c r="D1449" s="61" t="s">
        <v>130</v>
      </c>
      <c r="E1449" s="68"/>
      <c r="F1449" s="68"/>
      <c r="G1449" s="68"/>
      <c r="H1449" s="68"/>
      <c r="I1449" s="68"/>
      <c r="J1449" s="78"/>
      <c r="K1449" s="68"/>
      <c r="L1449" s="68"/>
      <c r="M1449" s="68"/>
      <c r="N1449" s="68"/>
      <c r="O1449" s="68"/>
      <c r="P1449" s="68"/>
      <c r="Q1449" s="68"/>
      <c r="R1449" s="68"/>
      <c r="S1449" s="68"/>
      <c r="T1449" s="68"/>
      <c r="U1449" s="68"/>
      <c r="V1449" s="68"/>
      <c r="W1449" s="68"/>
      <c r="X1449" s="68"/>
      <c r="Y1449" s="68"/>
      <c r="Z1449" s="68"/>
      <c r="AA1449" s="68"/>
      <c r="AB1449" s="68"/>
      <c r="AC1449" s="68"/>
      <c r="AD1449" s="68"/>
      <c r="AE1449" s="68"/>
    </row>
    <row r="1450" ht="26.25" customHeight="1">
      <c r="A1450" s="68"/>
      <c r="B1450" s="68"/>
      <c r="C1450" s="61" t="s">
        <v>129</v>
      </c>
      <c r="D1450" s="61" t="s">
        <v>130</v>
      </c>
      <c r="E1450" s="68"/>
      <c r="F1450" s="68"/>
      <c r="G1450" s="68"/>
      <c r="H1450" s="68"/>
      <c r="I1450" s="68"/>
      <c r="J1450" s="78"/>
      <c r="K1450" s="68"/>
      <c r="L1450" s="68"/>
      <c r="M1450" s="68"/>
      <c r="N1450" s="68"/>
      <c r="O1450" s="68"/>
      <c r="P1450" s="68"/>
      <c r="Q1450" s="68"/>
      <c r="R1450" s="68"/>
      <c r="S1450" s="68"/>
      <c r="T1450" s="68"/>
      <c r="U1450" s="68"/>
      <c r="V1450" s="68"/>
      <c r="W1450" s="68"/>
      <c r="X1450" s="68"/>
      <c r="Y1450" s="68"/>
      <c r="Z1450" s="68"/>
      <c r="AA1450" s="68"/>
      <c r="AB1450" s="68"/>
      <c r="AC1450" s="68"/>
      <c r="AD1450" s="68"/>
      <c r="AE1450" s="68"/>
    </row>
    <row r="1451" ht="26.25" customHeight="1">
      <c r="A1451" s="68"/>
      <c r="B1451" s="68"/>
      <c r="C1451" s="61" t="s">
        <v>129</v>
      </c>
      <c r="D1451" s="61" t="s">
        <v>130</v>
      </c>
      <c r="E1451" s="68"/>
      <c r="F1451" s="68"/>
      <c r="G1451" s="68"/>
      <c r="H1451" s="68"/>
      <c r="I1451" s="68"/>
      <c r="J1451" s="78"/>
      <c r="K1451" s="68"/>
      <c r="L1451" s="68"/>
      <c r="M1451" s="68"/>
      <c r="N1451" s="68"/>
      <c r="O1451" s="68"/>
      <c r="P1451" s="68"/>
      <c r="Q1451" s="68"/>
      <c r="R1451" s="68"/>
      <c r="S1451" s="68"/>
      <c r="T1451" s="68"/>
      <c r="U1451" s="68"/>
      <c r="V1451" s="68"/>
      <c r="W1451" s="68"/>
      <c r="X1451" s="68"/>
      <c r="Y1451" s="68"/>
      <c r="Z1451" s="68"/>
      <c r="AA1451" s="68"/>
      <c r="AB1451" s="68"/>
      <c r="AC1451" s="68"/>
      <c r="AD1451" s="68"/>
      <c r="AE1451" s="68"/>
    </row>
    <row r="1452" ht="26.25" customHeight="1">
      <c r="A1452" s="68"/>
      <c r="B1452" s="68"/>
      <c r="C1452" s="61" t="s">
        <v>129</v>
      </c>
      <c r="D1452" s="61" t="s">
        <v>130</v>
      </c>
      <c r="E1452" s="68"/>
      <c r="F1452" s="68"/>
      <c r="G1452" s="68"/>
      <c r="H1452" s="68"/>
      <c r="I1452" s="68"/>
      <c r="J1452" s="78"/>
      <c r="K1452" s="68"/>
      <c r="L1452" s="68"/>
      <c r="M1452" s="68"/>
      <c r="N1452" s="68"/>
      <c r="O1452" s="68"/>
      <c r="P1452" s="68"/>
      <c r="Q1452" s="68"/>
      <c r="R1452" s="68"/>
      <c r="S1452" s="68"/>
      <c r="T1452" s="68"/>
      <c r="U1452" s="68"/>
      <c r="V1452" s="68"/>
      <c r="W1452" s="68"/>
      <c r="X1452" s="68"/>
      <c r="Y1452" s="68"/>
      <c r="Z1452" s="68"/>
      <c r="AA1452" s="68"/>
      <c r="AB1452" s="68"/>
      <c r="AC1452" s="68"/>
      <c r="AD1452" s="68"/>
      <c r="AE1452" s="68"/>
    </row>
    <row r="1453" ht="26.25" customHeight="1">
      <c r="A1453" s="68"/>
      <c r="B1453" s="68"/>
      <c r="C1453" s="61" t="s">
        <v>129</v>
      </c>
      <c r="D1453" s="61" t="s">
        <v>130</v>
      </c>
      <c r="E1453" s="68"/>
      <c r="F1453" s="68"/>
      <c r="G1453" s="68"/>
      <c r="H1453" s="68"/>
      <c r="I1453" s="68"/>
      <c r="J1453" s="78"/>
      <c r="K1453" s="68"/>
      <c r="L1453" s="68"/>
      <c r="M1453" s="68"/>
      <c r="N1453" s="68"/>
      <c r="O1453" s="68"/>
      <c r="P1453" s="68"/>
      <c r="Q1453" s="68"/>
      <c r="R1453" s="68"/>
      <c r="S1453" s="68"/>
      <c r="T1453" s="68"/>
      <c r="U1453" s="68"/>
      <c r="V1453" s="68"/>
      <c r="W1453" s="68"/>
      <c r="X1453" s="68"/>
      <c r="Y1453" s="68"/>
      <c r="Z1453" s="68"/>
      <c r="AA1453" s="68"/>
      <c r="AB1453" s="68"/>
      <c r="AC1453" s="68"/>
      <c r="AD1453" s="68"/>
      <c r="AE1453" s="68"/>
    </row>
    <row r="1454" ht="26.25" customHeight="1">
      <c r="A1454" s="68"/>
      <c r="B1454" s="68"/>
      <c r="C1454" s="61" t="s">
        <v>129</v>
      </c>
      <c r="D1454" s="61" t="s">
        <v>130</v>
      </c>
      <c r="E1454" s="68"/>
      <c r="F1454" s="68"/>
      <c r="G1454" s="68"/>
      <c r="H1454" s="68"/>
      <c r="I1454" s="68"/>
      <c r="J1454" s="78"/>
      <c r="K1454" s="68"/>
      <c r="L1454" s="68"/>
      <c r="M1454" s="68"/>
      <c r="N1454" s="68"/>
      <c r="O1454" s="68"/>
      <c r="P1454" s="68"/>
      <c r="Q1454" s="68"/>
      <c r="R1454" s="68"/>
      <c r="S1454" s="68"/>
      <c r="T1454" s="68"/>
      <c r="U1454" s="68"/>
      <c r="V1454" s="68"/>
      <c r="W1454" s="68"/>
      <c r="X1454" s="68"/>
      <c r="Y1454" s="68"/>
      <c r="Z1454" s="68"/>
      <c r="AA1454" s="68"/>
      <c r="AB1454" s="68"/>
      <c r="AC1454" s="68"/>
      <c r="AD1454" s="68"/>
      <c r="AE1454" s="68"/>
    </row>
    <row r="1455" ht="26.25" customHeight="1">
      <c r="A1455" s="68"/>
      <c r="B1455" s="68"/>
      <c r="C1455" s="61" t="s">
        <v>129</v>
      </c>
      <c r="D1455" s="61" t="s">
        <v>130</v>
      </c>
      <c r="E1455" s="68"/>
      <c r="F1455" s="68"/>
      <c r="G1455" s="68"/>
      <c r="H1455" s="68"/>
      <c r="I1455" s="68"/>
      <c r="J1455" s="78"/>
      <c r="K1455" s="68"/>
      <c r="L1455" s="68"/>
      <c r="M1455" s="68"/>
      <c r="N1455" s="68"/>
      <c r="O1455" s="68"/>
      <c r="P1455" s="68"/>
      <c r="Q1455" s="68"/>
      <c r="R1455" s="68"/>
      <c r="S1455" s="68"/>
      <c r="T1455" s="68"/>
      <c r="U1455" s="68"/>
      <c r="V1455" s="68"/>
      <c r="W1455" s="68"/>
      <c r="X1455" s="68"/>
      <c r="Y1455" s="68"/>
      <c r="Z1455" s="68"/>
      <c r="AA1455" s="68"/>
      <c r="AB1455" s="68"/>
      <c r="AC1455" s="68"/>
      <c r="AD1455" s="68"/>
      <c r="AE1455" s="68"/>
    </row>
    <row r="1456" ht="26.25" customHeight="1">
      <c r="A1456" s="68"/>
      <c r="B1456" s="68"/>
      <c r="C1456" s="61" t="s">
        <v>129</v>
      </c>
      <c r="D1456" s="61" t="s">
        <v>130</v>
      </c>
      <c r="E1456" s="68"/>
      <c r="F1456" s="68"/>
      <c r="G1456" s="68"/>
      <c r="H1456" s="68"/>
      <c r="I1456" s="68"/>
      <c r="J1456" s="78"/>
      <c r="K1456" s="68"/>
      <c r="L1456" s="68"/>
      <c r="M1456" s="68"/>
      <c r="N1456" s="68"/>
      <c r="O1456" s="68"/>
      <c r="P1456" s="68"/>
      <c r="Q1456" s="68"/>
      <c r="R1456" s="68"/>
      <c r="S1456" s="68"/>
      <c r="T1456" s="68"/>
      <c r="U1456" s="68"/>
      <c r="V1456" s="68"/>
      <c r="W1456" s="68"/>
      <c r="X1456" s="68"/>
      <c r="Y1456" s="68"/>
      <c r="Z1456" s="68"/>
      <c r="AA1456" s="68"/>
      <c r="AB1456" s="68"/>
      <c r="AC1456" s="68"/>
      <c r="AD1456" s="68"/>
      <c r="AE1456" s="68"/>
    </row>
    <row r="1457" ht="26.25" customHeight="1">
      <c r="A1457" s="68"/>
      <c r="B1457" s="68"/>
      <c r="C1457" s="61" t="s">
        <v>129</v>
      </c>
      <c r="D1457" s="61" t="s">
        <v>130</v>
      </c>
      <c r="E1457" s="68"/>
      <c r="F1457" s="68"/>
      <c r="G1457" s="68"/>
      <c r="H1457" s="68"/>
      <c r="I1457" s="68"/>
      <c r="J1457" s="78"/>
      <c r="K1457" s="68"/>
      <c r="L1457" s="68"/>
      <c r="M1457" s="68"/>
      <c r="N1457" s="68"/>
      <c r="O1457" s="68"/>
      <c r="P1457" s="68"/>
      <c r="Q1457" s="68"/>
      <c r="R1457" s="68"/>
      <c r="S1457" s="68"/>
      <c r="T1457" s="68"/>
      <c r="U1457" s="68"/>
      <c r="V1457" s="68"/>
      <c r="W1457" s="68"/>
      <c r="X1457" s="68"/>
      <c r="Y1457" s="68"/>
      <c r="Z1457" s="68"/>
      <c r="AA1457" s="68"/>
      <c r="AB1457" s="68"/>
      <c r="AC1457" s="68"/>
      <c r="AD1457" s="68"/>
      <c r="AE1457" s="68"/>
    </row>
    <row r="1458" ht="26.25" customHeight="1">
      <c r="A1458" s="68"/>
      <c r="B1458" s="68"/>
      <c r="C1458" s="61" t="s">
        <v>129</v>
      </c>
      <c r="D1458" s="61" t="s">
        <v>130</v>
      </c>
      <c r="E1458" s="68"/>
      <c r="F1458" s="68"/>
      <c r="G1458" s="68"/>
      <c r="H1458" s="68"/>
      <c r="I1458" s="68"/>
      <c r="J1458" s="78"/>
      <c r="K1458" s="68"/>
      <c r="L1458" s="68"/>
      <c r="M1458" s="68"/>
      <c r="N1458" s="68"/>
      <c r="O1458" s="68"/>
      <c r="P1458" s="68"/>
      <c r="Q1458" s="68"/>
      <c r="R1458" s="68"/>
      <c r="S1458" s="68"/>
      <c r="T1458" s="68"/>
      <c r="U1458" s="68"/>
      <c r="V1458" s="68"/>
      <c r="W1458" s="68"/>
      <c r="X1458" s="68"/>
      <c r="Y1458" s="68"/>
      <c r="Z1458" s="68"/>
      <c r="AA1458" s="68"/>
      <c r="AB1458" s="68"/>
      <c r="AC1458" s="68"/>
      <c r="AD1458" s="68"/>
      <c r="AE1458" s="68"/>
    </row>
    <row r="1459" ht="26.25" customHeight="1">
      <c r="A1459" s="68"/>
      <c r="B1459" s="68"/>
      <c r="C1459" s="61" t="s">
        <v>129</v>
      </c>
      <c r="D1459" s="61" t="s">
        <v>130</v>
      </c>
      <c r="E1459" s="68"/>
      <c r="F1459" s="68"/>
      <c r="G1459" s="68"/>
      <c r="H1459" s="68"/>
      <c r="I1459" s="68"/>
      <c r="J1459" s="78"/>
      <c r="K1459" s="68"/>
      <c r="L1459" s="68"/>
      <c r="M1459" s="68"/>
      <c r="N1459" s="68"/>
      <c r="O1459" s="68"/>
      <c r="P1459" s="68"/>
      <c r="Q1459" s="68"/>
      <c r="R1459" s="68"/>
      <c r="S1459" s="68"/>
      <c r="T1459" s="68"/>
      <c r="U1459" s="68"/>
      <c r="V1459" s="68"/>
      <c r="W1459" s="68"/>
      <c r="X1459" s="68"/>
      <c r="Y1459" s="68"/>
      <c r="Z1459" s="68"/>
      <c r="AA1459" s="68"/>
      <c r="AB1459" s="68"/>
      <c r="AC1459" s="68"/>
      <c r="AD1459" s="68"/>
      <c r="AE1459" s="68"/>
    </row>
    <row r="1460" ht="26.25" customHeight="1">
      <c r="A1460" s="68"/>
      <c r="B1460" s="68"/>
      <c r="C1460" s="61" t="s">
        <v>129</v>
      </c>
      <c r="D1460" s="61" t="s">
        <v>130</v>
      </c>
      <c r="E1460" s="68"/>
      <c r="F1460" s="68"/>
      <c r="G1460" s="68"/>
      <c r="H1460" s="68"/>
      <c r="I1460" s="68"/>
      <c r="J1460" s="78"/>
      <c r="K1460" s="68"/>
      <c r="L1460" s="68"/>
      <c r="M1460" s="68"/>
      <c r="N1460" s="68"/>
      <c r="O1460" s="68"/>
      <c r="P1460" s="68"/>
      <c r="Q1460" s="68"/>
      <c r="R1460" s="68"/>
      <c r="S1460" s="68"/>
      <c r="T1460" s="68"/>
      <c r="U1460" s="68"/>
      <c r="V1460" s="68"/>
      <c r="W1460" s="68"/>
      <c r="X1460" s="68"/>
      <c r="Y1460" s="68"/>
      <c r="Z1460" s="68"/>
      <c r="AA1460" s="68"/>
      <c r="AB1460" s="68"/>
      <c r="AC1460" s="68"/>
      <c r="AD1460" s="68"/>
      <c r="AE1460" s="68"/>
    </row>
    <row r="1461" ht="26.25" customHeight="1">
      <c r="A1461" s="68"/>
      <c r="B1461" s="68"/>
      <c r="C1461" s="61" t="s">
        <v>129</v>
      </c>
      <c r="D1461" s="61" t="s">
        <v>130</v>
      </c>
      <c r="E1461" s="68"/>
      <c r="F1461" s="68"/>
      <c r="G1461" s="68"/>
      <c r="H1461" s="68"/>
      <c r="I1461" s="68"/>
      <c r="J1461" s="78"/>
      <c r="K1461" s="68"/>
      <c r="L1461" s="68"/>
      <c r="M1461" s="68"/>
      <c r="N1461" s="68"/>
      <c r="O1461" s="68"/>
      <c r="P1461" s="68"/>
      <c r="Q1461" s="68"/>
      <c r="R1461" s="68"/>
      <c r="S1461" s="68"/>
      <c r="T1461" s="68"/>
      <c r="U1461" s="68"/>
      <c r="V1461" s="68"/>
      <c r="W1461" s="68"/>
      <c r="X1461" s="68"/>
      <c r="Y1461" s="68"/>
      <c r="Z1461" s="68"/>
      <c r="AA1461" s="68"/>
      <c r="AB1461" s="68"/>
      <c r="AC1461" s="68"/>
      <c r="AD1461" s="68"/>
      <c r="AE1461" s="68"/>
    </row>
    <row r="1462" ht="26.25" customHeight="1">
      <c r="A1462" s="68"/>
      <c r="B1462" s="68"/>
      <c r="C1462" s="61" t="s">
        <v>129</v>
      </c>
      <c r="D1462" s="61" t="s">
        <v>130</v>
      </c>
      <c r="E1462" s="68"/>
      <c r="F1462" s="68"/>
      <c r="G1462" s="68"/>
      <c r="H1462" s="68"/>
      <c r="I1462" s="68"/>
      <c r="J1462" s="78"/>
      <c r="K1462" s="68"/>
      <c r="L1462" s="68"/>
      <c r="M1462" s="68"/>
      <c r="N1462" s="68"/>
      <c r="O1462" s="68"/>
      <c r="P1462" s="68"/>
      <c r="Q1462" s="68"/>
      <c r="R1462" s="68"/>
      <c r="S1462" s="68"/>
      <c r="T1462" s="68"/>
      <c r="U1462" s="68"/>
      <c r="V1462" s="68"/>
      <c r="W1462" s="68"/>
      <c r="X1462" s="68"/>
      <c r="Y1462" s="68"/>
      <c r="Z1462" s="68"/>
      <c r="AA1462" s="68"/>
      <c r="AB1462" s="68"/>
      <c r="AC1462" s="68"/>
      <c r="AD1462" s="68"/>
      <c r="AE1462" s="68"/>
    </row>
    <row r="1463" ht="26.25" customHeight="1">
      <c r="A1463" s="68"/>
      <c r="B1463" s="68"/>
      <c r="C1463" s="61" t="s">
        <v>129</v>
      </c>
      <c r="D1463" s="61" t="s">
        <v>130</v>
      </c>
      <c r="E1463" s="68"/>
      <c r="F1463" s="68"/>
      <c r="G1463" s="68"/>
      <c r="H1463" s="68"/>
      <c r="I1463" s="68"/>
      <c r="J1463" s="78"/>
      <c r="K1463" s="68"/>
      <c r="L1463" s="68"/>
      <c r="M1463" s="68"/>
      <c r="N1463" s="68"/>
      <c r="O1463" s="68"/>
      <c r="P1463" s="68"/>
      <c r="Q1463" s="68"/>
      <c r="R1463" s="68"/>
      <c r="S1463" s="68"/>
      <c r="T1463" s="68"/>
      <c r="U1463" s="68"/>
      <c r="V1463" s="68"/>
      <c r="W1463" s="68"/>
      <c r="X1463" s="68"/>
      <c r="Y1463" s="68"/>
      <c r="Z1463" s="68"/>
      <c r="AA1463" s="68"/>
      <c r="AB1463" s="68"/>
      <c r="AC1463" s="68"/>
      <c r="AD1463" s="68"/>
      <c r="AE1463" s="68"/>
    </row>
    <row r="1464" ht="26.25" customHeight="1">
      <c r="A1464" s="68"/>
      <c r="B1464" s="68"/>
      <c r="C1464" s="61" t="s">
        <v>129</v>
      </c>
      <c r="D1464" s="61" t="s">
        <v>130</v>
      </c>
      <c r="E1464" s="68"/>
      <c r="F1464" s="68"/>
      <c r="G1464" s="68"/>
      <c r="H1464" s="68"/>
      <c r="I1464" s="68"/>
      <c r="J1464" s="78"/>
      <c r="K1464" s="68"/>
      <c r="L1464" s="68"/>
      <c r="M1464" s="68"/>
      <c r="N1464" s="68"/>
      <c r="O1464" s="68"/>
      <c r="P1464" s="68"/>
      <c r="Q1464" s="68"/>
      <c r="R1464" s="68"/>
      <c r="S1464" s="68"/>
      <c r="T1464" s="68"/>
      <c r="U1464" s="68"/>
      <c r="V1464" s="68"/>
      <c r="W1464" s="68"/>
      <c r="X1464" s="68"/>
      <c r="Y1464" s="68"/>
      <c r="Z1464" s="68"/>
      <c r="AA1464" s="68"/>
      <c r="AB1464" s="68"/>
      <c r="AC1464" s="68"/>
      <c r="AD1464" s="68"/>
      <c r="AE1464" s="68"/>
    </row>
    <row r="1465" ht="26.25" customHeight="1">
      <c r="A1465" s="68"/>
      <c r="B1465" s="68"/>
      <c r="C1465" s="61" t="s">
        <v>129</v>
      </c>
      <c r="D1465" s="61" t="s">
        <v>130</v>
      </c>
      <c r="E1465" s="68"/>
      <c r="F1465" s="68"/>
      <c r="G1465" s="68"/>
      <c r="H1465" s="68"/>
      <c r="I1465" s="68"/>
      <c r="J1465" s="78"/>
      <c r="K1465" s="68"/>
      <c r="L1465" s="68"/>
      <c r="M1465" s="68"/>
      <c r="N1465" s="68"/>
      <c r="O1465" s="68"/>
      <c r="P1465" s="68"/>
      <c r="Q1465" s="68"/>
      <c r="R1465" s="68"/>
      <c r="S1465" s="68"/>
      <c r="T1465" s="68"/>
      <c r="U1465" s="68"/>
      <c r="V1465" s="68"/>
      <c r="W1465" s="68"/>
      <c r="X1465" s="68"/>
      <c r="Y1465" s="68"/>
      <c r="Z1465" s="68"/>
      <c r="AA1465" s="68"/>
      <c r="AB1465" s="68"/>
      <c r="AC1465" s="68"/>
      <c r="AD1465" s="68"/>
      <c r="AE1465" s="68"/>
    </row>
    <row r="1466" ht="26.25" customHeight="1">
      <c r="A1466" s="68"/>
      <c r="B1466" s="68"/>
      <c r="C1466" s="61" t="s">
        <v>129</v>
      </c>
      <c r="D1466" s="61" t="s">
        <v>130</v>
      </c>
      <c r="E1466" s="68"/>
      <c r="F1466" s="68"/>
      <c r="G1466" s="68"/>
      <c r="H1466" s="68"/>
      <c r="I1466" s="68"/>
      <c r="J1466" s="78"/>
      <c r="K1466" s="68"/>
      <c r="L1466" s="68"/>
      <c r="M1466" s="68"/>
      <c r="N1466" s="68"/>
      <c r="O1466" s="68"/>
      <c r="P1466" s="68"/>
      <c r="Q1466" s="68"/>
      <c r="R1466" s="68"/>
      <c r="S1466" s="68"/>
      <c r="T1466" s="68"/>
      <c r="U1466" s="68"/>
      <c r="V1466" s="68"/>
      <c r="W1466" s="68"/>
      <c r="X1466" s="68"/>
      <c r="Y1466" s="68"/>
      <c r="Z1466" s="68"/>
      <c r="AA1466" s="68"/>
      <c r="AB1466" s="68"/>
      <c r="AC1466" s="68"/>
      <c r="AD1466" s="68"/>
      <c r="AE1466" s="68"/>
    </row>
    <row r="1467" ht="26.25" customHeight="1">
      <c r="A1467" s="68"/>
      <c r="B1467" s="68"/>
      <c r="C1467" s="61" t="s">
        <v>129</v>
      </c>
      <c r="D1467" s="61" t="s">
        <v>130</v>
      </c>
      <c r="E1467" s="68"/>
      <c r="F1467" s="68"/>
      <c r="G1467" s="68"/>
      <c r="H1467" s="68"/>
      <c r="I1467" s="68"/>
      <c r="J1467" s="78"/>
      <c r="K1467" s="68"/>
      <c r="L1467" s="68"/>
      <c r="M1467" s="68"/>
      <c r="N1467" s="68"/>
      <c r="O1467" s="68"/>
      <c r="P1467" s="68"/>
      <c r="Q1467" s="68"/>
      <c r="R1467" s="68"/>
      <c r="S1467" s="68"/>
      <c r="T1467" s="68"/>
      <c r="U1467" s="68"/>
      <c r="V1467" s="68"/>
      <c r="W1467" s="68"/>
      <c r="X1467" s="68"/>
      <c r="Y1467" s="68"/>
      <c r="Z1467" s="68"/>
      <c r="AA1467" s="68"/>
      <c r="AB1467" s="68"/>
      <c r="AC1467" s="68"/>
      <c r="AD1467" s="68"/>
      <c r="AE1467" s="68"/>
    </row>
    <row r="1468" ht="26.25" customHeight="1">
      <c r="A1468" s="68"/>
      <c r="B1468" s="68"/>
      <c r="C1468" s="61" t="s">
        <v>129</v>
      </c>
      <c r="D1468" s="61" t="s">
        <v>130</v>
      </c>
      <c r="E1468" s="68"/>
      <c r="F1468" s="68"/>
      <c r="G1468" s="68"/>
      <c r="H1468" s="68"/>
      <c r="I1468" s="68"/>
      <c r="J1468" s="78"/>
      <c r="K1468" s="68"/>
      <c r="L1468" s="68"/>
      <c r="M1468" s="68"/>
      <c r="N1468" s="68"/>
      <c r="O1468" s="68"/>
      <c r="P1468" s="68"/>
      <c r="Q1468" s="68"/>
      <c r="R1468" s="68"/>
      <c r="S1468" s="68"/>
      <c r="T1468" s="68"/>
      <c r="U1468" s="68"/>
      <c r="V1468" s="68"/>
      <c r="W1468" s="68"/>
      <c r="X1468" s="68"/>
      <c r="Y1468" s="68"/>
      <c r="Z1468" s="68"/>
      <c r="AA1468" s="68"/>
      <c r="AB1468" s="68"/>
      <c r="AC1468" s="68"/>
      <c r="AD1468" s="68"/>
      <c r="AE1468" s="68"/>
    </row>
    <row r="1469" ht="26.25" customHeight="1">
      <c r="A1469" s="68"/>
      <c r="B1469" s="68"/>
      <c r="C1469" s="61" t="s">
        <v>129</v>
      </c>
      <c r="D1469" s="61" t="s">
        <v>130</v>
      </c>
      <c r="E1469" s="68"/>
      <c r="F1469" s="68"/>
      <c r="G1469" s="68"/>
      <c r="H1469" s="68"/>
      <c r="I1469" s="68"/>
      <c r="J1469" s="78"/>
      <c r="K1469" s="68"/>
      <c r="L1469" s="68"/>
      <c r="M1469" s="68"/>
      <c r="N1469" s="68"/>
      <c r="O1469" s="68"/>
      <c r="P1469" s="68"/>
      <c r="Q1469" s="68"/>
      <c r="R1469" s="68"/>
      <c r="S1469" s="68"/>
      <c r="T1469" s="68"/>
      <c r="U1469" s="68"/>
      <c r="V1469" s="68"/>
      <c r="W1469" s="68"/>
      <c r="X1469" s="68"/>
      <c r="Y1469" s="68"/>
      <c r="Z1469" s="68"/>
      <c r="AA1469" s="68"/>
      <c r="AB1469" s="68"/>
      <c r="AC1469" s="68"/>
      <c r="AD1469" s="68"/>
      <c r="AE1469" s="68"/>
    </row>
    <row r="1470" ht="26.25" customHeight="1">
      <c r="A1470" s="68"/>
      <c r="B1470" s="68"/>
      <c r="C1470" s="61" t="s">
        <v>129</v>
      </c>
      <c r="D1470" s="61" t="s">
        <v>130</v>
      </c>
      <c r="E1470" s="68"/>
      <c r="F1470" s="68"/>
      <c r="G1470" s="68"/>
      <c r="H1470" s="68"/>
      <c r="I1470" s="68"/>
      <c r="J1470" s="78"/>
      <c r="K1470" s="68"/>
      <c r="L1470" s="68"/>
      <c r="M1470" s="68"/>
      <c r="N1470" s="68"/>
      <c r="O1470" s="68"/>
      <c r="P1470" s="68"/>
      <c r="Q1470" s="68"/>
      <c r="R1470" s="68"/>
      <c r="S1470" s="68"/>
      <c r="T1470" s="68"/>
      <c r="U1470" s="68"/>
      <c r="V1470" s="68"/>
      <c r="W1470" s="68"/>
      <c r="X1470" s="68"/>
      <c r="Y1470" s="68"/>
      <c r="Z1470" s="68"/>
      <c r="AA1470" s="68"/>
      <c r="AB1470" s="68"/>
      <c r="AC1470" s="68"/>
      <c r="AD1470" s="68"/>
      <c r="AE1470" s="68"/>
    </row>
    <row r="1471" ht="26.25" customHeight="1">
      <c r="A1471" s="68"/>
      <c r="B1471" s="68"/>
      <c r="C1471" s="61" t="s">
        <v>129</v>
      </c>
      <c r="D1471" s="61" t="s">
        <v>130</v>
      </c>
      <c r="E1471" s="68"/>
      <c r="F1471" s="68"/>
      <c r="G1471" s="68"/>
      <c r="H1471" s="68"/>
      <c r="I1471" s="68"/>
      <c r="J1471" s="78"/>
      <c r="K1471" s="68"/>
      <c r="L1471" s="68"/>
      <c r="M1471" s="68"/>
      <c r="N1471" s="68"/>
      <c r="O1471" s="68"/>
      <c r="P1471" s="68"/>
      <c r="Q1471" s="68"/>
      <c r="R1471" s="68"/>
      <c r="S1471" s="68"/>
      <c r="T1471" s="68"/>
      <c r="U1471" s="68"/>
      <c r="V1471" s="68"/>
      <c r="W1471" s="68"/>
      <c r="X1471" s="68"/>
      <c r="Y1471" s="68"/>
      <c r="Z1471" s="68"/>
      <c r="AA1471" s="68"/>
      <c r="AB1471" s="68"/>
      <c r="AC1471" s="68"/>
      <c r="AD1471" s="68"/>
      <c r="AE1471" s="68"/>
    </row>
    <row r="1472" ht="26.25" customHeight="1">
      <c r="A1472" s="68"/>
      <c r="B1472" s="68"/>
      <c r="C1472" s="61" t="s">
        <v>129</v>
      </c>
      <c r="D1472" s="61" t="s">
        <v>130</v>
      </c>
      <c r="E1472" s="68"/>
      <c r="F1472" s="68"/>
      <c r="G1472" s="68"/>
      <c r="H1472" s="68"/>
      <c r="I1472" s="68"/>
      <c r="J1472" s="78"/>
      <c r="K1472" s="68"/>
      <c r="L1472" s="68"/>
      <c r="M1472" s="68"/>
      <c r="N1472" s="68"/>
      <c r="O1472" s="68"/>
      <c r="P1472" s="68"/>
      <c r="Q1472" s="68"/>
      <c r="R1472" s="68"/>
      <c r="S1472" s="68"/>
      <c r="T1472" s="68"/>
      <c r="U1472" s="68"/>
      <c r="V1472" s="68"/>
      <c r="W1472" s="68"/>
      <c r="X1472" s="68"/>
      <c r="Y1472" s="68"/>
      <c r="Z1472" s="68"/>
      <c r="AA1472" s="68"/>
      <c r="AB1472" s="68"/>
      <c r="AC1472" s="68"/>
      <c r="AD1472" s="68"/>
      <c r="AE1472" s="68"/>
    </row>
    <row r="1473" ht="26.25" customHeight="1">
      <c r="A1473" s="68"/>
      <c r="B1473" s="68"/>
      <c r="C1473" s="61" t="s">
        <v>129</v>
      </c>
      <c r="D1473" s="61" t="s">
        <v>130</v>
      </c>
      <c r="E1473" s="68"/>
      <c r="F1473" s="68"/>
      <c r="G1473" s="68"/>
      <c r="H1473" s="68"/>
      <c r="I1473" s="68"/>
      <c r="J1473" s="78"/>
      <c r="K1473" s="68"/>
      <c r="L1473" s="68"/>
      <c r="M1473" s="68"/>
      <c r="N1473" s="68"/>
      <c r="O1473" s="68"/>
      <c r="P1473" s="68"/>
      <c r="Q1473" s="68"/>
      <c r="R1473" s="68"/>
      <c r="S1473" s="68"/>
      <c r="T1473" s="68"/>
      <c r="U1473" s="68"/>
      <c r="V1473" s="68"/>
      <c r="W1473" s="68"/>
      <c r="X1473" s="68"/>
      <c r="Y1473" s="68"/>
      <c r="Z1473" s="68"/>
      <c r="AA1473" s="68"/>
      <c r="AB1473" s="68"/>
      <c r="AC1473" s="68"/>
      <c r="AD1473" s="68"/>
      <c r="AE1473" s="68"/>
    </row>
    <row r="1474" ht="26.25" customHeight="1">
      <c r="A1474" s="68"/>
      <c r="B1474" s="68"/>
      <c r="C1474" s="61" t="s">
        <v>129</v>
      </c>
      <c r="D1474" s="61" t="s">
        <v>130</v>
      </c>
      <c r="E1474" s="68"/>
      <c r="F1474" s="68"/>
      <c r="G1474" s="68"/>
      <c r="H1474" s="68"/>
      <c r="I1474" s="68"/>
      <c r="J1474" s="78"/>
      <c r="K1474" s="68"/>
      <c r="L1474" s="68"/>
      <c r="M1474" s="68"/>
      <c r="N1474" s="68"/>
      <c r="O1474" s="68"/>
      <c r="P1474" s="68"/>
      <c r="Q1474" s="68"/>
      <c r="R1474" s="68"/>
      <c r="S1474" s="68"/>
      <c r="T1474" s="68"/>
      <c r="U1474" s="68"/>
      <c r="V1474" s="68"/>
      <c r="W1474" s="68"/>
      <c r="X1474" s="68"/>
      <c r="Y1474" s="68"/>
      <c r="Z1474" s="68"/>
      <c r="AA1474" s="68"/>
      <c r="AB1474" s="68"/>
      <c r="AC1474" s="68"/>
      <c r="AD1474" s="68"/>
      <c r="AE1474" s="68"/>
    </row>
    <row r="1475" ht="26.25" customHeight="1">
      <c r="A1475" s="68"/>
      <c r="B1475" s="68"/>
      <c r="C1475" s="61" t="s">
        <v>129</v>
      </c>
      <c r="D1475" s="61" t="s">
        <v>130</v>
      </c>
      <c r="E1475" s="68"/>
      <c r="F1475" s="68"/>
      <c r="G1475" s="68"/>
      <c r="H1475" s="68"/>
      <c r="I1475" s="68"/>
      <c r="J1475" s="78"/>
      <c r="K1475" s="68"/>
      <c r="L1475" s="68"/>
      <c r="M1475" s="68"/>
      <c r="N1475" s="68"/>
      <c r="O1475" s="68"/>
      <c r="P1475" s="68"/>
      <c r="Q1475" s="68"/>
      <c r="R1475" s="68"/>
      <c r="S1475" s="68"/>
      <c r="T1475" s="68"/>
      <c r="U1475" s="68"/>
      <c r="V1475" s="68"/>
      <c r="W1475" s="68"/>
      <c r="X1475" s="68"/>
      <c r="Y1475" s="68"/>
      <c r="Z1475" s="68"/>
      <c r="AA1475" s="68"/>
      <c r="AB1475" s="68"/>
      <c r="AC1475" s="68"/>
      <c r="AD1475" s="68"/>
      <c r="AE1475" s="68"/>
    </row>
    <row r="1476" ht="26.25" customHeight="1">
      <c r="A1476" s="68"/>
      <c r="B1476" s="68"/>
      <c r="C1476" s="61" t="s">
        <v>129</v>
      </c>
      <c r="D1476" s="61" t="s">
        <v>130</v>
      </c>
      <c r="E1476" s="68"/>
      <c r="F1476" s="68"/>
      <c r="G1476" s="68"/>
      <c r="H1476" s="68"/>
      <c r="I1476" s="68"/>
      <c r="J1476" s="78"/>
      <c r="K1476" s="68"/>
      <c r="L1476" s="68"/>
      <c r="M1476" s="68"/>
      <c r="N1476" s="68"/>
      <c r="O1476" s="68"/>
      <c r="P1476" s="68"/>
      <c r="Q1476" s="68"/>
      <c r="R1476" s="68"/>
      <c r="S1476" s="68"/>
      <c r="T1476" s="68"/>
      <c r="U1476" s="68"/>
      <c r="V1476" s="68"/>
      <c r="W1476" s="68"/>
      <c r="X1476" s="68"/>
      <c r="Y1476" s="68"/>
      <c r="Z1476" s="68"/>
      <c r="AA1476" s="68"/>
      <c r="AB1476" s="68"/>
      <c r="AC1476" s="68"/>
      <c r="AD1476" s="68"/>
      <c r="AE1476" s="68"/>
    </row>
    <row r="1477" ht="26.25" customHeight="1">
      <c r="A1477" s="68"/>
      <c r="B1477" s="68"/>
      <c r="C1477" s="61" t="s">
        <v>129</v>
      </c>
      <c r="D1477" s="61" t="s">
        <v>130</v>
      </c>
      <c r="E1477" s="68"/>
      <c r="F1477" s="68"/>
      <c r="G1477" s="68"/>
      <c r="H1477" s="68"/>
      <c r="I1477" s="68"/>
      <c r="J1477" s="78"/>
      <c r="K1477" s="68"/>
      <c r="L1477" s="68"/>
      <c r="M1477" s="68"/>
      <c r="N1477" s="68"/>
      <c r="O1477" s="68"/>
      <c r="P1477" s="68"/>
      <c r="Q1477" s="68"/>
      <c r="R1477" s="68"/>
      <c r="S1477" s="68"/>
      <c r="T1477" s="68"/>
      <c r="U1477" s="68"/>
      <c r="V1477" s="68"/>
      <c r="W1477" s="68"/>
      <c r="X1477" s="68"/>
      <c r="Y1477" s="68"/>
      <c r="Z1477" s="68"/>
      <c r="AA1477" s="68"/>
      <c r="AB1477" s="68"/>
      <c r="AC1477" s="68"/>
      <c r="AD1477" s="68"/>
      <c r="AE1477" s="68"/>
    </row>
    <row r="1478" ht="26.25" customHeight="1">
      <c r="A1478" s="68"/>
      <c r="B1478" s="68"/>
      <c r="C1478" s="61" t="s">
        <v>129</v>
      </c>
      <c r="D1478" s="61" t="s">
        <v>130</v>
      </c>
      <c r="E1478" s="68"/>
      <c r="F1478" s="68"/>
      <c r="G1478" s="68"/>
      <c r="H1478" s="68"/>
      <c r="I1478" s="68"/>
      <c r="J1478" s="78"/>
      <c r="K1478" s="68"/>
      <c r="L1478" s="68"/>
      <c r="M1478" s="68"/>
      <c r="N1478" s="68"/>
      <c r="O1478" s="68"/>
      <c r="P1478" s="68"/>
      <c r="Q1478" s="68"/>
      <c r="R1478" s="68"/>
      <c r="S1478" s="68"/>
      <c r="T1478" s="68"/>
      <c r="U1478" s="68"/>
      <c r="V1478" s="68"/>
      <c r="W1478" s="68"/>
      <c r="X1478" s="68"/>
      <c r="Y1478" s="68"/>
      <c r="Z1478" s="68"/>
      <c r="AA1478" s="68"/>
      <c r="AB1478" s="68"/>
      <c r="AC1478" s="68"/>
      <c r="AD1478" s="68"/>
      <c r="AE1478" s="68"/>
    </row>
    <row r="1479" ht="26.25" customHeight="1">
      <c r="A1479" s="68"/>
      <c r="B1479" s="68"/>
      <c r="C1479" s="61" t="s">
        <v>129</v>
      </c>
      <c r="D1479" s="61" t="s">
        <v>130</v>
      </c>
      <c r="E1479" s="68"/>
      <c r="F1479" s="68"/>
      <c r="G1479" s="68"/>
      <c r="H1479" s="68"/>
      <c r="I1479" s="68"/>
      <c r="J1479" s="78"/>
      <c r="K1479" s="68"/>
      <c r="L1479" s="68"/>
      <c r="M1479" s="68"/>
      <c r="N1479" s="68"/>
      <c r="O1479" s="68"/>
      <c r="P1479" s="68"/>
      <c r="Q1479" s="68"/>
      <c r="R1479" s="68"/>
      <c r="S1479" s="68"/>
      <c r="T1479" s="68"/>
      <c r="U1479" s="68"/>
      <c r="V1479" s="68"/>
      <c r="W1479" s="68"/>
      <c r="X1479" s="68"/>
      <c r="Y1479" s="68"/>
      <c r="Z1479" s="68"/>
      <c r="AA1479" s="68"/>
      <c r="AB1479" s="68"/>
      <c r="AC1479" s="68"/>
      <c r="AD1479" s="68"/>
      <c r="AE1479" s="68"/>
    </row>
    <row r="1480" ht="26.25" customHeight="1">
      <c r="A1480" s="68"/>
      <c r="B1480" s="68"/>
      <c r="C1480" s="61" t="s">
        <v>129</v>
      </c>
      <c r="D1480" s="61" t="s">
        <v>130</v>
      </c>
      <c r="E1480" s="68"/>
      <c r="F1480" s="68"/>
      <c r="G1480" s="68"/>
      <c r="H1480" s="68"/>
      <c r="I1480" s="68"/>
      <c r="J1480" s="78"/>
      <c r="K1480" s="68"/>
      <c r="L1480" s="68"/>
      <c r="M1480" s="68"/>
      <c r="N1480" s="68"/>
      <c r="O1480" s="68"/>
      <c r="P1480" s="68"/>
      <c r="Q1480" s="68"/>
      <c r="R1480" s="68"/>
      <c r="S1480" s="68"/>
      <c r="T1480" s="68"/>
      <c r="U1480" s="68"/>
      <c r="V1480" s="68"/>
      <c r="W1480" s="68"/>
      <c r="X1480" s="68"/>
      <c r="Y1480" s="68"/>
      <c r="Z1480" s="68"/>
      <c r="AA1480" s="68"/>
      <c r="AB1480" s="68"/>
      <c r="AC1480" s="68"/>
      <c r="AD1480" s="68"/>
      <c r="AE1480" s="68"/>
    </row>
    <row r="1481" ht="26.25" customHeight="1">
      <c r="A1481" s="68"/>
      <c r="B1481" s="68"/>
      <c r="C1481" s="61" t="s">
        <v>129</v>
      </c>
      <c r="D1481" s="61" t="s">
        <v>130</v>
      </c>
      <c r="E1481" s="68"/>
      <c r="F1481" s="68"/>
      <c r="G1481" s="68"/>
      <c r="H1481" s="68"/>
      <c r="I1481" s="68"/>
      <c r="J1481" s="78"/>
      <c r="K1481" s="68"/>
      <c r="L1481" s="68"/>
      <c r="M1481" s="68"/>
      <c r="N1481" s="68"/>
      <c r="O1481" s="68"/>
      <c r="P1481" s="68"/>
      <c r="Q1481" s="68"/>
      <c r="R1481" s="68"/>
      <c r="S1481" s="68"/>
      <c r="T1481" s="68"/>
      <c r="U1481" s="68"/>
      <c r="V1481" s="68"/>
      <c r="W1481" s="68"/>
      <c r="X1481" s="68"/>
      <c r="Y1481" s="68"/>
      <c r="Z1481" s="68"/>
      <c r="AA1481" s="68"/>
      <c r="AB1481" s="68"/>
      <c r="AC1481" s="68"/>
      <c r="AD1481" s="68"/>
      <c r="AE1481" s="68"/>
    </row>
    <row r="1482" ht="26.25" customHeight="1">
      <c r="A1482" s="68"/>
      <c r="B1482" s="68"/>
      <c r="C1482" s="61" t="s">
        <v>129</v>
      </c>
      <c r="D1482" s="61" t="s">
        <v>130</v>
      </c>
      <c r="E1482" s="68"/>
      <c r="F1482" s="68"/>
      <c r="G1482" s="68"/>
      <c r="H1482" s="68"/>
      <c r="I1482" s="68"/>
      <c r="J1482" s="78"/>
      <c r="K1482" s="68"/>
      <c r="L1482" s="68"/>
      <c r="M1482" s="68"/>
      <c r="N1482" s="68"/>
      <c r="O1482" s="68"/>
      <c r="P1482" s="68"/>
      <c r="Q1482" s="68"/>
      <c r="R1482" s="68"/>
      <c r="S1482" s="68"/>
      <c r="T1482" s="68"/>
      <c r="U1482" s="68"/>
      <c r="V1482" s="68"/>
      <c r="W1482" s="68"/>
      <c r="X1482" s="68"/>
      <c r="Y1482" s="68"/>
      <c r="Z1482" s="68"/>
      <c r="AA1482" s="68"/>
      <c r="AB1482" s="68"/>
      <c r="AC1482" s="68"/>
      <c r="AD1482" s="68"/>
      <c r="AE1482" s="68"/>
    </row>
    <row r="1483" ht="26.25" customHeight="1">
      <c r="A1483" s="68"/>
      <c r="B1483" s="68"/>
      <c r="C1483" s="61" t="s">
        <v>129</v>
      </c>
      <c r="D1483" s="61" t="s">
        <v>130</v>
      </c>
      <c r="E1483" s="68"/>
      <c r="F1483" s="68"/>
      <c r="G1483" s="68"/>
      <c r="H1483" s="68"/>
      <c r="I1483" s="68"/>
      <c r="J1483" s="78"/>
      <c r="K1483" s="68"/>
      <c r="L1483" s="68"/>
      <c r="M1483" s="68"/>
      <c r="N1483" s="68"/>
      <c r="O1483" s="68"/>
      <c r="P1483" s="68"/>
      <c r="Q1483" s="68"/>
      <c r="R1483" s="68"/>
      <c r="S1483" s="68"/>
      <c r="T1483" s="68"/>
      <c r="U1483" s="68"/>
      <c r="V1483" s="68"/>
      <c r="W1483" s="68"/>
      <c r="X1483" s="68"/>
      <c r="Y1483" s="68"/>
      <c r="Z1483" s="68"/>
      <c r="AA1483" s="68"/>
      <c r="AB1483" s="68"/>
      <c r="AC1483" s="68"/>
      <c r="AD1483" s="68"/>
      <c r="AE1483" s="68"/>
    </row>
    <row r="1484" ht="26.25" customHeight="1">
      <c r="A1484" s="68"/>
      <c r="B1484" s="68"/>
      <c r="C1484" s="61" t="s">
        <v>129</v>
      </c>
      <c r="D1484" s="61" t="s">
        <v>130</v>
      </c>
      <c r="E1484" s="68"/>
      <c r="F1484" s="68"/>
      <c r="G1484" s="68"/>
      <c r="H1484" s="68"/>
      <c r="I1484" s="68"/>
      <c r="J1484" s="78"/>
      <c r="K1484" s="68"/>
      <c r="L1484" s="68"/>
      <c r="M1484" s="68"/>
      <c r="N1484" s="68"/>
      <c r="O1484" s="68"/>
      <c r="P1484" s="68"/>
      <c r="Q1484" s="68"/>
      <c r="R1484" s="68"/>
      <c r="S1484" s="68"/>
      <c r="T1484" s="68"/>
      <c r="U1484" s="68"/>
      <c r="V1484" s="68"/>
      <c r="W1484" s="68"/>
      <c r="X1484" s="68"/>
      <c r="Y1484" s="68"/>
      <c r="Z1484" s="68"/>
      <c r="AA1484" s="68"/>
      <c r="AB1484" s="68"/>
      <c r="AC1484" s="68"/>
      <c r="AD1484" s="68"/>
      <c r="AE1484" s="68"/>
    </row>
    <row r="1485" ht="26.25" customHeight="1">
      <c r="A1485" s="68"/>
      <c r="B1485" s="68"/>
      <c r="C1485" s="61" t="s">
        <v>129</v>
      </c>
      <c r="D1485" s="61" t="s">
        <v>130</v>
      </c>
      <c r="E1485" s="68"/>
      <c r="F1485" s="68"/>
      <c r="G1485" s="68"/>
      <c r="H1485" s="68"/>
      <c r="I1485" s="68"/>
      <c r="J1485" s="78"/>
      <c r="K1485" s="68"/>
      <c r="L1485" s="68"/>
      <c r="M1485" s="68"/>
      <c r="N1485" s="68"/>
      <c r="O1485" s="68"/>
      <c r="P1485" s="68"/>
      <c r="Q1485" s="68"/>
      <c r="R1485" s="68"/>
      <c r="S1485" s="68"/>
      <c r="T1485" s="68"/>
      <c r="U1485" s="68"/>
      <c r="V1485" s="68"/>
      <c r="W1485" s="68"/>
      <c r="X1485" s="68"/>
      <c r="Y1485" s="68"/>
      <c r="Z1485" s="68"/>
      <c r="AA1485" s="68"/>
      <c r="AB1485" s="68"/>
      <c r="AC1485" s="68"/>
      <c r="AD1485" s="68"/>
      <c r="AE1485" s="68"/>
    </row>
    <row r="1486" ht="26.25" customHeight="1">
      <c r="A1486" s="68"/>
      <c r="B1486" s="68"/>
      <c r="C1486" s="61" t="s">
        <v>129</v>
      </c>
      <c r="D1486" s="61" t="s">
        <v>130</v>
      </c>
      <c r="E1486" s="68"/>
      <c r="F1486" s="68"/>
      <c r="G1486" s="68"/>
      <c r="H1486" s="68"/>
      <c r="I1486" s="68"/>
      <c r="J1486" s="78"/>
      <c r="K1486" s="68"/>
      <c r="L1486" s="68"/>
      <c r="M1486" s="68"/>
      <c r="N1486" s="68"/>
      <c r="O1486" s="68"/>
      <c r="P1486" s="68"/>
      <c r="Q1486" s="68"/>
      <c r="R1486" s="68"/>
      <c r="S1486" s="68"/>
      <c r="T1486" s="68"/>
      <c r="U1486" s="68"/>
      <c r="V1486" s="68"/>
      <c r="W1486" s="68"/>
      <c r="X1486" s="68"/>
      <c r="Y1486" s="68"/>
      <c r="Z1486" s="68"/>
      <c r="AA1486" s="68"/>
      <c r="AB1486" s="68"/>
      <c r="AC1486" s="68"/>
      <c r="AD1486" s="68"/>
      <c r="AE1486" s="68"/>
    </row>
    <row r="1487" ht="26.25" customHeight="1">
      <c r="A1487" s="68"/>
      <c r="B1487" s="68"/>
      <c r="C1487" s="61" t="s">
        <v>129</v>
      </c>
      <c r="D1487" s="61" t="s">
        <v>130</v>
      </c>
      <c r="E1487" s="68"/>
      <c r="F1487" s="68"/>
      <c r="G1487" s="68"/>
      <c r="H1487" s="68"/>
      <c r="I1487" s="68"/>
      <c r="J1487" s="78"/>
      <c r="K1487" s="68"/>
      <c r="L1487" s="68"/>
      <c r="M1487" s="68"/>
      <c r="N1487" s="68"/>
      <c r="O1487" s="68"/>
      <c r="P1487" s="68"/>
      <c r="Q1487" s="68"/>
      <c r="R1487" s="68"/>
      <c r="S1487" s="68"/>
      <c r="T1487" s="68"/>
      <c r="U1487" s="68"/>
      <c r="V1487" s="68"/>
      <c r="W1487" s="68"/>
      <c r="X1487" s="68"/>
      <c r="Y1487" s="68"/>
      <c r="Z1487" s="68"/>
      <c r="AA1487" s="68"/>
      <c r="AB1487" s="68"/>
      <c r="AC1487" s="68"/>
      <c r="AD1487" s="68"/>
      <c r="AE1487" s="68"/>
    </row>
    <row r="1488" ht="26.25" customHeight="1">
      <c r="A1488" s="68"/>
      <c r="B1488" s="68"/>
      <c r="C1488" s="61" t="s">
        <v>129</v>
      </c>
      <c r="D1488" s="61" t="s">
        <v>130</v>
      </c>
      <c r="E1488" s="68"/>
      <c r="F1488" s="68"/>
      <c r="G1488" s="68"/>
      <c r="H1488" s="68"/>
      <c r="I1488" s="68"/>
      <c r="J1488" s="78"/>
      <c r="K1488" s="68"/>
      <c r="L1488" s="68"/>
      <c r="M1488" s="68"/>
      <c r="N1488" s="68"/>
      <c r="O1488" s="68"/>
      <c r="P1488" s="68"/>
      <c r="Q1488" s="68"/>
      <c r="R1488" s="68"/>
      <c r="S1488" s="68"/>
      <c r="T1488" s="68"/>
      <c r="U1488" s="68"/>
      <c r="V1488" s="68"/>
      <c r="W1488" s="68"/>
      <c r="X1488" s="68"/>
      <c r="Y1488" s="68"/>
      <c r="Z1488" s="68"/>
      <c r="AA1488" s="68"/>
      <c r="AB1488" s="68"/>
      <c r="AC1488" s="68"/>
      <c r="AD1488" s="68"/>
      <c r="AE1488" s="68"/>
    </row>
    <row r="1489" ht="26.25" customHeight="1">
      <c r="A1489" s="68"/>
      <c r="B1489" s="68"/>
      <c r="C1489" s="61" t="s">
        <v>129</v>
      </c>
      <c r="D1489" s="61" t="s">
        <v>130</v>
      </c>
      <c r="E1489" s="68"/>
      <c r="F1489" s="68"/>
      <c r="G1489" s="68"/>
      <c r="H1489" s="68"/>
      <c r="I1489" s="68"/>
      <c r="J1489" s="78"/>
      <c r="K1489" s="68"/>
      <c r="L1489" s="68"/>
      <c r="M1489" s="68"/>
      <c r="N1489" s="68"/>
      <c r="O1489" s="68"/>
      <c r="P1489" s="68"/>
      <c r="Q1489" s="68"/>
      <c r="R1489" s="68"/>
      <c r="S1489" s="68"/>
      <c r="T1489" s="68"/>
      <c r="U1489" s="68"/>
      <c r="V1489" s="68"/>
      <c r="W1489" s="68"/>
      <c r="X1489" s="68"/>
      <c r="Y1489" s="68"/>
      <c r="Z1489" s="68"/>
      <c r="AA1489" s="68"/>
      <c r="AB1489" s="68"/>
      <c r="AC1489" s="68"/>
      <c r="AD1489" s="68"/>
      <c r="AE1489" s="68"/>
    </row>
    <row r="1490" ht="26.25" customHeight="1">
      <c r="A1490" s="68"/>
      <c r="B1490" s="68"/>
      <c r="C1490" s="61" t="s">
        <v>129</v>
      </c>
      <c r="D1490" s="61" t="s">
        <v>130</v>
      </c>
      <c r="E1490" s="68"/>
      <c r="F1490" s="68"/>
      <c r="G1490" s="68"/>
      <c r="H1490" s="68"/>
      <c r="I1490" s="68"/>
      <c r="J1490" s="78"/>
      <c r="K1490" s="68"/>
      <c r="L1490" s="68"/>
      <c r="M1490" s="68"/>
      <c r="N1490" s="68"/>
      <c r="O1490" s="68"/>
      <c r="P1490" s="68"/>
      <c r="Q1490" s="68"/>
      <c r="R1490" s="68"/>
      <c r="S1490" s="68"/>
      <c r="T1490" s="68"/>
      <c r="U1490" s="68"/>
      <c r="V1490" s="68"/>
      <c r="W1490" s="68"/>
      <c r="X1490" s="68"/>
      <c r="Y1490" s="68"/>
      <c r="Z1490" s="68"/>
      <c r="AA1490" s="68"/>
      <c r="AB1490" s="68"/>
      <c r="AC1490" s="68"/>
      <c r="AD1490" s="68"/>
      <c r="AE1490" s="68"/>
    </row>
    <row r="1491" ht="26.25" customHeight="1">
      <c r="A1491" s="68"/>
      <c r="B1491" s="68"/>
      <c r="C1491" s="61" t="s">
        <v>129</v>
      </c>
      <c r="D1491" s="61" t="s">
        <v>130</v>
      </c>
      <c r="E1491" s="68"/>
      <c r="F1491" s="68"/>
      <c r="G1491" s="68"/>
      <c r="H1491" s="68"/>
      <c r="I1491" s="68"/>
      <c r="J1491" s="78"/>
      <c r="K1491" s="68"/>
      <c r="L1491" s="68"/>
      <c r="M1491" s="68"/>
      <c r="N1491" s="68"/>
      <c r="O1491" s="68"/>
      <c r="P1491" s="68"/>
      <c r="Q1491" s="68"/>
      <c r="R1491" s="68"/>
      <c r="S1491" s="68"/>
      <c r="T1491" s="68"/>
      <c r="U1491" s="68"/>
      <c r="V1491" s="68"/>
      <c r="W1491" s="68"/>
      <c r="X1491" s="68"/>
      <c r="Y1491" s="68"/>
      <c r="Z1491" s="68"/>
      <c r="AA1491" s="68"/>
      <c r="AB1491" s="68"/>
      <c r="AC1491" s="68"/>
      <c r="AD1491" s="68"/>
      <c r="AE1491" s="68"/>
    </row>
    <row r="1492" ht="26.25" customHeight="1">
      <c r="A1492" s="68"/>
      <c r="B1492" s="68"/>
      <c r="C1492" s="61" t="s">
        <v>129</v>
      </c>
      <c r="D1492" s="61" t="s">
        <v>130</v>
      </c>
      <c r="E1492" s="68"/>
      <c r="F1492" s="68"/>
      <c r="G1492" s="68"/>
      <c r="H1492" s="68"/>
      <c r="I1492" s="68"/>
      <c r="J1492" s="78"/>
      <c r="K1492" s="68"/>
      <c r="L1492" s="68"/>
      <c r="M1492" s="68"/>
      <c r="N1492" s="68"/>
      <c r="O1492" s="68"/>
      <c r="P1492" s="68"/>
      <c r="Q1492" s="68"/>
      <c r="R1492" s="68"/>
      <c r="S1492" s="68"/>
      <c r="T1492" s="68"/>
      <c r="U1492" s="68"/>
      <c r="V1492" s="68"/>
      <c r="W1492" s="68"/>
      <c r="X1492" s="68"/>
      <c r="Y1492" s="68"/>
      <c r="Z1492" s="68"/>
      <c r="AA1492" s="68"/>
      <c r="AB1492" s="68"/>
      <c r="AC1492" s="68"/>
      <c r="AD1492" s="68"/>
      <c r="AE1492" s="68"/>
    </row>
    <row r="1493" ht="26.25" customHeight="1">
      <c r="A1493" s="68"/>
      <c r="B1493" s="68"/>
      <c r="C1493" s="61" t="s">
        <v>129</v>
      </c>
      <c r="D1493" s="61" t="s">
        <v>130</v>
      </c>
      <c r="E1493" s="68"/>
      <c r="F1493" s="68"/>
      <c r="G1493" s="68"/>
      <c r="H1493" s="68"/>
      <c r="I1493" s="68"/>
      <c r="J1493" s="78"/>
      <c r="K1493" s="68"/>
      <c r="L1493" s="68"/>
      <c r="M1493" s="68"/>
      <c r="N1493" s="68"/>
      <c r="O1493" s="68"/>
      <c r="P1493" s="68"/>
      <c r="Q1493" s="68"/>
      <c r="R1493" s="68"/>
      <c r="S1493" s="68"/>
      <c r="T1493" s="68"/>
      <c r="U1493" s="68"/>
      <c r="V1493" s="68"/>
      <c r="W1493" s="68"/>
      <c r="X1493" s="68"/>
      <c r="Y1493" s="68"/>
      <c r="Z1493" s="68"/>
      <c r="AA1493" s="68"/>
      <c r="AB1493" s="68"/>
      <c r="AC1493" s="68"/>
      <c r="AD1493" s="68"/>
      <c r="AE1493" s="68"/>
    </row>
    <row r="1494" ht="26.25" customHeight="1">
      <c r="A1494" s="68"/>
      <c r="B1494" s="68"/>
      <c r="C1494" s="61" t="s">
        <v>129</v>
      </c>
      <c r="D1494" s="61" t="s">
        <v>130</v>
      </c>
      <c r="E1494" s="68"/>
      <c r="F1494" s="68"/>
      <c r="G1494" s="68"/>
      <c r="H1494" s="68"/>
      <c r="I1494" s="68"/>
      <c r="J1494" s="78"/>
      <c r="K1494" s="68"/>
      <c r="L1494" s="68"/>
      <c r="M1494" s="68"/>
      <c r="N1494" s="68"/>
      <c r="O1494" s="68"/>
      <c r="P1494" s="68"/>
      <c r="Q1494" s="68"/>
      <c r="R1494" s="68"/>
      <c r="S1494" s="68"/>
      <c r="T1494" s="68"/>
      <c r="U1494" s="68"/>
      <c r="V1494" s="68"/>
      <c r="W1494" s="68"/>
      <c r="X1494" s="68"/>
      <c r="Y1494" s="68"/>
      <c r="Z1494" s="68"/>
      <c r="AA1494" s="68"/>
      <c r="AB1494" s="68"/>
      <c r="AC1494" s="68"/>
      <c r="AD1494" s="68"/>
      <c r="AE1494" s="68"/>
    </row>
    <row r="1495" ht="26.25" customHeight="1">
      <c r="A1495" s="68"/>
      <c r="B1495" s="68"/>
      <c r="C1495" s="61" t="s">
        <v>129</v>
      </c>
      <c r="D1495" s="61" t="s">
        <v>130</v>
      </c>
      <c r="E1495" s="68"/>
      <c r="F1495" s="68"/>
      <c r="G1495" s="68"/>
      <c r="H1495" s="68"/>
      <c r="I1495" s="68"/>
      <c r="J1495" s="78"/>
      <c r="K1495" s="68"/>
      <c r="L1495" s="68"/>
      <c r="M1495" s="68"/>
      <c r="N1495" s="68"/>
      <c r="O1495" s="68"/>
      <c r="P1495" s="68"/>
      <c r="Q1495" s="68"/>
      <c r="R1495" s="68"/>
      <c r="S1495" s="68"/>
      <c r="T1495" s="68"/>
      <c r="U1495" s="68"/>
      <c r="V1495" s="68"/>
      <c r="W1495" s="68"/>
      <c r="X1495" s="68"/>
      <c r="Y1495" s="68"/>
      <c r="Z1495" s="68"/>
      <c r="AA1495" s="68"/>
      <c r="AB1495" s="68"/>
      <c r="AC1495" s="68"/>
      <c r="AD1495" s="68"/>
      <c r="AE1495" s="68"/>
    </row>
    <row r="1496" ht="26.25" customHeight="1">
      <c r="A1496" s="68"/>
      <c r="B1496" s="68"/>
      <c r="C1496" s="61" t="s">
        <v>129</v>
      </c>
      <c r="D1496" s="61" t="s">
        <v>130</v>
      </c>
      <c r="E1496" s="68"/>
      <c r="F1496" s="68"/>
      <c r="G1496" s="68"/>
      <c r="H1496" s="68"/>
      <c r="I1496" s="68"/>
      <c r="J1496" s="78"/>
      <c r="K1496" s="68"/>
      <c r="L1496" s="68"/>
      <c r="M1496" s="68"/>
      <c r="N1496" s="68"/>
      <c r="O1496" s="68"/>
      <c r="P1496" s="68"/>
      <c r="Q1496" s="68"/>
      <c r="R1496" s="68"/>
      <c r="S1496" s="68"/>
      <c r="T1496" s="68"/>
      <c r="U1496" s="68"/>
      <c r="V1496" s="68"/>
      <c r="W1496" s="68"/>
      <c r="X1496" s="68"/>
      <c r="Y1496" s="68"/>
      <c r="Z1496" s="68"/>
      <c r="AA1496" s="68"/>
      <c r="AB1496" s="68"/>
      <c r="AC1496" s="68"/>
      <c r="AD1496" s="68"/>
      <c r="AE1496" s="68"/>
    </row>
    <row r="1497" ht="26.25" customHeight="1">
      <c r="A1497" s="68"/>
      <c r="B1497" s="68"/>
      <c r="C1497" s="61" t="s">
        <v>129</v>
      </c>
      <c r="D1497" s="61" t="s">
        <v>130</v>
      </c>
      <c r="E1497" s="68"/>
      <c r="F1497" s="68"/>
      <c r="G1497" s="68"/>
      <c r="H1497" s="68"/>
      <c r="I1497" s="68"/>
      <c r="J1497" s="78"/>
      <c r="K1497" s="68"/>
      <c r="L1497" s="68"/>
      <c r="M1497" s="68"/>
      <c r="N1497" s="68"/>
      <c r="O1497" s="68"/>
      <c r="P1497" s="68"/>
      <c r="Q1497" s="68"/>
      <c r="R1497" s="68"/>
      <c r="S1497" s="68"/>
      <c r="T1497" s="68"/>
      <c r="U1497" s="68"/>
      <c r="V1497" s="68"/>
      <c r="W1497" s="68"/>
      <c r="X1497" s="68"/>
      <c r="Y1497" s="68"/>
      <c r="Z1497" s="68"/>
      <c r="AA1497" s="68"/>
      <c r="AB1497" s="68"/>
      <c r="AC1497" s="68"/>
      <c r="AD1497" s="68"/>
      <c r="AE1497" s="68"/>
    </row>
    <row r="1498" ht="26.25" customHeight="1">
      <c r="A1498" s="68"/>
      <c r="B1498" s="68"/>
      <c r="C1498" s="61" t="s">
        <v>129</v>
      </c>
      <c r="D1498" s="61" t="s">
        <v>130</v>
      </c>
      <c r="E1498" s="68"/>
      <c r="F1498" s="68"/>
      <c r="G1498" s="68"/>
      <c r="H1498" s="68"/>
      <c r="I1498" s="68"/>
      <c r="J1498" s="78"/>
      <c r="K1498" s="68"/>
      <c r="L1498" s="68"/>
      <c r="M1498" s="68"/>
      <c r="N1498" s="68"/>
      <c r="O1498" s="68"/>
      <c r="P1498" s="68"/>
      <c r="Q1498" s="68"/>
      <c r="R1498" s="68"/>
      <c r="S1498" s="68"/>
      <c r="T1498" s="68"/>
      <c r="U1498" s="68"/>
      <c r="V1498" s="68"/>
      <c r="W1498" s="68"/>
      <c r="X1498" s="68"/>
      <c r="Y1498" s="68"/>
      <c r="Z1498" s="68"/>
      <c r="AA1498" s="68"/>
      <c r="AB1498" s="68"/>
      <c r="AC1498" s="68"/>
      <c r="AD1498" s="68"/>
      <c r="AE1498" s="68"/>
    </row>
    <row r="1499" ht="26.25" customHeight="1">
      <c r="A1499" s="68"/>
      <c r="B1499" s="68"/>
      <c r="C1499" s="61" t="s">
        <v>129</v>
      </c>
      <c r="D1499" s="61" t="s">
        <v>130</v>
      </c>
      <c r="E1499" s="68"/>
      <c r="F1499" s="68"/>
      <c r="G1499" s="68"/>
      <c r="H1499" s="68"/>
      <c r="I1499" s="68"/>
      <c r="J1499" s="78"/>
      <c r="K1499" s="68"/>
      <c r="L1499" s="68"/>
      <c r="M1499" s="68"/>
      <c r="N1499" s="68"/>
      <c r="O1499" s="68"/>
      <c r="P1499" s="68"/>
      <c r="Q1499" s="68"/>
      <c r="R1499" s="68"/>
      <c r="S1499" s="68"/>
      <c r="T1499" s="68"/>
      <c r="U1499" s="68"/>
      <c r="V1499" s="68"/>
      <c r="W1499" s="68"/>
      <c r="X1499" s="68"/>
      <c r="Y1499" s="68"/>
      <c r="Z1499" s="68"/>
      <c r="AA1499" s="68"/>
      <c r="AB1499" s="68"/>
      <c r="AC1499" s="68"/>
      <c r="AD1499" s="68"/>
      <c r="AE1499" s="68"/>
    </row>
    <row r="1500" ht="26.25" customHeight="1">
      <c r="A1500" s="68"/>
      <c r="B1500" s="68"/>
      <c r="C1500" s="61" t="s">
        <v>129</v>
      </c>
      <c r="D1500" s="61" t="s">
        <v>130</v>
      </c>
      <c r="E1500" s="68"/>
      <c r="F1500" s="68"/>
      <c r="G1500" s="68"/>
      <c r="H1500" s="68"/>
      <c r="I1500" s="68"/>
      <c r="J1500" s="78"/>
      <c r="K1500" s="68"/>
      <c r="L1500" s="68"/>
      <c r="M1500" s="68"/>
      <c r="N1500" s="68"/>
      <c r="O1500" s="68"/>
      <c r="P1500" s="68"/>
      <c r="Q1500" s="68"/>
      <c r="R1500" s="68"/>
      <c r="S1500" s="68"/>
      <c r="T1500" s="68"/>
      <c r="U1500" s="68"/>
      <c r="V1500" s="68"/>
      <c r="W1500" s="68"/>
      <c r="X1500" s="68"/>
      <c r="Y1500" s="68"/>
      <c r="Z1500" s="68"/>
      <c r="AA1500" s="68"/>
      <c r="AB1500" s="68"/>
      <c r="AC1500" s="68"/>
      <c r="AD1500" s="68"/>
      <c r="AE1500" s="68"/>
    </row>
    <row r="1501" ht="26.25" customHeight="1">
      <c r="A1501" s="68"/>
      <c r="B1501" s="68"/>
      <c r="C1501" s="61" t="s">
        <v>129</v>
      </c>
      <c r="D1501" s="61" t="s">
        <v>130</v>
      </c>
      <c r="E1501" s="68"/>
      <c r="F1501" s="68"/>
      <c r="G1501" s="68"/>
      <c r="H1501" s="68"/>
      <c r="I1501" s="68"/>
      <c r="J1501" s="78"/>
      <c r="K1501" s="68"/>
      <c r="L1501" s="68"/>
      <c r="M1501" s="68"/>
      <c r="N1501" s="68"/>
      <c r="O1501" s="68"/>
      <c r="P1501" s="68"/>
      <c r="Q1501" s="68"/>
      <c r="R1501" s="68"/>
      <c r="S1501" s="68"/>
      <c r="T1501" s="68"/>
      <c r="U1501" s="68"/>
      <c r="V1501" s="68"/>
      <c r="W1501" s="68"/>
      <c r="X1501" s="68"/>
      <c r="Y1501" s="68"/>
      <c r="Z1501" s="68"/>
      <c r="AA1501" s="68"/>
      <c r="AB1501" s="68"/>
      <c r="AC1501" s="68"/>
      <c r="AD1501" s="68"/>
      <c r="AE1501" s="68"/>
    </row>
    <row r="1502" ht="26.25" customHeight="1">
      <c r="A1502" s="68"/>
      <c r="B1502" s="68"/>
      <c r="C1502" s="61" t="s">
        <v>129</v>
      </c>
      <c r="D1502" s="61" t="s">
        <v>130</v>
      </c>
      <c r="E1502" s="68"/>
      <c r="F1502" s="68"/>
      <c r="G1502" s="68"/>
      <c r="H1502" s="68"/>
      <c r="I1502" s="68"/>
      <c r="J1502" s="78"/>
      <c r="K1502" s="68"/>
      <c r="L1502" s="68"/>
      <c r="M1502" s="68"/>
      <c r="N1502" s="68"/>
      <c r="O1502" s="68"/>
      <c r="P1502" s="68"/>
      <c r="Q1502" s="68"/>
      <c r="R1502" s="68"/>
      <c r="S1502" s="68"/>
      <c r="T1502" s="68"/>
      <c r="U1502" s="68"/>
      <c r="V1502" s="68"/>
      <c r="W1502" s="68"/>
      <c r="X1502" s="68"/>
      <c r="Y1502" s="68"/>
      <c r="Z1502" s="68"/>
      <c r="AA1502" s="68"/>
      <c r="AB1502" s="68"/>
      <c r="AC1502" s="68"/>
      <c r="AD1502" s="68"/>
      <c r="AE1502" s="68"/>
    </row>
    <row r="1503" ht="26.25" customHeight="1">
      <c r="A1503" s="68"/>
      <c r="B1503" s="68"/>
      <c r="C1503" s="61" t="s">
        <v>129</v>
      </c>
      <c r="D1503" s="61" t="s">
        <v>130</v>
      </c>
      <c r="E1503" s="68"/>
      <c r="F1503" s="68"/>
      <c r="G1503" s="68"/>
      <c r="H1503" s="68"/>
      <c r="I1503" s="68"/>
      <c r="J1503" s="78"/>
      <c r="K1503" s="68"/>
      <c r="L1503" s="68"/>
      <c r="M1503" s="68"/>
      <c r="N1503" s="68"/>
      <c r="O1503" s="68"/>
      <c r="P1503" s="68"/>
      <c r="Q1503" s="68"/>
      <c r="R1503" s="68"/>
      <c r="S1503" s="68"/>
      <c r="T1503" s="68"/>
      <c r="U1503" s="68"/>
      <c r="V1503" s="68"/>
      <c r="W1503" s="68"/>
      <c r="X1503" s="68"/>
      <c r="Y1503" s="68"/>
      <c r="Z1503" s="68"/>
      <c r="AA1503" s="68"/>
      <c r="AB1503" s="68"/>
      <c r="AC1503" s="68"/>
      <c r="AD1503" s="68"/>
      <c r="AE1503" s="68"/>
    </row>
    <row r="1504" ht="26.25" customHeight="1">
      <c r="A1504" s="68"/>
      <c r="B1504" s="68"/>
      <c r="C1504" s="61" t="s">
        <v>129</v>
      </c>
      <c r="D1504" s="61" t="s">
        <v>130</v>
      </c>
      <c r="E1504" s="68"/>
      <c r="F1504" s="68"/>
      <c r="G1504" s="68"/>
      <c r="H1504" s="68"/>
      <c r="I1504" s="68"/>
      <c r="J1504" s="78"/>
      <c r="K1504" s="68"/>
      <c r="L1504" s="68"/>
      <c r="M1504" s="68"/>
      <c r="N1504" s="68"/>
      <c r="O1504" s="68"/>
      <c r="P1504" s="68"/>
      <c r="Q1504" s="68"/>
      <c r="R1504" s="68"/>
      <c r="S1504" s="68"/>
      <c r="T1504" s="68"/>
      <c r="U1504" s="68"/>
      <c r="V1504" s="68"/>
      <c r="W1504" s="68"/>
      <c r="X1504" s="68"/>
      <c r="Y1504" s="68"/>
      <c r="Z1504" s="68"/>
      <c r="AA1504" s="68"/>
      <c r="AB1504" s="68"/>
      <c r="AC1504" s="68"/>
      <c r="AD1504" s="68"/>
      <c r="AE1504" s="68"/>
    </row>
    <row r="1505" ht="26.25" customHeight="1">
      <c r="A1505" s="68"/>
      <c r="B1505" s="68"/>
      <c r="C1505" s="61" t="s">
        <v>129</v>
      </c>
      <c r="D1505" s="61" t="s">
        <v>130</v>
      </c>
      <c r="E1505" s="68"/>
      <c r="F1505" s="68"/>
      <c r="G1505" s="68"/>
      <c r="H1505" s="68"/>
      <c r="I1505" s="68"/>
      <c r="J1505" s="78"/>
      <c r="K1505" s="68"/>
      <c r="L1505" s="68"/>
      <c r="M1505" s="68"/>
      <c r="N1505" s="68"/>
      <c r="O1505" s="68"/>
      <c r="P1505" s="68"/>
      <c r="Q1505" s="68"/>
      <c r="R1505" s="68"/>
      <c r="S1505" s="68"/>
      <c r="T1505" s="68"/>
      <c r="U1505" s="68"/>
      <c r="V1505" s="68"/>
      <c r="W1505" s="68"/>
      <c r="X1505" s="68"/>
      <c r="Y1505" s="68"/>
      <c r="Z1505" s="68"/>
      <c r="AA1505" s="68"/>
      <c r="AB1505" s="68"/>
      <c r="AC1505" s="68"/>
      <c r="AD1505" s="68"/>
      <c r="AE1505" s="68"/>
    </row>
    <row r="1506" ht="26.25" customHeight="1">
      <c r="A1506" s="68"/>
      <c r="B1506" s="68"/>
      <c r="C1506" s="61" t="s">
        <v>129</v>
      </c>
      <c r="D1506" s="61" t="s">
        <v>130</v>
      </c>
      <c r="E1506" s="68"/>
      <c r="F1506" s="68"/>
      <c r="G1506" s="68"/>
      <c r="H1506" s="68"/>
      <c r="I1506" s="68"/>
      <c r="J1506" s="78"/>
      <c r="K1506" s="68"/>
      <c r="L1506" s="68"/>
      <c r="M1506" s="68"/>
      <c r="N1506" s="68"/>
      <c r="O1506" s="68"/>
      <c r="P1506" s="68"/>
      <c r="Q1506" s="68"/>
      <c r="R1506" s="68"/>
      <c r="S1506" s="68"/>
      <c r="T1506" s="68"/>
      <c r="U1506" s="68"/>
      <c r="V1506" s="68"/>
      <c r="W1506" s="68"/>
      <c r="X1506" s="68"/>
      <c r="Y1506" s="68"/>
      <c r="Z1506" s="68"/>
      <c r="AA1506" s="68"/>
      <c r="AB1506" s="68"/>
      <c r="AC1506" s="68"/>
      <c r="AD1506" s="68"/>
      <c r="AE1506" s="68"/>
    </row>
    <row r="1507" ht="26.25" customHeight="1">
      <c r="A1507" s="68"/>
      <c r="B1507" s="68"/>
      <c r="C1507" s="61" t="s">
        <v>129</v>
      </c>
      <c r="D1507" s="61" t="s">
        <v>130</v>
      </c>
      <c r="E1507" s="68"/>
      <c r="F1507" s="68"/>
      <c r="G1507" s="68"/>
      <c r="H1507" s="68"/>
      <c r="I1507" s="68"/>
      <c r="J1507" s="78"/>
      <c r="K1507" s="68"/>
      <c r="L1507" s="68"/>
      <c r="M1507" s="68"/>
      <c r="N1507" s="68"/>
      <c r="O1507" s="68"/>
      <c r="P1507" s="68"/>
      <c r="Q1507" s="68"/>
      <c r="R1507" s="68"/>
      <c r="S1507" s="68"/>
      <c r="T1507" s="68"/>
      <c r="U1507" s="68"/>
      <c r="V1507" s="68"/>
      <c r="W1507" s="68"/>
      <c r="X1507" s="68"/>
      <c r="Y1507" s="68"/>
      <c r="Z1507" s="68"/>
      <c r="AA1507" s="68"/>
      <c r="AB1507" s="68"/>
      <c r="AC1507" s="68"/>
      <c r="AD1507" s="68"/>
      <c r="AE1507" s="68"/>
    </row>
    <row r="1508" ht="26.25" customHeight="1">
      <c r="A1508" s="68"/>
      <c r="B1508" s="68"/>
      <c r="C1508" s="61" t="s">
        <v>129</v>
      </c>
      <c r="D1508" s="61" t="s">
        <v>130</v>
      </c>
      <c r="E1508" s="68"/>
      <c r="F1508" s="68"/>
      <c r="G1508" s="68"/>
      <c r="H1508" s="68"/>
      <c r="I1508" s="68"/>
      <c r="J1508" s="78"/>
      <c r="K1508" s="68"/>
      <c r="L1508" s="68"/>
      <c r="M1508" s="68"/>
      <c r="N1508" s="68"/>
      <c r="O1508" s="68"/>
      <c r="P1508" s="68"/>
      <c r="Q1508" s="68"/>
      <c r="R1508" s="68"/>
      <c r="S1508" s="68"/>
      <c r="T1508" s="68"/>
      <c r="U1508" s="68"/>
      <c r="V1508" s="68"/>
      <c r="W1508" s="68"/>
      <c r="X1508" s="68"/>
      <c r="Y1508" s="68"/>
      <c r="Z1508" s="68"/>
      <c r="AA1508" s="68"/>
      <c r="AB1508" s="68"/>
      <c r="AC1508" s="68"/>
      <c r="AD1508" s="68"/>
      <c r="AE1508" s="68"/>
    </row>
    <row r="1509" ht="26.25" customHeight="1">
      <c r="A1509" s="68"/>
      <c r="B1509" s="68"/>
      <c r="C1509" s="61" t="s">
        <v>129</v>
      </c>
      <c r="D1509" s="61" t="s">
        <v>130</v>
      </c>
      <c r="E1509" s="68"/>
      <c r="F1509" s="68"/>
      <c r="G1509" s="68"/>
      <c r="H1509" s="68"/>
      <c r="I1509" s="68"/>
      <c r="J1509" s="78"/>
      <c r="K1509" s="68"/>
      <c r="L1509" s="68"/>
      <c r="M1509" s="68"/>
      <c r="N1509" s="68"/>
      <c r="O1509" s="68"/>
      <c r="P1509" s="68"/>
      <c r="Q1509" s="68"/>
      <c r="R1509" s="68"/>
      <c r="S1509" s="68"/>
      <c r="T1509" s="68"/>
      <c r="U1509" s="68"/>
      <c r="V1509" s="68"/>
      <c r="W1509" s="68"/>
      <c r="X1509" s="68"/>
      <c r="Y1509" s="68"/>
      <c r="Z1509" s="68"/>
      <c r="AA1509" s="68"/>
      <c r="AB1509" s="68"/>
      <c r="AC1509" s="68"/>
      <c r="AD1509" s="68"/>
      <c r="AE1509" s="68"/>
    </row>
    <row r="1510" ht="26.25" customHeight="1">
      <c r="A1510" s="68"/>
      <c r="B1510" s="68"/>
      <c r="C1510" s="61" t="s">
        <v>129</v>
      </c>
      <c r="D1510" s="61" t="s">
        <v>130</v>
      </c>
      <c r="E1510" s="68"/>
      <c r="F1510" s="68"/>
      <c r="G1510" s="68"/>
      <c r="H1510" s="68"/>
      <c r="I1510" s="68"/>
      <c r="J1510" s="78"/>
      <c r="K1510" s="68"/>
      <c r="L1510" s="68"/>
      <c r="M1510" s="68"/>
      <c r="N1510" s="68"/>
      <c r="O1510" s="68"/>
      <c r="P1510" s="68"/>
      <c r="Q1510" s="68"/>
      <c r="R1510" s="68"/>
      <c r="S1510" s="68"/>
      <c r="T1510" s="68"/>
      <c r="U1510" s="68"/>
      <c r="V1510" s="68"/>
      <c r="W1510" s="68"/>
      <c r="X1510" s="68"/>
      <c r="Y1510" s="68"/>
      <c r="Z1510" s="68"/>
      <c r="AA1510" s="68"/>
      <c r="AB1510" s="68"/>
      <c r="AC1510" s="68"/>
      <c r="AD1510" s="68"/>
      <c r="AE1510" s="68"/>
    </row>
    <row r="1511" ht="26.25" customHeight="1">
      <c r="A1511" s="68"/>
      <c r="B1511" s="68"/>
      <c r="C1511" s="61" t="s">
        <v>129</v>
      </c>
      <c r="D1511" s="61" t="s">
        <v>130</v>
      </c>
      <c r="E1511" s="68"/>
      <c r="F1511" s="68"/>
      <c r="G1511" s="68"/>
      <c r="H1511" s="68"/>
      <c r="I1511" s="68"/>
      <c r="J1511" s="78"/>
      <c r="K1511" s="68"/>
      <c r="L1511" s="68"/>
      <c r="M1511" s="68"/>
      <c r="N1511" s="68"/>
      <c r="O1511" s="68"/>
      <c r="P1511" s="68"/>
      <c r="Q1511" s="68"/>
      <c r="R1511" s="68"/>
      <c r="S1511" s="68"/>
      <c r="T1511" s="68"/>
      <c r="U1511" s="68"/>
      <c r="V1511" s="68"/>
      <c r="W1511" s="68"/>
      <c r="X1511" s="68"/>
      <c r="Y1511" s="68"/>
      <c r="Z1511" s="68"/>
      <c r="AA1511" s="68"/>
      <c r="AB1511" s="68"/>
      <c r="AC1511" s="68"/>
      <c r="AD1511" s="68"/>
      <c r="AE1511" s="68"/>
    </row>
    <row r="1512" ht="26.25" customHeight="1">
      <c r="A1512" s="68"/>
      <c r="B1512" s="68"/>
      <c r="C1512" s="61" t="s">
        <v>129</v>
      </c>
      <c r="D1512" s="61" t="s">
        <v>130</v>
      </c>
      <c r="E1512" s="68"/>
      <c r="F1512" s="68"/>
      <c r="G1512" s="68"/>
      <c r="H1512" s="68"/>
      <c r="I1512" s="68"/>
      <c r="J1512" s="78"/>
      <c r="K1512" s="68"/>
      <c r="L1512" s="68"/>
      <c r="M1512" s="68"/>
      <c r="N1512" s="68"/>
      <c r="O1512" s="68"/>
      <c r="P1512" s="68"/>
      <c r="Q1512" s="68"/>
      <c r="R1512" s="68"/>
      <c r="S1512" s="68"/>
      <c r="T1512" s="68"/>
      <c r="U1512" s="68"/>
      <c r="V1512" s="68"/>
      <c r="W1512" s="68"/>
      <c r="X1512" s="68"/>
      <c r="Y1512" s="68"/>
      <c r="Z1512" s="68"/>
      <c r="AA1512" s="68"/>
      <c r="AB1512" s="68"/>
      <c r="AC1512" s="68"/>
      <c r="AD1512" s="68"/>
      <c r="AE1512" s="68"/>
    </row>
    <row r="1513" ht="26.25" customHeight="1">
      <c r="A1513" s="68"/>
      <c r="B1513" s="68"/>
      <c r="C1513" s="61" t="s">
        <v>129</v>
      </c>
      <c r="D1513" s="61" t="s">
        <v>130</v>
      </c>
      <c r="E1513" s="68"/>
      <c r="F1513" s="68"/>
      <c r="G1513" s="68"/>
      <c r="H1513" s="68"/>
      <c r="I1513" s="68"/>
      <c r="J1513" s="78"/>
      <c r="K1513" s="68"/>
      <c r="L1513" s="68"/>
      <c r="M1513" s="68"/>
      <c r="N1513" s="68"/>
      <c r="O1513" s="68"/>
      <c r="P1513" s="68"/>
      <c r="Q1513" s="68"/>
      <c r="R1513" s="68"/>
      <c r="S1513" s="68"/>
      <c r="T1513" s="68"/>
      <c r="U1513" s="68"/>
      <c r="V1513" s="68"/>
      <c r="W1513" s="68"/>
      <c r="X1513" s="68"/>
      <c r="Y1513" s="68"/>
      <c r="Z1513" s="68"/>
      <c r="AA1513" s="68"/>
      <c r="AB1513" s="68"/>
      <c r="AC1513" s="68"/>
      <c r="AD1513" s="68"/>
      <c r="AE1513" s="68"/>
    </row>
    <row r="1514" ht="26.25" customHeight="1">
      <c r="A1514" s="68"/>
      <c r="B1514" s="68"/>
      <c r="C1514" s="61" t="s">
        <v>129</v>
      </c>
      <c r="D1514" s="61" t="s">
        <v>130</v>
      </c>
      <c r="E1514" s="68"/>
      <c r="F1514" s="68"/>
      <c r="G1514" s="68"/>
      <c r="H1514" s="68"/>
      <c r="I1514" s="68"/>
      <c r="J1514" s="78"/>
      <c r="K1514" s="68"/>
      <c r="L1514" s="68"/>
      <c r="M1514" s="68"/>
      <c r="N1514" s="68"/>
      <c r="O1514" s="68"/>
      <c r="P1514" s="68"/>
      <c r="Q1514" s="68"/>
      <c r="R1514" s="68"/>
      <c r="S1514" s="68"/>
      <c r="T1514" s="68"/>
      <c r="U1514" s="68"/>
      <c r="V1514" s="68"/>
      <c r="W1514" s="68"/>
      <c r="X1514" s="68"/>
      <c r="Y1514" s="68"/>
      <c r="Z1514" s="68"/>
      <c r="AA1514" s="68"/>
      <c r="AB1514" s="68"/>
      <c r="AC1514" s="68"/>
      <c r="AD1514" s="68"/>
      <c r="AE1514" s="68"/>
    </row>
    <row r="1515" ht="26.25" customHeight="1">
      <c r="A1515" s="68"/>
      <c r="B1515" s="68"/>
      <c r="C1515" s="61" t="s">
        <v>129</v>
      </c>
      <c r="D1515" s="61" t="s">
        <v>130</v>
      </c>
      <c r="E1515" s="68"/>
      <c r="F1515" s="68"/>
      <c r="G1515" s="68"/>
      <c r="H1515" s="68"/>
      <c r="I1515" s="68"/>
      <c r="J1515" s="78"/>
      <c r="K1515" s="68"/>
      <c r="L1515" s="68"/>
      <c r="M1515" s="68"/>
      <c r="N1515" s="68"/>
      <c r="O1515" s="68"/>
      <c r="P1515" s="68"/>
      <c r="Q1515" s="68"/>
      <c r="R1515" s="68"/>
      <c r="S1515" s="68"/>
      <c r="T1515" s="68"/>
      <c r="U1515" s="68"/>
      <c r="V1515" s="68"/>
      <c r="W1515" s="68"/>
      <c r="X1515" s="68"/>
      <c r="Y1515" s="68"/>
      <c r="Z1515" s="68"/>
      <c r="AA1515" s="68"/>
      <c r="AB1515" s="68"/>
      <c r="AC1515" s="68"/>
      <c r="AD1515" s="68"/>
      <c r="AE1515" s="68"/>
    </row>
    <row r="1516" ht="26.25" customHeight="1">
      <c r="A1516" s="68"/>
      <c r="B1516" s="68"/>
      <c r="C1516" s="61" t="s">
        <v>129</v>
      </c>
      <c r="D1516" s="61" t="s">
        <v>130</v>
      </c>
      <c r="E1516" s="68"/>
      <c r="F1516" s="68"/>
      <c r="G1516" s="68"/>
      <c r="H1516" s="68"/>
      <c r="I1516" s="68"/>
      <c r="J1516" s="78"/>
      <c r="K1516" s="68"/>
      <c r="L1516" s="68"/>
      <c r="M1516" s="68"/>
      <c r="N1516" s="68"/>
      <c r="O1516" s="68"/>
      <c r="P1516" s="68"/>
      <c r="Q1516" s="68"/>
      <c r="R1516" s="68"/>
      <c r="S1516" s="68"/>
      <c r="T1516" s="68"/>
      <c r="U1516" s="68"/>
      <c r="V1516" s="68"/>
      <c r="W1516" s="68"/>
      <c r="X1516" s="68"/>
      <c r="Y1516" s="68"/>
      <c r="Z1516" s="68"/>
      <c r="AA1516" s="68"/>
      <c r="AB1516" s="68"/>
      <c r="AC1516" s="68"/>
      <c r="AD1516" s="68"/>
      <c r="AE1516" s="68"/>
    </row>
    <row r="1517" ht="26.25" customHeight="1">
      <c r="A1517" s="68"/>
      <c r="B1517" s="68"/>
      <c r="C1517" s="61" t="s">
        <v>129</v>
      </c>
      <c r="D1517" s="61" t="s">
        <v>130</v>
      </c>
      <c r="E1517" s="68"/>
      <c r="F1517" s="68"/>
      <c r="G1517" s="68"/>
      <c r="H1517" s="68"/>
      <c r="I1517" s="68"/>
      <c r="J1517" s="78"/>
      <c r="K1517" s="68"/>
      <c r="L1517" s="68"/>
      <c r="M1517" s="68"/>
      <c r="N1517" s="68"/>
      <c r="O1517" s="68"/>
      <c r="P1517" s="68"/>
      <c r="Q1517" s="68"/>
      <c r="R1517" s="68"/>
      <c r="S1517" s="68"/>
      <c r="T1517" s="68"/>
      <c r="U1517" s="68"/>
      <c r="V1517" s="68"/>
      <c r="W1517" s="68"/>
      <c r="X1517" s="68"/>
      <c r="Y1517" s="68"/>
      <c r="Z1517" s="68"/>
      <c r="AA1517" s="68"/>
      <c r="AB1517" s="68"/>
      <c r="AC1517" s="68"/>
      <c r="AD1517" s="68"/>
      <c r="AE1517" s="68"/>
    </row>
    <row r="1518" ht="26.25" customHeight="1">
      <c r="A1518" s="68"/>
      <c r="B1518" s="68"/>
      <c r="C1518" s="61" t="s">
        <v>129</v>
      </c>
      <c r="D1518" s="61" t="s">
        <v>130</v>
      </c>
      <c r="E1518" s="68"/>
      <c r="F1518" s="68"/>
      <c r="G1518" s="68"/>
      <c r="H1518" s="68"/>
      <c r="I1518" s="68"/>
      <c r="J1518" s="78"/>
      <c r="K1518" s="68"/>
      <c r="L1518" s="68"/>
      <c r="M1518" s="68"/>
      <c r="N1518" s="68"/>
      <c r="O1518" s="68"/>
      <c r="P1518" s="68"/>
      <c r="Q1518" s="68"/>
      <c r="R1518" s="68"/>
      <c r="S1518" s="68"/>
      <c r="T1518" s="68"/>
      <c r="U1518" s="68"/>
      <c r="V1518" s="68"/>
      <c r="W1518" s="68"/>
      <c r="X1518" s="68"/>
      <c r="Y1518" s="68"/>
      <c r="Z1518" s="68"/>
      <c r="AA1518" s="68"/>
      <c r="AB1518" s="68"/>
      <c r="AC1518" s="68"/>
      <c r="AD1518" s="68"/>
      <c r="AE1518" s="68"/>
    </row>
    <row r="1519" ht="26.25" customHeight="1">
      <c r="A1519" s="68"/>
      <c r="B1519" s="68"/>
      <c r="C1519" s="61" t="s">
        <v>129</v>
      </c>
      <c r="D1519" s="61" t="s">
        <v>130</v>
      </c>
      <c r="E1519" s="68"/>
      <c r="F1519" s="68"/>
      <c r="G1519" s="68"/>
      <c r="H1519" s="68"/>
      <c r="I1519" s="68"/>
      <c r="J1519" s="78"/>
      <c r="K1519" s="68"/>
      <c r="L1519" s="68"/>
      <c r="M1519" s="68"/>
      <c r="N1519" s="68"/>
      <c r="O1519" s="68"/>
      <c r="P1519" s="68"/>
      <c r="Q1519" s="68"/>
      <c r="R1519" s="68"/>
      <c r="S1519" s="68"/>
      <c r="T1519" s="68"/>
      <c r="U1519" s="68"/>
      <c r="V1519" s="68"/>
      <c r="W1519" s="68"/>
      <c r="X1519" s="68"/>
      <c r="Y1519" s="68"/>
      <c r="Z1519" s="68"/>
      <c r="AA1519" s="68"/>
      <c r="AB1519" s="68"/>
      <c r="AC1519" s="68"/>
      <c r="AD1519" s="68"/>
      <c r="AE1519" s="68"/>
    </row>
    <row r="1520" ht="26.25" customHeight="1">
      <c r="A1520" s="68"/>
      <c r="B1520" s="68"/>
      <c r="C1520" s="61" t="s">
        <v>129</v>
      </c>
      <c r="D1520" s="61" t="s">
        <v>130</v>
      </c>
      <c r="E1520" s="68"/>
      <c r="F1520" s="68"/>
      <c r="G1520" s="68"/>
      <c r="H1520" s="68"/>
      <c r="I1520" s="68"/>
      <c r="J1520" s="78"/>
      <c r="K1520" s="68"/>
      <c r="L1520" s="68"/>
      <c r="M1520" s="68"/>
      <c r="N1520" s="68"/>
      <c r="O1520" s="68"/>
      <c r="P1520" s="68"/>
      <c r="Q1520" s="68"/>
      <c r="R1520" s="68"/>
      <c r="S1520" s="68"/>
      <c r="T1520" s="68"/>
      <c r="U1520" s="68"/>
      <c r="V1520" s="68"/>
      <c r="W1520" s="68"/>
      <c r="X1520" s="68"/>
      <c r="Y1520" s="68"/>
      <c r="Z1520" s="68"/>
      <c r="AA1520" s="68"/>
      <c r="AB1520" s="68"/>
      <c r="AC1520" s="68"/>
      <c r="AD1520" s="68"/>
      <c r="AE1520" s="68"/>
    </row>
    <row r="1521" ht="26.25" customHeight="1">
      <c r="A1521" s="68"/>
      <c r="B1521" s="68"/>
      <c r="C1521" s="61" t="s">
        <v>129</v>
      </c>
      <c r="D1521" s="61" t="s">
        <v>130</v>
      </c>
      <c r="E1521" s="68"/>
      <c r="F1521" s="68"/>
      <c r="G1521" s="68"/>
      <c r="H1521" s="68"/>
      <c r="I1521" s="68"/>
      <c r="J1521" s="78"/>
      <c r="K1521" s="68"/>
      <c r="L1521" s="68"/>
      <c r="M1521" s="68"/>
      <c r="N1521" s="68"/>
      <c r="O1521" s="68"/>
      <c r="P1521" s="68"/>
      <c r="Q1521" s="68"/>
      <c r="R1521" s="68"/>
      <c r="S1521" s="68"/>
      <c r="T1521" s="68"/>
      <c r="U1521" s="68"/>
      <c r="V1521" s="68"/>
      <c r="W1521" s="68"/>
      <c r="X1521" s="68"/>
      <c r="Y1521" s="68"/>
      <c r="Z1521" s="68"/>
      <c r="AA1521" s="68"/>
      <c r="AB1521" s="68"/>
      <c r="AC1521" s="68"/>
      <c r="AD1521" s="68"/>
      <c r="AE1521" s="68"/>
    </row>
    <row r="1522" ht="26.25" customHeight="1">
      <c r="A1522" s="68"/>
      <c r="B1522" s="68"/>
      <c r="C1522" s="61" t="s">
        <v>129</v>
      </c>
      <c r="D1522" s="61" t="s">
        <v>130</v>
      </c>
      <c r="E1522" s="68"/>
      <c r="F1522" s="68"/>
      <c r="G1522" s="68"/>
      <c r="H1522" s="68"/>
      <c r="I1522" s="68"/>
      <c r="J1522" s="78"/>
      <c r="K1522" s="68"/>
      <c r="L1522" s="68"/>
      <c r="M1522" s="68"/>
      <c r="N1522" s="68"/>
      <c r="O1522" s="68"/>
      <c r="P1522" s="68"/>
      <c r="Q1522" s="68"/>
      <c r="R1522" s="68"/>
      <c r="S1522" s="68"/>
      <c r="T1522" s="68"/>
      <c r="U1522" s="68"/>
      <c r="V1522" s="68"/>
      <c r="W1522" s="68"/>
      <c r="X1522" s="68"/>
      <c r="Y1522" s="68"/>
      <c r="Z1522" s="68"/>
      <c r="AA1522" s="68"/>
      <c r="AB1522" s="68"/>
      <c r="AC1522" s="68"/>
      <c r="AD1522" s="68"/>
      <c r="AE1522" s="68"/>
    </row>
    <row r="1523" ht="26.25" customHeight="1">
      <c r="A1523" s="68"/>
      <c r="B1523" s="68"/>
      <c r="C1523" s="61" t="s">
        <v>129</v>
      </c>
      <c r="D1523" s="61" t="s">
        <v>130</v>
      </c>
      <c r="E1523" s="68"/>
      <c r="F1523" s="68"/>
      <c r="G1523" s="68"/>
      <c r="H1523" s="68"/>
      <c r="I1523" s="68"/>
      <c r="J1523" s="78"/>
      <c r="K1523" s="68"/>
      <c r="L1523" s="68"/>
      <c r="M1523" s="68"/>
      <c r="N1523" s="68"/>
      <c r="O1523" s="68"/>
      <c r="P1523" s="68"/>
      <c r="Q1523" s="68"/>
      <c r="R1523" s="68"/>
      <c r="S1523" s="68"/>
      <c r="T1523" s="68"/>
      <c r="U1523" s="68"/>
      <c r="V1523" s="68"/>
      <c r="W1523" s="68"/>
      <c r="X1523" s="68"/>
      <c r="Y1523" s="68"/>
      <c r="Z1523" s="68"/>
      <c r="AA1523" s="68"/>
      <c r="AB1523" s="68"/>
      <c r="AC1523" s="68"/>
      <c r="AD1523" s="68"/>
      <c r="AE1523" s="68"/>
    </row>
    <row r="1524" ht="26.25" customHeight="1">
      <c r="A1524" s="68"/>
      <c r="B1524" s="68"/>
      <c r="C1524" s="61" t="s">
        <v>129</v>
      </c>
      <c r="D1524" s="61" t="s">
        <v>130</v>
      </c>
      <c r="E1524" s="68"/>
      <c r="F1524" s="68"/>
      <c r="G1524" s="68"/>
      <c r="H1524" s="68"/>
      <c r="I1524" s="68"/>
      <c r="J1524" s="78"/>
      <c r="K1524" s="68"/>
      <c r="L1524" s="68"/>
      <c r="M1524" s="68"/>
      <c r="N1524" s="68"/>
      <c r="O1524" s="68"/>
      <c r="P1524" s="68"/>
      <c r="Q1524" s="68"/>
      <c r="R1524" s="68"/>
      <c r="S1524" s="68"/>
      <c r="T1524" s="68"/>
      <c r="U1524" s="68"/>
      <c r="V1524" s="68"/>
      <c r="W1524" s="68"/>
      <c r="X1524" s="68"/>
      <c r="Y1524" s="68"/>
      <c r="Z1524" s="68"/>
      <c r="AA1524" s="68"/>
      <c r="AB1524" s="68"/>
      <c r="AC1524" s="68"/>
      <c r="AD1524" s="68"/>
      <c r="AE1524" s="68"/>
    </row>
    <row r="1525" ht="26.25" customHeight="1">
      <c r="A1525" s="68"/>
      <c r="B1525" s="68"/>
      <c r="C1525" s="61" t="s">
        <v>129</v>
      </c>
      <c r="D1525" s="61" t="s">
        <v>130</v>
      </c>
      <c r="E1525" s="68"/>
      <c r="F1525" s="68"/>
      <c r="G1525" s="68"/>
      <c r="H1525" s="68"/>
      <c r="I1525" s="68"/>
      <c r="J1525" s="78"/>
      <c r="K1525" s="68"/>
      <c r="L1525" s="68"/>
      <c r="M1525" s="68"/>
      <c r="N1525" s="68"/>
      <c r="O1525" s="68"/>
      <c r="P1525" s="68"/>
      <c r="Q1525" s="68"/>
      <c r="R1525" s="68"/>
      <c r="S1525" s="68"/>
      <c r="T1525" s="68"/>
      <c r="U1525" s="68"/>
      <c r="V1525" s="68"/>
      <c r="W1525" s="68"/>
      <c r="X1525" s="68"/>
      <c r="Y1525" s="68"/>
      <c r="Z1525" s="68"/>
      <c r="AA1525" s="68"/>
      <c r="AB1525" s="68"/>
      <c r="AC1525" s="68"/>
      <c r="AD1525" s="68"/>
      <c r="AE1525" s="68"/>
    </row>
    <row r="1526" ht="26.25" customHeight="1">
      <c r="A1526" s="68"/>
      <c r="B1526" s="68"/>
      <c r="C1526" s="61" t="s">
        <v>129</v>
      </c>
      <c r="D1526" s="61" t="s">
        <v>130</v>
      </c>
      <c r="E1526" s="68"/>
      <c r="F1526" s="68"/>
      <c r="G1526" s="68"/>
      <c r="H1526" s="68"/>
      <c r="I1526" s="68"/>
      <c r="J1526" s="78"/>
      <c r="K1526" s="68"/>
      <c r="L1526" s="68"/>
      <c r="M1526" s="68"/>
      <c r="N1526" s="68"/>
      <c r="O1526" s="68"/>
      <c r="P1526" s="68"/>
      <c r="Q1526" s="68"/>
      <c r="R1526" s="68"/>
      <c r="S1526" s="68"/>
      <c r="T1526" s="68"/>
      <c r="U1526" s="68"/>
      <c r="V1526" s="68"/>
      <c r="W1526" s="68"/>
      <c r="X1526" s="68"/>
      <c r="Y1526" s="68"/>
      <c r="Z1526" s="68"/>
      <c r="AA1526" s="68"/>
      <c r="AB1526" s="68"/>
      <c r="AC1526" s="68"/>
      <c r="AD1526" s="68"/>
      <c r="AE1526" s="68"/>
    </row>
    <row r="1527" ht="26.25" customHeight="1">
      <c r="A1527" s="68"/>
      <c r="B1527" s="68"/>
      <c r="C1527" s="61" t="s">
        <v>129</v>
      </c>
      <c r="D1527" s="61" t="s">
        <v>130</v>
      </c>
      <c r="E1527" s="68"/>
      <c r="F1527" s="68"/>
      <c r="G1527" s="68"/>
      <c r="H1527" s="68"/>
      <c r="I1527" s="68"/>
      <c r="J1527" s="78"/>
      <c r="K1527" s="68"/>
      <c r="L1527" s="68"/>
      <c r="M1527" s="68"/>
      <c r="N1527" s="68"/>
      <c r="O1527" s="68"/>
      <c r="P1527" s="68"/>
      <c r="Q1527" s="68"/>
      <c r="R1527" s="68"/>
      <c r="S1527" s="68"/>
      <c r="T1527" s="68"/>
      <c r="U1527" s="68"/>
      <c r="V1527" s="68"/>
      <c r="W1527" s="68"/>
      <c r="X1527" s="68"/>
      <c r="Y1527" s="68"/>
      <c r="Z1527" s="68"/>
      <c r="AA1527" s="68"/>
      <c r="AB1527" s="68"/>
      <c r="AC1527" s="68"/>
      <c r="AD1527" s="68"/>
      <c r="AE1527" s="68"/>
    </row>
    <row r="1528" ht="26.25" customHeight="1">
      <c r="A1528" s="68"/>
      <c r="B1528" s="68"/>
      <c r="C1528" s="61" t="s">
        <v>129</v>
      </c>
      <c r="D1528" s="61" t="s">
        <v>130</v>
      </c>
      <c r="E1528" s="68"/>
      <c r="F1528" s="68"/>
      <c r="G1528" s="68"/>
      <c r="H1528" s="68"/>
      <c r="I1528" s="68"/>
      <c r="J1528" s="78"/>
      <c r="K1528" s="68"/>
      <c r="L1528" s="68"/>
      <c r="M1528" s="68"/>
      <c r="N1528" s="68"/>
      <c r="O1528" s="68"/>
      <c r="P1528" s="68"/>
      <c r="Q1528" s="68"/>
      <c r="R1528" s="68"/>
      <c r="S1528" s="68"/>
      <c r="T1528" s="68"/>
      <c r="U1528" s="68"/>
      <c r="V1528" s="68"/>
      <c r="W1528" s="68"/>
      <c r="X1528" s="68"/>
      <c r="Y1528" s="68"/>
      <c r="Z1528" s="68"/>
      <c r="AA1528" s="68"/>
      <c r="AB1528" s="68"/>
      <c r="AC1528" s="68"/>
      <c r="AD1528" s="68"/>
      <c r="AE1528" s="68"/>
    </row>
    <row r="1529" ht="26.25" customHeight="1">
      <c r="A1529" s="68"/>
      <c r="B1529" s="68"/>
      <c r="C1529" s="61" t="s">
        <v>129</v>
      </c>
      <c r="D1529" s="61" t="s">
        <v>130</v>
      </c>
      <c r="E1529" s="68"/>
      <c r="F1529" s="68"/>
      <c r="G1529" s="68"/>
      <c r="H1529" s="68"/>
      <c r="I1529" s="68"/>
      <c r="J1529" s="78"/>
      <c r="K1529" s="68"/>
      <c r="L1529" s="68"/>
      <c r="M1529" s="68"/>
      <c r="N1529" s="68"/>
      <c r="O1529" s="68"/>
      <c r="P1529" s="68"/>
      <c r="Q1529" s="68"/>
      <c r="R1529" s="68"/>
      <c r="S1529" s="68"/>
      <c r="T1529" s="68"/>
      <c r="U1529" s="68"/>
      <c r="V1529" s="68"/>
      <c r="W1529" s="68"/>
      <c r="X1529" s="68"/>
      <c r="Y1529" s="68"/>
      <c r="Z1529" s="68"/>
      <c r="AA1529" s="68"/>
      <c r="AB1529" s="68"/>
      <c r="AC1529" s="68"/>
      <c r="AD1529" s="68"/>
      <c r="AE1529" s="68"/>
    </row>
    <row r="1530" ht="26.25" customHeight="1">
      <c r="A1530" s="68"/>
      <c r="B1530" s="68"/>
      <c r="C1530" s="61" t="s">
        <v>129</v>
      </c>
      <c r="D1530" s="61" t="s">
        <v>130</v>
      </c>
      <c r="E1530" s="68"/>
      <c r="F1530" s="68"/>
      <c r="G1530" s="68"/>
      <c r="H1530" s="68"/>
      <c r="I1530" s="68"/>
      <c r="J1530" s="78"/>
      <c r="K1530" s="68"/>
      <c r="L1530" s="68"/>
      <c r="M1530" s="68"/>
      <c r="N1530" s="68"/>
      <c r="O1530" s="68"/>
      <c r="P1530" s="68"/>
      <c r="Q1530" s="68"/>
      <c r="R1530" s="68"/>
      <c r="S1530" s="68"/>
      <c r="T1530" s="68"/>
      <c r="U1530" s="68"/>
      <c r="V1530" s="68"/>
      <c r="W1530" s="68"/>
      <c r="X1530" s="68"/>
      <c r="Y1530" s="68"/>
      <c r="Z1530" s="68"/>
      <c r="AA1530" s="68"/>
      <c r="AB1530" s="68"/>
      <c r="AC1530" s="68"/>
      <c r="AD1530" s="68"/>
      <c r="AE1530" s="68"/>
    </row>
    <row r="1531" ht="26.25" customHeight="1">
      <c r="A1531" s="68"/>
      <c r="B1531" s="68"/>
      <c r="C1531" s="61" t="s">
        <v>129</v>
      </c>
      <c r="D1531" s="61" t="s">
        <v>130</v>
      </c>
      <c r="E1531" s="68"/>
      <c r="F1531" s="68"/>
      <c r="G1531" s="68"/>
      <c r="H1531" s="68"/>
      <c r="I1531" s="68"/>
      <c r="J1531" s="78"/>
      <c r="K1531" s="68"/>
      <c r="L1531" s="68"/>
      <c r="M1531" s="68"/>
      <c r="N1531" s="68"/>
      <c r="O1531" s="68"/>
      <c r="P1531" s="68"/>
      <c r="Q1531" s="68"/>
      <c r="R1531" s="68"/>
      <c r="S1531" s="68"/>
      <c r="T1531" s="68"/>
      <c r="U1531" s="68"/>
      <c r="V1531" s="68"/>
      <c r="W1531" s="68"/>
      <c r="X1531" s="68"/>
      <c r="Y1531" s="68"/>
      <c r="Z1531" s="68"/>
      <c r="AA1531" s="68"/>
      <c r="AB1531" s="68"/>
      <c r="AC1531" s="68"/>
      <c r="AD1531" s="68"/>
      <c r="AE1531" s="68"/>
    </row>
    <row r="1532" ht="26.25" customHeight="1">
      <c r="A1532" s="68"/>
      <c r="B1532" s="68"/>
      <c r="C1532" s="61" t="s">
        <v>129</v>
      </c>
      <c r="D1532" s="61" t="s">
        <v>130</v>
      </c>
      <c r="E1532" s="68"/>
      <c r="F1532" s="68"/>
      <c r="G1532" s="68"/>
      <c r="H1532" s="68"/>
      <c r="I1532" s="68"/>
      <c r="J1532" s="78"/>
      <c r="K1532" s="68"/>
      <c r="L1532" s="68"/>
      <c r="M1532" s="68"/>
      <c r="N1532" s="68"/>
      <c r="O1532" s="68"/>
      <c r="P1532" s="68"/>
      <c r="Q1532" s="68"/>
      <c r="R1532" s="68"/>
      <c r="S1532" s="68"/>
      <c r="T1532" s="68"/>
      <c r="U1532" s="68"/>
      <c r="V1532" s="68"/>
      <c r="W1532" s="68"/>
      <c r="X1532" s="68"/>
      <c r="Y1532" s="68"/>
      <c r="Z1532" s="68"/>
      <c r="AA1532" s="68"/>
      <c r="AB1532" s="68"/>
      <c r="AC1532" s="68"/>
      <c r="AD1532" s="68"/>
      <c r="AE1532" s="68"/>
    </row>
    <row r="1533" ht="26.25" customHeight="1">
      <c r="A1533" s="68"/>
      <c r="B1533" s="68"/>
      <c r="C1533" s="61" t="s">
        <v>129</v>
      </c>
      <c r="D1533" s="61" t="s">
        <v>130</v>
      </c>
      <c r="E1533" s="68"/>
      <c r="F1533" s="68"/>
      <c r="G1533" s="68"/>
      <c r="H1533" s="68"/>
      <c r="I1533" s="68"/>
      <c r="J1533" s="78"/>
      <c r="K1533" s="68"/>
      <c r="L1533" s="68"/>
      <c r="M1533" s="68"/>
      <c r="N1533" s="68"/>
      <c r="O1533" s="68"/>
      <c r="P1533" s="68"/>
      <c r="Q1533" s="68"/>
      <c r="R1533" s="68"/>
      <c r="S1533" s="68"/>
      <c r="T1533" s="68"/>
      <c r="U1533" s="68"/>
      <c r="V1533" s="68"/>
      <c r="W1533" s="68"/>
      <c r="X1533" s="68"/>
      <c r="Y1533" s="68"/>
      <c r="Z1533" s="68"/>
      <c r="AA1533" s="68"/>
      <c r="AB1533" s="68"/>
      <c r="AC1533" s="68"/>
      <c r="AD1533" s="68"/>
      <c r="AE1533" s="68"/>
    </row>
    <row r="1534" ht="26.25" customHeight="1">
      <c r="A1534" s="68"/>
      <c r="B1534" s="68"/>
      <c r="C1534" s="61" t="s">
        <v>129</v>
      </c>
      <c r="D1534" s="61" t="s">
        <v>130</v>
      </c>
      <c r="E1534" s="68"/>
      <c r="F1534" s="68"/>
      <c r="G1534" s="68"/>
      <c r="H1534" s="68"/>
      <c r="I1534" s="68"/>
      <c r="J1534" s="78"/>
      <c r="K1534" s="68"/>
      <c r="L1534" s="68"/>
      <c r="M1534" s="68"/>
      <c r="N1534" s="68"/>
      <c r="O1534" s="68"/>
      <c r="P1534" s="68"/>
      <c r="Q1534" s="68"/>
      <c r="R1534" s="68"/>
      <c r="S1534" s="68"/>
      <c r="T1534" s="68"/>
      <c r="U1534" s="68"/>
      <c r="V1534" s="68"/>
      <c r="W1534" s="68"/>
      <c r="X1534" s="68"/>
      <c r="Y1534" s="68"/>
      <c r="Z1534" s="68"/>
      <c r="AA1534" s="68"/>
      <c r="AB1534" s="68"/>
      <c r="AC1534" s="68"/>
      <c r="AD1534" s="68"/>
      <c r="AE1534" s="68"/>
    </row>
    <row r="1535" ht="26.25" customHeight="1">
      <c r="A1535" s="68"/>
      <c r="B1535" s="68"/>
      <c r="C1535" s="61" t="s">
        <v>129</v>
      </c>
      <c r="D1535" s="61" t="s">
        <v>130</v>
      </c>
      <c r="E1535" s="68"/>
      <c r="F1535" s="68"/>
      <c r="G1535" s="68"/>
      <c r="H1535" s="68"/>
      <c r="I1535" s="68"/>
      <c r="J1535" s="78"/>
      <c r="K1535" s="68"/>
      <c r="L1535" s="68"/>
      <c r="M1535" s="68"/>
      <c r="N1535" s="68"/>
      <c r="O1535" s="68"/>
      <c r="P1535" s="68"/>
      <c r="Q1535" s="68"/>
      <c r="R1535" s="68"/>
      <c r="S1535" s="68"/>
      <c r="T1535" s="68"/>
      <c r="U1535" s="68"/>
      <c r="V1535" s="68"/>
      <c r="W1535" s="68"/>
      <c r="X1535" s="68"/>
      <c r="Y1535" s="68"/>
      <c r="Z1535" s="68"/>
      <c r="AA1535" s="68"/>
      <c r="AB1535" s="68"/>
      <c r="AC1535" s="68"/>
      <c r="AD1535" s="68"/>
      <c r="AE1535" s="68"/>
    </row>
    <row r="1536" ht="26.25" customHeight="1">
      <c r="A1536" s="68"/>
      <c r="B1536" s="68"/>
      <c r="C1536" s="61" t="s">
        <v>129</v>
      </c>
      <c r="D1536" s="61" t="s">
        <v>130</v>
      </c>
      <c r="E1536" s="68"/>
      <c r="F1536" s="68"/>
      <c r="G1536" s="68"/>
      <c r="H1536" s="68"/>
      <c r="I1536" s="68"/>
      <c r="J1536" s="78"/>
      <c r="K1536" s="68"/>
      <c r="L1536" s="68"/>
      <c r="M1536" s="68"/>
      <c r="N1536" s="68"/>
      <c r="O1536" s="68"/>
      <c r="P1536" s="68"/>
      <c r="Q1536" s="68"/>
      <c r="R1536" s="68"/>
      <c r="S1536" s="68"/>
      <c r="T1536" s="68"/>
      <c r="U1536" s="68"/>
      <c r="V1536" s="68"/>
      <c r="W1536" s="68"/>
      <c r="X1536" s="68"/>
      <c r="Y1536" s="68"/>
      <c r="Z1536" s="68"/>
      <c r="AA1536" s="68"/>
      <c r="AB1536" s="68"/>
      <c r="AC1536" s="68"/>
      <c r="AD1536" s="68"/>
      <c r="AE1536" s="68"/>
    </row>
    <row r="1537" ht="26.25" customHeight="1">
      <c r="A1537" s="68"/>
      <c r="B1537" s="68"/>
      <c r="C1537" s="61" t="s">
        <v>129</v>
      </c>
      <c r="D1537" s="61" t="s">
        <v>130</v>
      </c>
      <c r="E1537" s="68"/>
      <c r="F1537" s="68"/>
      <c r="G1537" s="68"/>
      <c r="H1537" s="68"/>
      <c r="I1537" s="68"/>
      <c r="J1537" s="78"/>
      <c r="K1537" s="68"/>
      <c r="L1537" s="68"/>
      <c r="M1537" s="68"/>
      <c r="N1537" s="68"/>
      <c r="O1537" s="68"/>
      <c r="P1537" s="68"/>
      <c r="Q1537" s="68"/>
      <c r="R1537" s="68"/>
      <c r="S1537" s="68"/>
      <c r="T1537" s="68"/>
      <c r="U1537" s="68"/>
      <c r="V1537" s="68"/>
      <c r="W1537" s="68"/>
      <c r="X1537" s="68"/>
      <c r="Y1537" s="68"/>
      <c r="Z1537" s="68"/>
      <c r="AA1537" s="68"/>
      <c r="AB1537" s="68"/>
      <c r="AC1537" s="68"/>
      <c r="AD1537" s="68"/>
      <c r="AE1537" s="68"/>
    </row>
    <row r="1538" ht="26.25" customHeight="1">
      <c r="A1538" s="68"/>
      <c r="B1538" s="68"/>
      <c r="C1538" s="61" t="s">
        <v>129</v>
      </c>
      <c r="D1538" s="61" t="s">
        <v>130</v>
      </c>
      <c r="E1538" s="68"/>
      <c r="F1538" s="68"/>
      <c r="G1538" s="68"/>
      <c r="H1538" s="68"/>
      <c r="I1538" s="68"/>
      <c r="J1538" s="78"/>
      <c r="K1538" s="68"/>
      <c r="L1538" s="68"/>
      <c r="M1538" s="68"/>
      <c r="N1538" s="68"/>
      <c r="O1538" s="68"/>
      <c r="P1538" s="68"/>
      <c r="Q1538" s="68"/>
      <c r="R1538" s="68"/>
      <c r="S1538" s="68"/>
      <c r="T1538" s="68"/>
      <c r="U1538" s="68"/>
      <c r="V1538" s="68"/>
      <c r="W1538" s="68"/>
      <c r="X1538" s="68"/>
      <c r="Y1538" s="68"/>
      <c r="Z1538" s="68"/>
      <c r="AA1538" s="68"/>
      <c r="AB1538" s="68"/>
      <c r="AC1538" s="68"/>
      <c r="AD1538" s="68"/>
      <c r="AE1538" s="68"/>
    </row>
    <row r="1539" ht="26.25" customHeight="1">
      <c r="A1539" s="68"/>
      <c r="B1539" s="68"/>
      <c r="C1539" s="61" t="s">
        <v>129</v>
      </c>
      <c r="D1539" s="61" t="s">
        <v>130</v>
      </c>
      <c r="E1539" s="68"/>
      <c r="F1539" s="68"/>
      <c r="G1539" s="68"/>
      <c r="H1539" s="68"/>
      <c r="I1539" s="68"/>
      <c r="J1539" s="78"/>
      <c r="K1539" s="68"/>
      <c r="L1539" s="68"/>
      <c r="M1539" s="68"/>
      <c r="N1539" s="68"/>
      <c r="O1539" s="68"/>
      <c r="P1539" s="68"/>
      <c r="Q1539" s="68"/>
      <c r="R1539" s="68"/>
      <c r="S1539" s="68"/>
      <c r="T1539" s="68"/>
      <c r="U1539" s="68"/>
      <c r="V1539" s="68"/>
      <c r="W1539" s="68"/>
      <c r="X1539" s="68"/>
      <c r="Y1539" s="68"/>
      <c r="Z1539" s="68"/>
      <c r="AA1539" s="68"/>
      <c r="AB1539" s="68"/>
      <c r="AC1539" s="68"/>
      <c r="AD1539" s="68"/>
      <c r="AE1539" s="68"/>
    </row>
    <row r="1540" ht="26.25" customHeight="1">
      <c r="A1540" s="68"/>
      <c r="B1540" s="68"/>
      <c r="C1540" s="61" t="s">
        <v>129</v>
      </c>
      <c r="D1540" s="61" t="s">
        <v>130</v>
      </c>
      <c r="E1540" s="68"/>
      <c r="F1540" s="68"/>
      <c r="G1540" s="68"/>
      <c r="H1540" s="68"/>
      <c r="I1540" s="68"/>
      <c r="J1540" s="78"/>
      <c r="K1540" s="68"/>
      <c r="L1540" s="68"/>
      <c r="M1540" s="68"/>
      <c r="N1540" s="68"/>
      <c r="O1540" s="68"/>
      <c r="P1540" s="68"/>
      <c r="Q1540" s="68"/>
      <c r="R1540" s="68"/>
      <c r="S1540" s="68"/>
      <c r="T1540" s="68"/>
      <c r="U1540" s="68"/>
      <c r="V1540" s="68"/>
      <c r="W1540" s="68"/>
      <c r="X1540" s="68"/>
      <c r="Y1540" s="68"/>
      <c r="Z1540" s="68"/>
      <c r="AA1540" s="68"/>
      <c r="AB1540" s="68"/>
      <c r="AC1540" s="68"/>
      <c r="AD1540" s="68"/>
      <c r="AE1540" s="68"/>
    </row>
    <row r="1541" ht="26.25" customHeight="1">
      <c r="A1541" s="68"/>
      <c r="B1541" s="68"/>
      <c r="C1541" s="61" t="s">
        <v>129</v>
      </c>
      <c r="D1541" s="61" t="s">
        <v>130</v>
      </c>
      <c r="E1541" s="68"/>
      <c r="F1541" s="68"/>
      <c r="G1541" s="68"/>
      <c r="H1541" s="68"/>
      <c r="I1541" s="68"/>
      <c r="J1541" s="78"/>
      <c r="K1541" s="68"/>
      <c r="L1541" s="68"/>
      <c r="M1541" s="68"/>
      <c r="N1541" s="68"/>
      <c r="O1541" s="68"/>
      <c r="P1541" s="68"/>
      <c r="Q1541" s="68"/>
      <c r="R1541" s="68"/>
      <c r="S1541" s="68"/>
      <c r="T1541" s="68"/>
      <c r="U1541" s="68"/>
      <c r="V1541" s="68"/>
      <c r="W1541" s="68"/>
      <c r="X1541" s="68"/>
      <c r="Y1541" s="68"/>
      <c r="Z1541" s="68"/>
      <c r="AA1541" s="68"/>
      <c r="AB1541" s="68"/>
      <c r="AC1541" s="68"/>
      <c r="AD1541" s="68"/>
      <c r="AE1541" s="68"/>
    </row>
    <row r="1542" ht="26.25" customHeight="1">
      <c r="A1542" s="68"/>
      <c r="B1542" s="68"/>
      <c r="C1542" s="61" t="s">
        <v>129</v>
      </c>
      <c r="D1542" s="61" t="s">
        <v>130</v>
      </c>
      <c r="E1542" s="68"/>
      <c r="F1542" s="68"/>
      <c r="G1542" s="68"/>
      <c r="H1542" s="68"/>
      <c r="I1542" s="68"/>
      <c r="J1542" s="78"/>
      <c r="K1542" s="68"/>
      <c r="L1542" s="68"/>
      <c r="M1542" s="68"/>
      <c r="N1542" s="68"/>
      <c r="O1542" s="68"/>
      <c r="P1542" s="68"/>
      <c r="Q1542" s="68"/>
      <c r="R1542" s="68"/>
      <c r="S1542" s="68"/>
      <c r="T1542" s="68"/>
      <c r="U1542" s="68"/>
      <c r="V1542" s="68"/>
      <c r="W1542" s="68"/>
      <c r="X1542" s="68"/>
      <c r="Y1542" s="68"/>
      <c r="Z1542" s="68"/>
      <c r="AA1542" s="68"/>
      <c r="AB1542" s="68"/>
      <c r="AC1542" s="68"/>
      <c r="AD1542" s="68"/>
      <c r="AE1542" s="68"/>
    </row>
    <row r="1543" ht="26.25" customHeight="1">
      <c r="A1543" s="68"/>
      <c r="B1543" s="68"/>
      <c r="C1543" s="61" t="s">
        <v>129</v>
      </c>
      <c r="D1543" s="61" t="s">
        <v>130</v>
      </c>
      <c r="E1543" s="68"/>
      <c r="F1543" s="68"/>
      <c r="G1543" s="68"/>
      <c r="H1543" s="68"/>
      <c r="I1543" s="68"/>
      <c r="J1543" s="78"/>
      <c r="K1543" s="68"/>
      <c r="L1543" s="68"/>
      <c r="M1543" s="68"/>
      <c r="N1543" s="68"/>
      <c r="O1543" s="68"/>
      <c r="P1543" s="68"/>
      <c r="Q1543" s="68"/>
      <c r="R1543" s="68"/>
      <c r="S1543" s="68"/>
      <c r="T1543" s="68"/>
      <c r="U1543" s="68"/>
      <c r="V1543" s="68"/>
      <c r="W1543" s="68"/>
      <c r="X1543" s="68"/>
      <c r="Y1543" s="68"/>
      <c r="Z1543" s="68"/>
      <c r="AA1543" s="68"/>
      <c r="AB1543" s="68"/>
      <c r="AC1543" s="68"/>
      <c r="AD1543" s="68"/>
      <c r="AE1543" s="68"/>
    </row>
    <row r="1544" ht="26.25" customHeight="1">
      <c r="A1544" s="68"/>
      <c r="B1544" s="68"/>
      <c r="C1544" s="61" t="s">
        <v>129</v>
      </c>
      <c r="D1544" s="61" t="s">
        <v>130</v>
      </c>
      <c r="E1544" s="68"/>
      <c r="F1544" s="68"/>
      <c r="G1544" s="68"/>
      <c r="H1544" s="68"/>
      <c r="I1544" s="68"/>
      <c r="J1544" s="78"/>
      <c r="K1544" s="68"/>
      <c r="L1544" s="68"/>
      <c r="M1544" s="68"/>
      <c r="N1544" s="68"/>
      <c r="O1544" s="68"/>
      <c r="P1544" s="68"/>
      <c r="Q1544" s="68"/>
      <c r="R1544" s="68"/>
      <c r="S1544" s="68"/>
      <c r="T1544" s="68"/>
      <c r="U1544" s="68"/>
      <c r="V1544" s="68"/>
      <c r="W1544" s="68"/>
      <c r="X1544" s="68"/>
      <c r="Y1544" s="68"/>
      <c r="Z1544" s="68"/>
      <c r="AA1544" s="68"/>
      <c r="AB1544" s="68"/>
      <c r="AC1544" s="68"/>
      <c r="AD1544" s="68"/>
      <c r="AE1544" s="68"/>
    </row>
    <row r="1545" ht="26.25" customHeight="1">
      <c r="A1545" s="68"/>
      <c r="B1545" s="68"/>
      <c r="C1545" s="61" t="s">
        <v>129</v>
      </c>
      <c r="D1545" s="61" t="s">
        <v>130</v>
      </c>
      <c r="E1545" s="68"/>
      <c r="F1545" s="68"/>
      <c r="G1545" s="68"/>
      <c r="H1545" s="68"/>
      <c r="I1545" s="68"/>
      <c r="J1545" s="78"/>
      <c r="K1545" s="68"/>
      <c r="L1545" s="68"/>
      <c r="M1545" s="68"/>
      <c r="N1545" s="68"/>
      <c r="O1545" s="68"/>
      <c r="P1545" s="68"/>
      <c r="Q1545" s="68"/>
      <c r="R1545" s="68"/>
      <c r="S1545" s="68"/>
      <c r="T1545" s="68"/>
      <c r="U1545" s="68"/>
      <c r="V1545" s="68"/>
      <c r="W1545" s="68"/>
      <c r="X1545" s="68"/>
      <c r="Y1545" s="68"/>
      <c r="Z1545" s="68"/>
      <c r="AA1545" s="68"/>
      <c r="AB1545" s="68"/>
      <c r="AC1545" s="68"/>
      <c r="AD1545" s="68"/>
      <c r="AE1545" s="68"/>
    </row>
    <row r="1546" ht="26.25" customHeight="1">
      <c r="A1546" s="68"/>
      <c r="B1546" s="68"/>
      <c r="C1546" s="61" t="s">
        <v>129</v>
      </c>
      <c r="D1546" s="61" t="s">
        <v>130</v>
      </c>
      <c r="E1546" s="68"/>
      <c r="F1546" s="68"/>
      <c r="G1546" s="68"/>
      <c r="H1546" s="68"/>
      <c r="I1546" s="68"/>
      <c r="J1546" s="78"/>
      <c r="K1546" s="68"/>
      <c r="L1546" s="68"/>
      <c r="M1546" s="68"/>
      <c r="N1546" s="68"/>
      <c r="O1546" s="68"/>
      <c r="P1546" s="68"/>
      <c r="Q1546" s="68"/>
      <c r="R1546" s="68"/>
      <c r="S1546" s="68"/>
      <c r="T1546" s="68"/>
      <c r="U1546" s="68"/>
      <c r="V1546" s="68"/>
      <c r="W1546" s="68"/>
      <c r="X1546" s="68"/>
      <c r="Y1546" s="68"/>
      <c r="Z1546" s="68"/>
      <c r="AA1546" s="68"/>
      <c r="AB1546" s="68"/>
      <c r="AC1546" s="68"/>
      <c r="AD1546" s="68"/>
      <c r="AE1546" s="68"/>
    </row>
    <row r="1547" ht="26.25" customHeight="1">
      <c r="A1547" s="68"/>
      <c r="B1547" s="68"/>
      <c r="C1547" s="61" t="s">
        <v>129</v>
      </c>
      <c r="D1547" s="61" t="s">
        <v>130</v>
      </c>
      <c r="E1547" s="68"/>
      <c r="F1547" s="68"/>
      <c r="G1547" s="68"/>
      <c r="H1547" s="68"/>
      <c r="I1547" s="68"/>
      <c r="J1547" s="78"/>
      <c r="K1547" s="68"/>
      <c r="L1547" s="68"/>
      <c r="M1547" s="68"/>
      <c r="N1547" s="68"/>
      <c r="O1547" s="68"/>
      <c r="P1547" s="68"/>
      <c r="Q1547" s="68"/>
      <c r="R1547" s="68"/>
      <c r="S1547" s="68"/>
      <c r="T1547" s="68"/>
      <c r="U1547" s="68"/>
      <c r="V1547" s="68"/>
      <c r="W1547" s="68"/>
      <c r="X1547" s="68"/>
      <c r="Y1547" s="68"/>
      <c r="Z1547" s="68"/>
      <c r="AA1547" s="68"/>
      <c r="AB1547" s="68"/>
      <c r="AC1547" s="68"/>
      <c r="AD1547" s="68"/>
      <c r="AE1547" s="68"/>
    </row>
    <row r="1548" ht="26.25" customHeight="1">
      <c r="A1548" s="68"/>
      <c r="B1548" s="68"/>
      <c r="C1548" s="61" t="s">
        <v>129</v>
      </c>
      <c r="D1548" s="61" t="s">
        <v>130</v>
      </c>
      <c r="E1548" s="68"/>
      <c r="F1548" s="68"/>
      <c r="G1548" s="68"/>
      <c r="H1548" s="68"/>
      <c r="I1548" s="68"/>
      <c r="J1548" s="78"/>
      <c r="K1548" s="68"/>
      <c r="L1548" s="68"/>
      <c r="M1548" s="68"/>
      <c r="N1548" s="68"/>
      <c r="O1548" s="68"/>
      <c r="P1548" s="68"/>
      <c r="Q1548" s="68"/>
      <c r="R1548" s="68"/>
      <c r="S1548" s="68"/>
      <c r="T1548" s="68"/>
      <c r="U1548" s="68"/>
      <c r="V1548" s="68"/>
      <c r="W1548" s="68"/>
      <c r="X1548" s="68"/>
      <c r="Y1548" s="68"/>
      <c r="Z1548" s="68"/>
      <c r="AA1548" s="68"/>
      <c r="AB1548" s="68"/>
      <c r="AC1548" s="68"/>
      <c r="AD1548" s="68"/>
      <c r="AE1548" s="68"/>
    </row>
    <row r="1549" ht="26.25" customHeight="1">
      <c r="A1549" s="68"/>
      <c r="B1549" s="68"/>
      <c r="C1549" s="61" t="s">
        <v>129</v>
      </c>
      <c r="D1549" s="61" t="s">
        <v>130</v>
      </c>
      <c r="E1549" s="68"/>
      <c r="F1549" s="68"/>
      <c r="G1549" s="68"/>
      <c r="H1549" s="68"/>
      <c r="I1549" s="68"/>
      <c r="J1549" s="78"/>
      <c r="K1549" s="68"/>
      <c r="L1549" s="68"/>
      <c r="M1549" s="68"/>
      <c r="N1549" s="68"/>
      <c r="O1549" s="68"/>
      <c r="P1549" s="68"/>
      <c r="Q1549" s="68"/>
      <c r="R1549" s="68"/>
      <c r="S1549" s="68"/>
      <c r="T1549" s="68"/>
      <c r="U1549" s="68"/>
      <c r="V1549" s="68"/>
      <c r="W1549" s="68"/>
      <c r="X1549" s="68"/>
      <c r="Y1549" s="68"/>
      <c r="Z1549" s="68"/>
      <c r="AA1549" s="68"/>
      <c r="AB1549" s="68"/>
      <c r="AC1549" s="68"/>
      <c r="AD1549" s="68"/>
      <c r="AE1549" s="68"/>
    </row>
    <row r="1550" ht="26.25" customHeight="1">
      <c r="A1550" s="68"/>
      <c r="B1550" s="68"/>
      <c r="C1550" s="61" t="s">
        <v>129</v>
      </c>
      <c r="D1550" s="61" t="s">
        <v>130</v>
      </c>
      <c r="E1550" s="68"/>
      <c r="F1550" s="68"/>
      <c r="G1550" s="68"/>
      <c r="H1550" s="68"/>
      <c r="I1550" s="68"/>
      <c r="J1550" s="78"/>
      <c r="K1550" s="68"/>
      <c r="L1550" s="68"/>
      <c r="M1550" s="68"/>
      <c r="N1550" s="68"/>
      <c r="O1550" s="68"/>
      <c r="P1550" s="68"/>
      <c r="Q1550" s="68"/>
      <c r="R1550" s="68"/>
      <c r="S1550" s="68"/>
      <c r="T1550" s="68"/>
      <c r="U1550" s="68"/>
      <c r="V1550" s="68"/>
      <c r="W1550" s="68"/>
      <c r="X1550" s="68"/>
      <c r="Y1550" s="68"/>
      <c r="Z1550" s="68"/>
      <c r="AA1550" s="68"/>
      <c r="AB1550" s="68"/>
      <c r="AC1550" s="68"/>
      <c r="AD1550" s="68"/>
      <c r="AE1550" s="68"/>
    </row>
    <row r="1551" ht="26.25" customHeight="1">
      <c r="A1551" s="68"/>
      <c r="B1551" s="68"/>
      <c r="C1551" s="61" t="s">
        <v>129</v>
      </c>
      <c r="D1551" s="61" t="s">
        <v>130</v>
      </c>
      <c r="E1551" s="68"/>
      <c r="F1551" s="68"/>
      <c r="G1551" s="68"/>
      <c r="H1551" s="68"/>
      <c r="I1551" s="68"/>
      <c r="J1551" s="78"/>
      <c r="K1551" s="68"/>
      <c r="L1551" s="68"/>
      <c r="M1551" s="68"/>
      <c r="N1551" s="68"/>
      <c r="O1551" s="68"/>
      <c r="P1551" s="68"/>
      <c r="Q1551" s="68"/>
      <c r="R1551" s="68"/>
      <c r="S1551" s="68"/>
      <c r="T1551" s="68"/>
      <c r="U1551" s="68"/>
      <c r="V1551" s="68"/>
      <c r="W1551" s="68"/>
      <c r="X1551" s="68"/>
      <c r="Y1551" s="68"/>
      <c r="Z1551" s="68"/>
      <c r="AA1551" s="68"/>
      <c r="AB1551" s="68"/>
      <c r="AC1551" s="68"/>
      <c r="AD1551" s="68"/>
      <c r="AE1551" s="68"/>
    </row>
    <row r="1552" ht="26.25" customHeight="1">
      <c r="A1552" s="68"/>
      <c r="B1552" s="68"/>
      <c r="C1552" s="61" t="s">
        <v>129</v>
      </c>
      <c r="D1552" s="61" t="s">
        <v>130</v>
      </c>
      <c r="E1552" s="68"/>
      <c r="F1552" s="68"/>
      <c r="G1552" s="68"/>
      <c r="H1552" s="68"/>
      <c r="I1552" s="68"/>
      <c r="J1552" s="78"/>
      <c r="K1552" s="68"/>
      <c r="L1552" s="68"/>
      <c r="M1552" s="68"/>
      <c r="N1552" s="68"/>
      <c r="O1552" s="68"/>
      <c r="P1552" s="68"/>
      <c r="Q1552" s="68"/>
      <c r="R1552" s="68"/>
      <c r="S1552" s="68"/>
      <c r="T1552" s="68"/>
      <c r="U1552" s="68"/>
      <c r="V1552" s="68"/>
      <c r="W1552" s="68"/>
      <c r="X1552" s="68"/>
      <c r="Y1552" s="68"/>
      <c r="Z1552" s="68"/>
      <c r="AA1552" s="68"/>
      <c r="AB1552" s="68"/>
      <c r="AC1552" s="68"/>
      <c r="AD1552" s="68"/>
      <c r="AE1552" s="68"/>
    </row>
    <row r="1553" ht="26.25" customHeight="1">
      <c r="A1553" s="68"/>
      <c r="B1553" s="68"/>
      <c r="C1553" s="61" t="s">
        <v>129</v>
      </c>
      <c r="D1553" s="61" t="s">
        <v>130</v>
      </c>
      <c r="E1553" s="68"/>
      <c r="F1553" s="68"/>
      <c r="G1553" s="68"/>
      <c r="H1553" s="68"/>
      <c r="I1553" s="68"/>
      <c r="J1553" s="78"/>
      <c r="K1553" s="68"/>
      <c r="L1553" s="68"/>
      <c r="M1553" s="68"/>
      <c r="N1553" s="68"/>
      <c r="O1553" s="68"/>
      <c r="P1553" s="68"/>
      <c r="Q1553" s="68"/>
      <c r="R1553" s="68"/>
      <c r="S1553" s="68"/>
      <c r="T1553" s="68"/>
      <c r="U1553" s="68"/>
      <c r="V1553" s="68"/>
      <c r="W1553" s="68"/>
      <c r="X1553" s="68"/>
      <c r="Y1553" s="68"/>
      <c r="Z1553" s="68"/>
      <c r="AA1553" s="68"/>
      <c r="AB1553" s="68"/>
      <c r="AC1553" s="68"/>
      <c r="AD1553" s="68"/>
      <c r="AE1553" s="68"/>
    </row>
    <row r="1554" ht="26.25" customHeight="1">
      <c r="A1554" s="68"/>
      <c r="B1554" s="68"/>
      <c r="C1554" s="61" t="s">
        <v>129</v>
      </c>
      <c r="D1554" s="61" t="s">
        <v>130</v>
      </c>
      <c r="E1554" s="68"/>
      <c r="F1554" s="68"/>
      <c r="G1554" s="68"/>
      <c r="H1554" s="68"/>
      <c r="I1554" s="68"/>
      <c r="J1554" s="78"/>
      <c r="K1554" s="68"/>
      <c r="L1554" s="68"/>
      <c r="M1554" s="68"/>
      <c r="N1554" s="68"/>
      <c r="O1554" s="68"/>
      <c r="P1554" s="68"/>
      <c r="Q1554" s="68"/>
      <c r="R1554" s="68"/>
      <c r="S1554" s="68"/>
      <c r="T1554" s="68"/>
      <c r="U1554" s="68"/>
      <c r="V1554" s="68"/>
      <c r="W1554" s="68"/>
      <c r="X1554" s="68"/>
      <c r="Y1554" s="68"/>
      <c r="Z1554" s="68"/>
      <c r="AA1554" s="68"/>
      <c r="AB1554" s="68"/>
      <c r="AC1554" s="68"/>
      <c r="AD1554" s="68"/>
      <c r="AE1554" s="68"/>
    </row>
    <row r="1555" ht="26.25" customHeight="1">
      <c r="A1555" s="68"/>
      <c r="B1555" s="68"/>
      <c r="C1555" s="61" t="s">
        <v>129</v>
      </c>
      <c r="D1555" s="61" t="s">
        <v>130</v>
      </c>
      <c r="E1555" s="68"/>
      <c r="F1555" s="68"/>
      <c r="G1555" s="68"/>
      <c r="H1555" s="68"/>
      <c r="I1555" s="68"/>
      <c r="J1555" s="78"/>
      <c r="K1555" s="68"/>
      <c r="L1555" s="68"/>
      <c r="M1555" s="68"/>
      <c r="N1555" s="68"/>
      <c r="O1555" s="68"/>
      <c r="P1555" s="68"/>
      <c r="Q1555" s="68"/>
      <c r="R1555" s="68"/>
      <c r="S1555" s="68"/>
      <c r="T1555" s="68"/>
      <c r="U1555" s="68"/>
      <c r="V1555" s="68"/>
      <c r="W1555" s="68"/>
      <c r="X1555" s="68"/>
      <c r="Y1555" s="68"/>
      <c r="Z1555" s="68"/>
      <c r="AA1555" s="68"/>
      <c r="AB1555" s="68"/>
      <c r="AC1555" s="68"/>
      <c r="AD1555" s="68"/>
      <c r="AE1555" s="68"/>
    </row>
    <row r="1556" ht="26.25" customHeight="1">
      <c r="A1556" s="68"/>
      <c r="B1556" s="68"/>
      <c r="C1556" s="61" t="s">
        <v>129</v>
      </c>
      <c r="D1556" s="61" t="s">
        <v>130</v>
      </c>
      <c r="E1556" s="68"/>
      <c r="F1556" s="68"/>
      <c r="G1556" s="68"/>
      <c r="H1556" s="68"/>
      <c r="I1556" s="68"/>
      <c r="J1556" s="78"/>
      <c r="K1556" s="68"/>
      <c r="L1556" s="68"/>
      <c r="M1556" s="68"/>
      <c r="N1556" s="68"/>
      <c r="O1556" s="68"/>
      <c r="P1556" s="68"/>
      <c r="Q1556" s="68"/>
      <c r="R1556" s="68"/>
      <c r="S1556" s="68"/>
      <c r="T1556" s="68"/>
      <c r="U1556" s="68"/>
      <c r="V1556" s="68"/>
      <c r="W1556" s="68"/>
      <c r="X1556" s="68"/>
      <c r="Y1556" s="68"/>
      <c r="Z1556" s="68"/>
      <c r="AA1556" s="68"/>
      <c r="AB1556" s="68"/>
      <c r="AC1556" s="68"/>
      <c r="AD1556" s="68"/>
      <c r="AE1556" s="68"/>
    </row>
    <row r="1557" ht="26.25" customHeight="1">
      <c r="A1557" s="68"/>
      <c r="B1557" s="68"/>
      <c r="C1557" s="61" t="s">
        <v>129</v>
      </c>
      <c r="D1557" s="61" t="s">
        <v>130</v>
      </c>
      <c r="E1557" s="68"/>
      <c r="F1557" s="68"/>
      <c r="G1557" s="68"/>
      <c r="H1557" s="68"/>
      <c r="I1557" s="68"/>
      <c r="J1557" s="78"/>
      <c r="K1557" s="68"/>
      <c r="L1557" s="68"/>
      <c r="M1557" s="68"/>
      <c r="N1557" s="68"/>
      <c r="O1557" s="68"/>
      <c r="P1557" s="68"/>
      <c r="Q1557" s="68"/>
      <c r="R1557" s="68"/>
      <c r="S1557" s="68"/>
      <c r="T1557" s="68"/>
      <c r="U1557" s="68"/>
      <c r="V1557" s="68"/>
      <c r="W1557" s="68"/>
      <c r="X1557" s="68"/>
      <c r="Y1557" s="68"/>
      <c r="Z1557" s="68"/>
      <c r="AA1557" s="68"/>
      <c r="AB1557" s="68"/>
      <c r="AC1557" s="68"/>
      <c r="AD1557" s="68"/>
      <c r="AE1557" s="68"/>
    </row>
    <row r="1558" ht="26.25" customHeight="1">
      <c r="A1558" s="68"/>
      <c r="B1558" s="68"/>
      <c r="C1558" s="61" t="s">
        <v>129</v>
      </c>
      <c r="D1558" s="61" t="s">
        <v>130</v>
      </c>
      <c r="E1558" s="68"/>
      <c r="F1558" s="68"/>
      <c r="G1558" s="68"/>
      <c r="H1558" s="68"/>
      <c r="I1558" s="68"/>
      <c r="J1558" s="78"/>
      <c r="K1558" s="68"/>
      <c r="L1558" s="68"/>
      <c r="M1558" s="68"/>
      <c r="N1558" s="68"/>
      <c r="O1558" s="68"/>
      <c r="P1558" s="68"/>
      <c r="Q1558" s="68"/>
      <c r="R1558" s="68"/>
      <c r="S1558" s="68"/>
      <c r="T1558" s="68"/>
      <c r="U1558" s="68"/>
      <c r="V1558" s="68"/>
      <c r="W1558" s="68"/>
      <c r="X1558" s="68"/>
      <c r="Y1558" s="68"/>
      <c r="Z1558" s="68"/>
      <c r="AA1558" s="68"/>
      <c r="AB1558" s="68"/>
      <c r="AC1558" s="68"/>
      <c r="AD1558" s="68"/>
      <c r="AE1558" s="68"/>
    </row>
    <row r="1559" ht="26.25" customHeight="1">
      <c r="A1559" s="68"/>
      <c r="B1559" s="68"/>
      <c r="C1559" s="61" t="s">
        <v>129</v>
      </c>
      <c r="D1559" s="61" t="s">
        <v>130</v>
      </c>
      <c r="E1559" s="68"/>
      <c r="F1559" s="68"/>
      <c r="G1559" s="68"/>
      <c r="H1559" s="68"/>
      <c r="I1559" s="68"/>
      <c r="J1559" s="78"/>
      <c r="K1559" s="68"/>
      <c r="L1559" s="68"/>
      <c r="M1559" s="68"/>
      <c r="N1559" s="68"/>
      <c r="O1559" s="68"/>
      <c r="P1559" s="68"/>
      <c r="Q1559" s="68"/>
      <c r="R1559" s="68"/>
      <c r="S1559" s="68"/>
      <c r="T1559" s="68"/>
      <c r="U1559" s="68"/>
      <c r="V1559" s="68"/>
      <c r="W1559" s="68"/>
      <c r="X1559" s="68"/>
      <c r="Y1559" s="68"/>
      <c r="Z1559" s="68"/>
      <c r="AA1559" s="68"/>
      <c r="AB1559" s="68"/>
      <c r="AC1559" s="68"/>
      <c r="AD1559" s="68"/>
      <c r="AE1559" s="68"/>
    </row>
    <row r="1560" ht="26.25" customHeight="1">
      <c r="A1560" s="68"/>
      <c r="B1560" s="68"/>
      <c r="C1560" s="61" t="s">
        <v>129</v>
      </c>
      <c r="D1560" s="61" t="s">
        <v>130</v>
      </c>
      <c r="E1560" s="68"/>
      <c r="F1560" s="68"/>
      <c r="G1560" s="68"/>
      <c r="H1560" s="68"/>
      <c r="I1560" s="68"/>
      <c r="J1560" s="78"/>
      <c r="K1560" s="68"/>
      <c r="L1560" s="68"/>
      <c r="M1560" s="68"/>
      <c r="N1560" s="68"/>
      <c r="O1560" s="68"/>
      <c r="P1560" s="68"/>
      <c r="Q1560" s="68"/>
      <c r="R1560" s="68"/>
      <c r="S1560" s="68"/>
      <c r="T1560" s="68"/>
      <c r="U1560" s="68"/>
      <c r="V1560" s="68"/>
      <c r="W1560" s="68"/>
      <c r="X1560" s="68"/>
      <c r="Y1560" s="68"/>
      <c r="Z1560" s="68"/>
      <c r="AA1560" s="68"/>
      <c r="AB1560" s="68"/>
      <c r="AC1560" s="68"/>
      <c r="AD1560" s="68"/>
      <c r="AE1560" s="68"/>
    </row>
    <row r="1561" ht="26.25" customHeight="1">
      <c r="A1561" s="68"/>
      <c r="B1561" s="68"/>
      <c r="C1561" s="61" t="s">
        <v>129</v>
      </c>
      <c r="D1561" s="61" t="s">
        <v>130</v>
      </c>
      <c r="E1561" s="68"/>
      <c r="F1561" s="68"/>
      <c r="G1561" s="68"/>
      <c r="H1561" s="68"/>
      <c r="I1561" s="68"/>
      <c r="J1561" s="78"/>
      <c r="K1561" s="68"/>
      <c r="L1561" s="68"/>
      <c r="M1561" s="68"/>
      <c r="N1561" s="68"/>
      <c r="O1561" s="68"/>
      <c r="P1561" s="68"/>
      <c r="Q1561" s="68"/>
      <c r="R1561" s="68"/>
      <c r="S1561" s="68"/>
      <c r="T1561" s="68"/>
      <c r="U1561" s="68"/>
      <c r="V1561" s="68"/>
      <c r="W1561" s="68"/>
      <c r="X1561" s="68"/>
      <c r="Y1561" s="68"/>
      <c r="Z1561" s="68"/>
      <c r="AA1561" s="68"/>
      <c r="AB1561" s="68"/>
      <c r="AC1561" s="68"/>
      <c r="AD1561" s="68"/>
      <c r="AE1561" s="68"/>
    </row>
    <row r="1562" ht="26.25" customHeight="1">
      <c r="A1562" s="68"/>
      <c r="B1562" s="68"/>
      <c r="C1562" s="61" t="s">
        <v>129</v>
      </c>
      <c r="D1562" s="61" t="s">
        <v>130</v>
      </c>
      <c r="E1562" s="68"/>
      <c r="F1562" s="68"/>
      <c r="G1562" s="68"/>
      <c r="H1562" s="68"/>
      <c r="I1562" s="68"/>
      <c r="J1562" s="78"/>
      <c r="K1562" s="68"/>
      <c r="L1562" s="68"/>
      <c r="M1562" s="68"/>
      <c r="N1562" s="68"/>
      <c r="O1562" s="68"/>
      <c r="P1562" s="68"/>
      <c r="Q1562" s="68"/>
      <c r="R1562" s="68"/>
      <c r="S1562" s="68"/>
      <c r="T1562" s="68"/>
      <c r="U1562" s="68"/>
      <c r="V1562" s="68"/>
      <c r="W1562" s="68"/>
      <c r="X1562" s="68"/>
      <c r="Y1562" s="68"/>
      <c r="Z1562" s="68"/>
      <c r="AA1562" s="68"/>
      <c r="AB1562" s="68"/>
      <c r="AC1562" s="68"/>
      <c r="AD1562" s="68"/>
      <c r="AE1562" s="68"/>
    </row>
    <row r="1563" ht="26.25" customHeight="1">
      <c r="A1563" s="68"/>
      <c r="B1563" s="68"/>
      <c r="C1563" s="61" t="s">
        <v>129</v>
      </c>
      <c r="D1563" s="61" t="s">
        <v>130</v>
      </c>
      <c r="E1563" s="68"/>
      <c r="F1563" s="68"/>
      <c r="G1563" s="68"/>
      <c r="H1563" s="68"/>
      <c r="I1563" s="68"/>
      <c r="J1563" s="78"/>
      <c r="K1563" s="68"/>
      <c r="L1563" s="68"/>
      <c r="M1563" s="68"/>
      <c r="N1563" s="68"/>
      <c r="O1563" s="68"/>
      <c r="P1563" s="68"/>
      <c r="Q1563" s="68"/>
      <c r="R1563" s="68"/>
      <c r="S1563" s="68"/>
      <c r="T1563" s="68"/>
      <c r="U1563" s="68"/>
      <c r="V1563" s="68"/>
      <c r="W1563" s="68"/>
      <c r="X1563" s="68"/>
      <c r="Y1563" s="68"/>
      <c r="Z1563" s="68"/>
      <c r="AA1563" s="68"/>
      <c r="AB1563" s="68"/>
      <c r="AC1563" s="68"/>
      <c r="AD1563" s="68"/>
      <c r="AE1563" s="68"/>
    </row>
    <row r="1564" ht="26.25" customHeight="1">
      <c r="A1564" s="68"/>
      <c r="B1564" s="68"/>
      <c r="C1564" s="61" t="s">
        <v>129</v>
      </c>
      <c r="D1564" s="61" t="s">
        <v>130</v>
      </c>
      <c r="E1564" s="68"/>
      <c r="F1564" s="68"/>
      <c r="G1564" s="68"/>
      <c r="H1564" s="68"/>
      <c r="I1564" s="68"/>
      <c r="J1564" s="78"/>
      <c r="K1564" s="68"/>
      <c r="L1564" s="68"/>
      <c r="M1564" s="68"/>
      <c r="N1564" s="68"/>
      <c r="O1564" s="68"/>
      <c r="P1564" s="68"/>
      <c r="Q1564" s="68"/>
      <c r="R1564" s="68"/>
      <c r="S1564" s="68"/>
      <c r="T1564" s="68"/>
      <c r="U1564" s="68"/>
      <c r="V1564" s="68"/>
      <c r="W1564" s="68"/>
      <c r="X1564" s="68"/>
      <c r="Y1564" s="68"/>
      <c r="Z1564" s="68"/>
      <c r="AA1564" s="68"/>
      <c r="AB1564" s="68"/>
      <c r="AC1564" s="68"/>
      <c r="AD1564" s="68"/>
      <c r="AE1564" s="68"/>
    </row>
    <row r="1565" ht="26.25" customHeight="1">
      <c r="A1565" s="68"/>
      <c r="B1565" s="68"/>
      <c r="C1565" s="61" t="s">
        <v>129</v>
      </c>
      <c r="D1565" s="61" t="s">
        <v>130</v>
      </c>
      <c r="E1565" s="68"/>
      <c r="F1565" s="68"/>
      <c r="G1565" s="68"/>
      <c r="H1565" s="68"/>
      <c r="I1565" s="68"/>
      <c r="J1565" s="78"/>
      <c r="K1565" s="68"/>
      <c r="L1565" s="68"/>
      <c r="M1565" s="68"/>
      <c r="N1565" s="68"/>
      <c r="O1565" s="68"/>
      <c r="P1565" s="68"/>
      <c r="Q1565" s="68"/>
      <c r="R1565" s="68"/>
      <c r="S1565" s="68"/>
      <c r="T1565" s="68"/>
      <c r="U1565" s="68"/>
      <c r="V1565" s="68"/>
      <c r="W1565" s="68"/>
      <c r="X1565" s="68"/>
      <c r="Y1565" s="68"/>
      <c r="Z1565" s="68"/>
      <c r="AA1565" s="68"/>
      <c r="AB1565" s="68"/>
      <c r="AC1565" s="68"/>
      <c r="AD1565" s="68"/>
      <c r="AE1565" s="68"/>
    </row>
    <row r="1566" ht="26.25" customHeight="1">
      <c r="A1566" s="68"/>
      <c r="B1566" s="68"/>
      <c r="C1566" s="61" t="s">
        <v>129</v>
      </c>
      <c r="D1566" s="61" t="s">
        <v>130</v>
      </c>
      <c r="E1566" s="68"/>
      <c r="F1566" s="68"/>
      <c r="G1566" s="68"/>
      <c r="H1566" s="68"/>
      <c r="I1566" s="68"/>
      <c r="J1566" s="78"/>
      <c r="K1566" s="68"/>
      <c r="L1566" s="68"/>
      <c r="M1566" s="68"/>
      <c r="N1566" s="68"/>
      <c r="O1566" s="68"/>
      <c r="P1566" s="68"/>
      <c r="Q1566" s="68"/>
      <c r="R1566" s="68"/>
      <c r="S1566" s="68"/>
      <c r="T1566" s="68"/>
      <c r="U1566" s="68"/>
      <c r="V1566" s="68"/>
      <c r="W1566" s="68"/>
      <c r="X1566" s="68"/>
      <c r="Y1566" s="68"/>
      <c r="Z1566" s="68"/>
      <c r="AA1566" s="68"/>
      <c r="AB1566" s="68"/>
      <c r="AC1566" s="68"/>
      <c r="AD1566" s="68"/>
      <c r="AE1566" s="68"/>
    </row>
    <row r="1567" ht="26.25" customHeight="1">
      <c r="A1567" s="68"/>
      <c r="B1567" s="68"/>
      <c r="C1567" s="61" t="s">
        <v>129</v>
      </c>
      <c r="D1567" s="61" t="s">
        <v>130</v>
      </c>
      <c r="E1567" s="68"/>
      <c r="F1567" s="68"/>
      <c r="G1567" s="68"/>
      <c r="H1567" s="68"/>
      <c r="I1567" s="68"/>
      <c r="J1567" s="78"/>
      <c r="K1567" s="68"/>
      <c r="L1567" s="68"/>
      <c r="M1567" s="68"/>
      <c r="N1567" s="68"/>
      <c r="O1567" s="68"/>
      <c r="P1567" s="68"/>
      <c r="Q1567" s="68"/>
      <c r="R1567" s="68"/>
      <c r="S1567" s="68"/>
      <c r="T1567" s="68"/>
      <c r="U1567" s="68"/>
      <c r="V1567" s="68"/>
      <c r="W1567" s="68"/>
      <c r="X1567" s="68"/>
      <c r="Y1567" s="68"/>
      <c r="Z1567" s="68"/>
      <c r="AA1567" s="68"/>
      <c r="AB1567" s="68"/>
      <c r="AC1567" s="68"/>
      <c r="AD1567" s="68"/>
      <c r="AE1567" s="68"/>
    </row>
    <row r="1568" ht="26.25" customHeight="1">
      <c r="A1568" s="68"/>
      <c r="B1568" s="68"/>
      <c r="C1568" s="61" t="s">
        <v>129</v>
      </c>
      <c r="D1568" s="61" t="s">
        <v>130</v>
      </c>
      <c r="E1568" s="68"/>
      <c r="F1568" s="68"/>
      <c r="G1568" s="68"/>
      <c r="H1568" s="68"/>
      <c r="I1568" s="68"/>
      <c r="J1568" s="78"/>
      <c r="K1568" s="68"/>
      <c r="L1568" s="68"/>
      <c r="M1568" s="68"/>
      <c r="N1568" s="68"/>
      <c r="O1568" s="68"/>
      <c r="P1568" s="68"/>
      <c r="Q1568" s="68"/>
      <c r="R1568" s="68"/>
      <c r="S1568" s="68"/>
      <c r="T1568" s="68"/>
      <c r="U1568" s="68"/>
      <c r="V1568" s="68"/>
      <c r="W1568" s="68"/>
      <c r="X1568" s="68"/>
      <c r="Y1568" s="68"/>
      <c r="Z1568" s="68"/>
      <c r="AA1568" s="68"/>
      <c r="AB1568" s="68"/>
      <c r="AC1568" s="68"/>
      <c r="AD1568" s="68"/>
      <c r="AE1568" s="68"/>
    </row>
    <row r="1569" ht="26.25" customHeight="1">
      <c r="A1569" s="68"/>
      <c r="B1569" s="68"/>
      <c r="C1569" s="61" t="s">
        <v>129</v>
      </c>
      <c r="D1569" s="61" t="s">
        <v>130</v>
      </c>
      <c r="E1569" s="68"/>
      <c r="F1569" s="68"/>
      <c r="G1569" s="68"/>
      <c r="H1569" s="68"/>
      <c r="I1569" s="68"/>
      <c r="J1569" s="78"/>
      <c r="K1569" s="68"/>
      <c r="L1569" s="68"/>
      <c r="M1569" s="68"/>
      <c r="N1569" s="68"/>
      <c r="O1569" s="68"/>
      <c r="P1569" s="68"/>
      <c r="Q1569" s="68"/>
      <c r="R1569" s="68"/>
      <c r="S1569" s="68"/>
      <c r="T1569" s="68"/>
      <c r="U1569" s="68"/>
      <c r="V1569" s="68"/>
      <c r="W1569" s="68"/>
      <c r="X1569" s="68"/>
      <c r="Y1569" s="68"/>
      <c r="Z1569" s="68"/>
      <c r="AA1569" s="68"/>
      <c r="AB1569" s="68"/>
      <c r="AC1569" s="68"/>
      <c r="AD1569" s="68"/>
      <c r="AE1569" s="68"/>
    </row>
    <row r="1570" ht="26.25" customHeight="1">
      <c r="A1570" s="68"/>
      <c r="B1570" s="68"/>
      <c r="C1570" s="61" t="s">
        <v>129</v>
      </c>
      <c r="D1570" s="61" t="s">
        <v>130</v>
      </c>
      <c r="E1570" s="68"/>
      <c r="F1570" s="68"/>
      <c r="G1570" s="68"/>
      <c r="H1570" s="68"/>
      <c r="I1570" s="68"/>
      <c r="J1570" s="78"/>
      <c r="K1570" s="68"/>
      <c r="L1570" s="68"/>
      <c r="M1570" s="68"/>
      <c r="N1570" s="68"/>
      <c r="O1570" s="68"/>
      <c r="P1570" s="68"/>
      <c r="Q1570" s="68"/>
      <c r="R1570" s="68"/>
      <c r="S1570" s="68"/>
      <c r="T1570" s="68"/>
      <c r="U1570" s="68"/>
      <c r="V1570" s="68"/>
      <c r="W1570" s="68"/>
      <c r="X1570" s="68"/>
      <c r="Y1570" s="68"/>
      <c r="Z1570" s="68"/>
      <c r="AA1570" s="68"/>
      <c r="AB1570" s="68"/>
      <c r="AC1570" s="68"/>
      <c r="AD1570" s="68"/>
      <c r="AE1570" s="68"/>
    </row>
    <row r="1571" ht="26.25" customHeight="1">
      <c r="A1571" s="68"/>
      <c r="B1571" s="68"/>
      <c r="C1571" s="61" t="s">
        <v>129</v>
      </c>
      <c r="D1571" s="61" t="s">
        <v>130</v>
      </c>
      <c r="E1571" s="68"/>
      <c r="F1571" s="68"/>
      <c r="G1571" s="68"/>
      <c r="H1571" s="68"/>
      <c r="I1571" s="68"/>
      <c r="J1571" s="78"/>
      <c r="K1571" s="68"/>
      <c r="L1571" s="68"/>
      <c r="M1571" s="68"/>
      <c r="N1571" s="68"/>
      <c r="O1571" s="68"/>
      <c r="P1571" s="68"/>
      <c r="Q1571" s="68"/>
      <c r="R1571" s="68"/>
      <c r="S1571" s="68"/>
      <c r="T1571" s="68"/>
      <c r="U1571" s="68"/>
      <c r="V1571" s="68"/>
      <c r="W1571" s="68"/>
      <c r="X1571" s="68"/>
      <c r="Y1571" s="68"/>
      <c r="Z1571" s="68"/>
      <c r="AA1571" s="68"/>
      <c r="AB1571" s="68"/>
      <c r="AC1571" s="68"/>
      <c r="AD1571" s="68"/>
      <c r="AE1571" s="68"/>
    </row>
    <row r="1572" ht="26.25" customHeight="1">
      <c r="A1572" s="68"/>
      <c r="B1572" s="68"/>
      <c r="C1572" s="61" t="s">
        <v>129</v>
      </c>
      <c r="D1572" s="61" t="s">
        <v>130</v>
      </c>
      <c r="E1572" s="68"/>
      <c r="F1572" s="68"/>
      <c r="G1572" s="68"/>
      <c r="H1572" s="68"/>
      <c r="I1572" s="68"/>
      <c r="J1572" s="78"/>
      <c r="K1572" s="68"/>
      <c r="L1572" s="68"/>
      <c r="M1572" s="68"/>
      <c r="N1572" s="68"/>
      <c r="O1572" s="68"/>
      <c r="P1572" s="68"/>
      <c r="Q1572" s="68"/>
      <c r="R1572" s="68"/>
      <c r="S1572" s="68"/>
      <c r="T1572" s="68"/>
      <c r="U1572" s="68"/>
      <c r="V1572" s="68"/>
      <c r="W1572" s="68"/>
      <c r="X1572" s="68"/>
      <c r="Y1572" s="68"/>
      <c r="Z1572" s="68"/>
      <c r="AA1572" s="68"/>
      <c r="AB1572" s="68"/>
      <c r="AC1572" s="68"/>
      <c r="AD1572" s="68"/>
      <c r="AE1572" s="68"/>
    </row>
    <row r="1573" ht="26.25" customHeight="1">
      <c r="A1573" s="68"/>
      <c r="B1573" s="68"/>
      <c r="C1573" s="61" t="s">
        <v>129</v>
      </c>
      <c r="D1573" s="61" t="s">
        <v>130</v>
      </c>
      <c r="E1573" s="68"/>
      <c r="F1573" s="68"/>
      <c r="G1573" s="68"/>
      <c r="H1573" s="68"/>
      <c r="I1573" s="68"/>
      <c r="J1573" s="78"/>
      <c r="K1573" s="68"/>
      <c r="L1573" s="68"/>
      <c r="M1573" s="68"/>
      <c r="N1573" s="68"/>
      <c r="O1573" s="68"/>
      <c r="P1573" s="68"/>
      <c r="Q1573" s="68"/>
      <c r="R1573" s="68"/>
      <c r="S1573" s="68"/>
      <c r="T1573" s="68"/>
      <c r="U1573" s="68"/>
      <c r="V1573" s="68"/>
      <c r="W1573" s="68"/>
      <c r="X1573" s="68"/>
      <c r="Y1573" s="68"/>
      <c r="Z1573" s="68"/>
      <c r="AA1573" s="68"/>
      <c r="AB1573" s="68"/>
      <c r="AC1573" s="68"/>
      <c r="AD1573" s="68"/>
      <c r="AE1573" s="68"/>
    </row>
    <row r="1574" ht="26.25" customHeight="1">
      <c r="A1574" s="68"/>
      <c r="B1574" s="68"/>
      <c r="C1574" s="61" t="s">
        <v>129</v>
      </c>
      <c r="D1574" s="61" t="s">
        <v>130</v>
      </c>
      <c r="E1574" s="68"/>
      <c r="F1574" s="68"/>
      <c r="G1574" s="68"/>
      <c r="H1574" s="68"/>
      <c r="I1574" s="68"/>
      <c r="J1574" s="78"/>
      <c r="K1574" s="68"/>
      <c r="L1574" s="68"/>
      <c r="M1574" s="68"/>
      <c r="N1574" s="68"/>
      <c r="O1574" s="68"/>
      <c r="P1574" s="68"/>
      <c r="Q1574" s="68"/>
      <c r="R1574" s="68"/>
      <c r="S1574" s="68"/>
      <c r="T1574" s="68"/>
      <c r="U1574" s="68"/>
      <c r="V1574" s="68"/>
      <c r="W1574" s="68"/>
      <c r="X1574" s="68"/>
      <c r="Y1574" s="68"/>
      <c r="Z1574" s="68"/>
      <c r="AA1574" s="68"/>
      <c r="AB1574" s="68"/>
      <c r="AC1574" s="68"/>
      <c r="AD1574" s="68"/>
      <c r="AE1574" s="68"/>
    </row>
    <row r="1575" ht="26.25" customHeight="1">
      <c r="A1575" s="68"/>
      <c r="B1575" s="68"/>
      <c r="C1575" s="61" t="s">
        <v>129</v>
      </c>
      <c r="D1575" s="61" t="s">
        <v>130</v>
      </c>
      <c r="E1575" s="68"/>
      <c r="F1575" s="68"/>
      <c r="G1575" s="68"/>
      <c r="H1575" s="68"/>
      <c r="I1575" s="68"/>
      <c r="J1575" s="78"/>
      <c r="K1575" s="68"/>
      <c r="L1575" s="68"/>
      <c r="M1575" s="68"/>
      <c r="N1575" s="68"/>
      <c r="O1575" s="68"/>
      <c r="P1575" s="68"/>
      <c r="Q1575" s="68"/>
      <c r="R1575" s="68"/>
      <c r="S1575" s="68"/>
      <c r="T1575" s="68"/>
      <c r="U1575" s="68"/>
      <c r="V1575" s="68"/>
      <c r="W1575" s="68"/>
      <c r="X1575" s="68"/>
      <c r="Y1575" s="68"/>
      <c r="Z1575" s="68"/>
      <c r="AA1575" s="68"/>
      <c r="AB1575" s="68"/>
      <c r="AC1575" s="68"/>
      <c r="AD1575" s="68"/>
      <c r="AE1575" s="68"/>
    </row>
    <row r="1576" ht="26.25" customHeight="1">
      <c r="A1576" s="68"/>
      <c r="B1576" s="68"/>
      <c r="C1576" s="61" t="s">
        <v>129</v>
      </c>
      <c r="D1576" s="61" t="s">
        <v>130</v>
      </c>
      <c r="E1576" s="68"/>
      <c r="F1576" s="68"/>
      <c r="G1576" s="68"/>
      <c r="H1576" s="68"/>
      <c r="I1576" s="68"/>
      <c r="J1576" s="78"/>
      <c r="K1576" s="68"/>
      <c r="L1576" s="68"/>
      <c r="M1576" s="68"/>
      <c r="N1576" s="68"/>
      <c r="O1576" s="68"/>
      <c r="P1576" s="68"/>
      <c r="Q1576" s="68"/>
      <c r="R1576" s="68"/>
      <c r="S1576" s="68"/>
      <c r="T1576" s="68"/>
      <c r="U1576" s="68"/>
      <c r="V1576" s="68"/>
      <c r="W1576" s="68"/>
      <c r="X1576" s="68"/>
      <c r="Y1576" s="68"/>
      <c r="Z1576" s="68"/>
      <c r="AA1576" s="68"/>
      <c r="AB1576" s="68"/>
      <c r="AC1576" s="68"/>
      <c r="AD1576" s="68"/>
      <c r="AE1576" s="68"/>
    </row>
    <row r="1577" ht="26.25" customHeight="1">
      <c r="A1577" s="68"/>
      <c r="B1577" s="68"/>
      <c r="C1577" s="61" t="s">
        <v>129</v>
      </c>
      <c r="D1577" s="61" t="s">
        <v>130</v>
      </c>
      <c r="E1577" s="68"/>
      <c r="F1577" s="68"/>
      <c r="G1577" s="68"/>
      <c r="H1577" s="68"/>
      <c r="I1577" s="68"/>
      <c r="J1577" s="78"/>
      <c r="K1577" s="68"/>
      <c r="L1577" s="68"/>
      <c r="M1577" s="68"/>
      <c r="N1577" s="68"/>
      <c r="O1577" s="68"/>
      <c r="P1577" s="68"/>
      <c r="Q1577" s="68"/>
      <c r="R1577" s="68"/>
      <c r="S1577" s="68"/>
      <c r="T1577" s="68"/>
      <c r="U1577" s="68"/>
      <c r="V1577" s="68"/>
      <c r="W1577" s="68"/>
      <c r="X1577" s="68"/>
      <c r="Y1577" s="68"/>
      <c r="Z1577" s="68"/>
      <c r="AA1577" s="68"/>
      <c r="AB1577" s="68"/>
      <c r="AC1577" s="68"/>
      <c r="AD1577" s="68"/>
      <c r="AE1577" s="68"/>
    </row>
    <row r="1578" ht="26.25" customHeight="1">
      <c r="A1578" s="68"/>
      <c r="B1578" s="68"/>
      <c r="C1578" s="61" t="s">
        <v>129</v>
      </c>
      <c r="D1578" s="61" t="s">
        <v>130</v>
      </c>
      <c r="E1578" s="68"/>
      <c r="F1578" s="68"/>
      <c r="G1578" s="68"/>
      <c r="H1578" s="68"/>
      <c r="I1578" s="68"/>
      <c r="J1578" s="78"/>
      <c r="K1578" s="68"/>
      <c r="L1578" s="68"/>
      <c r="M1578" s="68"/>
      <c r="N1578" s="68"/>
      <c r="O1578" s="68"/>
      <c r="P1578" s="68"/>
      <c r="Q1578" s="68"/>
      <c r="R1578" s="68"/>
      <c r="S1578" s="68"/>
      <c r="T1578" s="68"/>
      <c r="U1578" s="68"/>
      <c r="V1578" s="68"/>
      <c r="W1578" s="68"/>
      <c r="X1578" s="68"/>
      <c r="Y1578" s="68"/>
      <c r="Z1578" s="68"/>
      <c r="AA1578" s="68"/>
      <c r="AB1578" s="68"/>
      <c r="AC1578" s="68"/>
      <c r="AD1578" s="68"/>
      <c r="AE1578" s="68"/>
    </row>
    <row r="1579" ht="26.25" customHeight="1">
      <c r="A1579" s="68"/>
      <c r="B1579" s="68"/>
      <c r="C1579" s="61" t="s">
        <v>129</v>
      </c>
      <c r="D1579" s="61" t="s">
        <v>130</v>
      </c>
      <c r="E1579" s="68"/>
      <c r="F1579" s="68"/>
      <c r="G1579" s="68"/>
      <c r="H1579" s="68"/>
      <c r="I1579" s="68"/>
      <c r="J1579" s="78"/>
      <c r="K1579" s="68"/>
      <c r="L1579" s="68"/>
      <c r="M1579" s="68"/>
      <c r="N1579" s="68"/>
      <c r="O1579" s="68"/>
      <c r="P1579" s="68"/>
      <c r="Q1579" s="68"/>
      <c r="R1579" s="68"/>
      <c r="S1579" s="68"/>
      <c r="T1579" s="68"/>
      <c r="U1579" s="68"/>
      <c r="V1579" s="68"/>
      <c r="W1579" s="68"/>
      <c r="X1579" s="68"/>
      <c r="Y1579" s="68"/>
      <c r="Z1579" s="68"/>
      <c r="AA1579" s="68"/>
      <c r="AB1579" s="68"/>
      <c r="AC1579" s="68"/>
      <c r="AD1579" s="68"/>
      <c r="AE1579" s="68"/>
    </row>
    <row r="1580" ht="26.25" customHeight="1">
      <c r="A1580" s="68"/>
      <c r="B1580" s="68"/>
      <c r="C1580" s="61" t="s">
        <v>129</v>
      </c>
      <c r="D1580" s="61" t="s">
        <v>130</v>
      </c>
      <c r="E1580" s="68"/>
      <c r="F1580" s="68"/>
      <c r="G1580" s="68"/>
      <c r="H1580" s="68"/>
      <c r="I1580" s="68"/>
      <c r="J1580" s="78"/>
      <c r="K1580" s="68"/>
      <c r="L1580" s="68"/>
      <c r="M1580" s="68"/>
      <c r="N1580" s="68"/>
      <c r="O1580" s="68"/>
      <c r="P1580" s="68"/>
      <c r="Q1580" s="68"/>
      <c r="R1580" s="68"/>
      <c r="S1580" s="68"/>
      <c r="T1580" s="68"/>
      <c r="U1580" s="68"/>
      <c r="V1580" s="68"/>
      <c r="W1580" s="68"/>
      <c r="X1580" s="68"/>
      <c r="Y1580" s="68"/>
      <c r="Z1580" s="68"/>
      <c r="AA1580" s="68"/>
      <c r="AB1580" s="68"/>
      <c r="AC1580" s="68"/>
      <c r="AD1580" s="68"/>
      <c r="AE1580" s="68"/>
    </row>
    <row r="1581" ht="26.25" customHeight="1">
      <c r="A1581" s="68"/>
      <c r="B1581" s="68"/>
      <c r="C1581" s="61" t="s">
        <v>129</v>
      </c>
      <c r="D1581" s="61" t="s">
        <v>130</v>
      </c>
      <c r="E1581" s="68"/>
      <c r="F1581" s="68"/>
      <c r="G1581" s="68"/>
      <c r="H1581" s="68"/>
      <c r="I1581" s="68"/>
      <c r="J1581" s="78"/>
      <c r="K1581" s="68"/>
      <c r="L1581" s="68"/>
      <c r="M1581" s="68"/>
      <c r="N1581" s="68"/>
      <c r="O1581" s="68"/>
      <c r="P1581" s="68"/>
      <c r="Q1581" s="68"/>
      <c r="R1581" s="68"/>
      <c r="S1581" s="68"/>
      <c r="T1581" s="68"/>
      <c r="U1581" s="68"/>
      <c r="V1581" s="68"/>
      <c r="W1581" s="68"/>
      <c r="X1581" s="68"/>
      <c r="Y1581" s="68"/>
      <c r="Z1581" s="68"/>
      <c r="AA1581" s="68"/>
      <c r="AB1581" s="68"/>
      <c r="AC1581" s="68"/>
      <c r="AD1581" s="68"/>
      <c r="AE1581" s="68"/>
    </row>
    <row r="1582" ht="26.25" customHeight="1">
      <c r="A1582" s="68"/>
      <c r="B1582" s="68"/>
      <c r="C1582" s="61" t="s">
        <v>129</v>
      </c>
      <c r="D1582" s="61" t="s">
        <v>130</v>
      </c>
      <c r="E1582" s="68"/>
      <c r="F1582" s="68"/>
      <c r="G1582" s="68"/>
      <c r="H1582" s="68"/>
      <c r="I1582" s="68"/>
      <c r="J1582" s="78"/>
      <c r="K1582" s="68"/>
      <c r="L1582" s="68"/>
      <c r="M1582" s="68"/>
      <c r="N1582" s="68"/>
      <c r="O1582" s="68"/>
      <c r="P1582" s="68"/>
      <c r="Q1582" s="68"/>
      <c r="R1582" s="68"/>
      <c r="S1582" s="68"/>
      <c r="T1582" s="68"/>
      <c r="U1582" s="68"/>
      <c r="V1582" s="68"/>
      <c r="W1582" s="68"/>
      <c r="X1582" s="68"/>
      <c r="Y1582" s="68"/>
      <c r="Z1582" s="68"/>
      <c r="AA1582" s="68"/>
      <c r="AB1582" s="68"/>
      <c r="AC1582" s="68"/>
      <c r="AD1582" s="68"/>
      <c r="AE1582" s="68"/>
    </row>
    <row r="1583" ht="26.25" customHeight="1">
      <c r="A1583" s="68"/>
      <c r="B1583" s="68"/>
      <c r="C1583" s="61" t="s">
        <v>129</v>
      </c>
      <c r="D1583" s="61" t="s">
        <v>130</v>
      </c>
      <c r="E1583" s="68"/>
      <c r="F1583" s="68"/>
      <c r="G1583" s="68"/>
      <c r="H1583" s="68"/>
      <c r="I1583" s="68"/>
      <c r="J1583" s="78"/>
      <c r="K1583" s="68"/>
      <c r="L1583" s="68"/>
      <c r="M1583" s="68"/>
      <c r="N1583" s="68"/>
      <c r="O1583" s="68"/>
      <c r="P1583" s="68"/>
      <c r="Q1583" s="68"/>
      <c r="R1583" s="68"/>
      <c r="S1583" s="68"/>
      <c r="T1583" s="68"/>
      <c r="U1583" s="68"/>
      <c r="V1583" s="68"/>
      <c r="W1583" s="68"/>
      <c r="X1583" s="68"/>
      <c r="Y1583" s="68"/>
      <c r="Z1583" s="68"/>
      <c r="AA1583" s="68"/>
      <c r="AB1583" s="68"/>
      <c r="AC1583" s="68"/>
      <c r="AD1583" s="68"/>
      <c r="AE1583" s="68"/>
    </row>
    <row r="1584" ht="26.25" customHeight="1">
      <c r="A1584" s="68"/>
      <c r="B1584" s="68"/>
      <c r="C1584" s="61" t="s">
        <v>129</v>
      </c>
      <c r="D1584" s="61" t="s">
        <v>130</v>
      </c>
      <c r="E1584" s="68"/>
      <c r="F1584" s="68"/>
      <c r="G1584" s="68"/>
      <c r="H1584" s="68"/>
      <c r="I1584" s="68"/>
      <c r="J1584" s="78"/>
      <c r="K1584" s="68"/>
      <c r="L1584" s="68"/>
      <c r="M1584" s="68"/>
      <c r="N1584" s="68"/>
      <c r="O1584" s="68"/>
      <c r="P1584" s="68"/>
      <c r="Q1584" s="68"/>
      <c r="R1584" s="68"/>
      <c r="S1584" s="68"/>
      <c r="T1584" s="68"/>
      <c r="U1584" s="68"/>
      <c r="V1584" s="68"/>
      <c r="W1584" s="68"/>
      <c r="X1584" s="68"/>
      <c r="Y1584" s="68"/>
      <c r="Z1584" s="68"/>
      <c r="AA1584" s="68"/>
      <c r="AB1584" s="68"/>
      <c r="AC1584" s="68"/>
      <c r="AD1584" s="68"/>
      <c r="AE1584" s="68"/>
    </row>
    <row r="1585" ht="26.25" customHeight="1">
      <c r="A1585" s="68"/>
      <c r="B1585" s="68"/>
      <c r="C1585" s="61" t="s">
        <v>129</v>
      </c>
      <c r="D1585" s="61" t="s">
        <v>130</v>
      </c>
      <c r="E1585" s="68"/>
      <c r="F1585" s="68"/>
      <c r="G1585" s="68"/>
      <c r="H1585" s="68"/>
      <c r="I1585" s="68"/>
      <c r="J1585" s="78"/>
      <c r="K1585" s="68"/>
      <c r="L1585" s="68"/>
      <c r="M1585" s="68"/>
      <c r="N1585" s="68"/>
      <c r="O1585" s="68"/>
      <c r="P1585" s="68"/>
      <c r="Q1585" s="68"/>
      <c r="R1585" s="68"/>
      <c r="S1585" s="68"/>
      <c r="T1585" s="68"/>
      <c r="U1585" s="68"/>
      <c r="V1585" s="68"/>
      <c r="W1585" s="68"/>
      <c r="X1585" s="68"/>
      <c r="Y1585" s="68"/>
      <c r="Z1585" s="68"/>
      <c r="AA1585" s="68"/>
      <c r="AB1585" s="68"/>
      <c r="AC1585" s="68"/>
      <c r="AD1585" s="68"/>
      <c r="AE1585" s="68"/>
    </row>
    <row r="1586" ht="26.25" customHeight="1">
      <c r="A1586" s="68"/>
      <c r="B1586" s="68"/>
      <c r="C1586" s="61" t="s">
        <v>129</v>
      </c>
      <c r="D1586" s="61" t="s">
        <v>130</v>
      </c>
      <c r="E1586" s="68"/>
      <c r="F1586" s="68"/>
      <c r="G1586" s="68"/>
      <c r="H1586" s="68"/>
      <c r="I1586" s="68"/>
      <c r="J1586" s="78"/>
      <c r="K1586" s="68"/>
      <c r="L1586" s="68"/>
      <c r="M1586" s="68"/>
      <c r="N1586" s="68"/>
      <c r="O1586" s="68"/>
      <c r="P1586" s="68"/>
      <c r="Q1586" s="68"/>
      <c r="R1586" s="68"/>
      <c r="S1586" s="68"/>
      <c r="T1586" s="68"/>
      <c r="U1586" s="68"/>
      <c r="V1586" s="68"/>
      <c r="W1586" s="68"/>
      <c r="X1586" s="68"/>
      <c r="Y1586" s="68"/>
      <c r="Z1586" s="68"/>
      <c r="AA1586" s="68"/>
      <c r="AB1586" s="68"/>
      <c r="AC1586" s="68"/>
      <c r="AD1586" s="68"/>
      <c r="AE1586" s="68"/>
    </row>
    <row r="1587" ht="26.25" customHeight="1">
      <c r="A1587" s="68"/>
      <c r="B1587" s="68"/>
      <c r="C1587" s="61" t="s">
        <v>129</v>
      </c>
      <c r="D1587" s="61" t="s">
        <v>130</v>
      </c>
      <c r="E1587" s="68"/>
      <c r="F1587" s="68"/>
      <c r="G1587" s="68"/>
      <c r="H1587" s="68"/>
      <c r="I1587" s="68"/>
      <c r="J1587" s="78"/>
      <c r="K1587" s="68"/>
      <c r="L1587" s="68"/>
      <c r="M1587" s="68"/>
      <c r="N1587" s="68"/>
      <c r="O1587" s="68"/>
      <c r="P1587" s="68"/>
      <c r="Q1587" s="68"/>
      <c r="R1587" s="68"/>
      <c r="S1587" s="68"/>
      <c r="T1587" s="68"/>
      <c r="U1587" s="68"/>
      <c r="V1587" s="68"/>
      <c r="W1587" s="68"/>
      <c r="X1587" s="68"/>
      <c r="Y1587" s="68"/>
      <c r="Z1587" s="68"/>
      <c r="AA1587" s="68"/>
      <c r="AB1587" s="68"/>
      <c r="AC1587" s="68"/>
      <c r="AD1587" s="68"/>
      <c r="AE1587" s="68"/>
    </row>
    <row r="1588" ht="26.25" customHeight="1">
      <c r="A1588" s="68"/>
      <c r="B1588" s="68"/>
      <c r="C1588" s="61" t="s">
        <v>129</v>
      </c>
      <c r="D1588" s="61" t="s">
        <v>130</v>
      </c>
      <c r="E1588" s="68"/>
      <c r="F1588" s="68"/>
      <c r="G1588" s="68"/>
      <c r="H1588" s="68"/>
      <c r="I1588" s="68"/>
      <c r="J1588" s="78"/>
      <c r="K1588" s="68"/>
      <c r="L1588" s="68"/>
      <c r="M1588" s="68"/>
      <c r="N1588" s="68"/>
      <c r="O1588" s="68"/>
      <c r="P1588" s="68"/>
      <c r="Q1588" s="68"/>
      <c r="R1588" s="68"/>
      <c r="S1588" s="68"/>
      <c r="T1588" s="68"/>
      <c r="U1588" s="68"/>
      <c r="V1588" s="68"/>
      <c r="W1588" s="68"/>
      <c r="X1588" s="68"/>
      <c r="Y1588" s="68"/>
      <c r="Z1588" s="68"/>
      <c r="AA1588" s="68"/>
      <c r="AB1588" s="68"/>
      <c r="AC1588" s="68"/>
      <c r="AD1588" s="68"/>
      <c r="AE1588" s="68"/>
    </row>
    <row r="1589" ht="26.25" customHeight="1">
      <c r="A1589" s="68"/>
      <c r="B1589" s="68"/>
      <c r="C1589" s="61" t="s">
        <v>129</v>
      </c>
      <c r="D1589" s="61" t="s">
        <v>130</v>
      </c>
      <c r="E1589" s="68"/>
      <c r="F1589" s="68"/>
      <c r="G1589" s="68"/>
      <c r="H1589" s="68"/>
      <c r="I1589" s="68"/>
      <c r="J1589" s="78"/>
      <c r="K1589" s="68"/>
      <c r="L1589" s="68"/>
      <c r="M1589" s="68"/>
      <c r="N1589" s="68"/>
      <c r="O1589" s="68"/>
      <c r="P1589" s="68"/>
      <c r="Q1589" s="68"/>
      <c r="R1589" s="68"/>
      <c r="S1589" s="68"/>
      <c r="T1589" s="68"/>
      <c r="U1589" s="68"/>
      <c r="V1589" s="68"/>
      <c r="W1589" s="68"/>
      <c r="X1589" s="68"/>
      <c r="Y1589" s="68"/>
      <c r="Z1589" s="68"/>
      <c r="AA1589" s="68"/>
      <c r="AB1589" s="68"/>
      <c r="AC1589" s="68"/>
      <c r="AD1589" s="68"/>
      <c r="AE1589" s="68"/>
    </row>
    <row r="1590" ht="26.25" customHeight="1">
      <c r="A1590" s="68"/>
      <c r="B1590" s="68"/>
      <c r="C1590" s="61" t="s">
        <v>129</v>
      </c>
      <c r="D1590" s="61" t="s">
        <v>130</v>
      </c>
      <c r="E1590" s="68"/>
      <c r="F1590" s="68"/>
      <c r="G1590" s="68"/>
      <c r="H1590" s="68"/>
      <c r="I1590" s="68"/>
      <c r="J1590" s="78"/>
      <c r="K1590" s="68"/>
      <c r="L1590" s="68"/>
      <c r="M1590" s="68"/>
      <c r="N1590" s="68"/>
      <c r="O1590" s="68"/>
      <c r="P1590" s="68"/>
      <c r="Q1590" s="68"/>
      <c r="R1590" s="68"/>
      <c r="S1590" s="68"/>
      <c r="T1590" s="68"/>
      <c r="U1590" s="68"/>
      <c r="V1590" s="68"/>
      <c r="W1590" s="68"/>
      <c r="X1590" s="68"/>
      <c r="Y1590" s="68"/>
      <c r="Z1590" s="68"/>
      <c r="AA1590" s="68"/>
      <c r="AB1590" s="68"/>
      <c r="AC1590" s="68"/>
      <c r="AD1590" s="68"/>
      <c r="AE1590" s="68"/>
    </row>
    <row r="1591" ht="26.25" customHeight="1">
      <c r="A1591" s="68"/>
      <c r="B1591" s="68"/>
      <c r="C1591" s="61" t="s">
        <v>129</v>
      </c>
      <c r="D1591" s="61" t="s">
        <v>130</v>
      </c>
      <c r="E1591" s="68"/>
      <c r="F1591" s="68"/>
      <c r="G1591" s="68"/>
      <c r="H1591" s="68"/>
      <c r="I1591" s="68"/>
      <c r="J1591" s="78"/>
      <c r="K1591" s="68"/>
      <c r="L1591" s="68"/>
      <c r="M1591" s="68"/>
      <c r="N1591" s="68"/>
      <c r="O1591" s="68"/>
      <c r="P1591" s="68"/>
      <c r="Q1591" s="68"/>
      <c r="R1591" s="68"/>
      <c r="S1591" s="68"/>
      <c r="T1591" s="68"/>
      <c r="U1591" s="68"/>
      <c r="V1591" s="68"/>
      <c r="W1591" s="68"/>
      <c r="X1591" s="68"/>
      <c r="Y1591" s="68"/>
      <c r="Z1591" s="68"/>
      <c r="AA1591" s="68"/>
      <c r="AB1591" s="68"/>
      <c r="AC1591" s="68"/>
      <c r="AD1591" s="68"/>
      <c r="AE1591" s="68"/>
    </row>
    <row r="1592" ht="26.25" customHeight="1">
      <c r="A1592" s="68"/>
      <c r="B1592" s="68"/>
      <c r="C1592" s="61" t="s">
        <v>129</v>
      </c>
      <c r="D1592" s="61" t="s">
        <v>130</v>
      </c>
      <c r="E1592" s="68"/>
      <c r="F1592" s="68"/>
      <c r="G1592" s="68"/>
      <c r="H1592" s="68"/>
      <c r="I1592" s="68"/>
      <c r="J1592" s="78"/>
      <c r="K1592" s="68"/>
      <c r="L1592" s="68"/>
      <c r="M1592" s="68"/>
      <c r="N1592" s="68"/>
      <c r="O1592" s="68"/>
      <c r="P1592" s="68"/>
      <c r="Q1592" s="68"/>
      <c r="R1592" s="68"/>
      <c r="S1592" s="68"/>
      <c r="T1592" s="68"/>
      <c r="U1592" s="68"/>
      <c r="V1592" s="68"/>
      <c r="W1592" s="68"/>
      <c r="X1592" s="68"/>
      <c r="Y1592" s="68"/>
      <c r="Z1592" s="68"/>
      <c r="AA1592" s="68"/>
      <c r="AB1592" s="68"/>
      <c r="AC1592" s="68"/>
      <c r="AD1592" s="68"/>
      <c r="AE1592" s="68"/>
    </row>
    <row r="1593" ht="26.25" customHeight="1">
      <c r="A1593" s="68"/>
      <c r="B1593" s="68"/>
      <c r="C1593" s="61" t="s">
        <v>129</v>
      </c>
      <c r="D1593" s="61" t="s">
        <v>130</v>
      </c>
      <c r="E1593" s="68"/>
      <c r="F1593" s="68"/>
      <c r="G1593" s="68"/>
      <c r="H1593" s="68"/>
      <c r="I1593" s="68"/>
      <c r="J1593" s="78"/>
      <c r="K1593" s="68"/>
      <c r="L1593" s="68"/>
      <c r="M1593" s="68"/>
      <c r="N1593" s="68"/>
      <c r="O1593" s="68"/>
      <c r="P1593" s="68"/>
      <c r="Q1593" s="68"/>
      <c r="R1593" s="68"/>
      <c r="S1593" s="68"/>
      <c r="T1593" s="68"/>
      <c r="U1593" s="68"/>
      <c r="V1593" s="68"/>
      <c r="W1593" s="68"/>
      <c r="X1593" s="68"/>
      <c r="Y1593" s="68"/>
      <c r="Z1593" s="68"/>
      <c r="AA1593" s="68"/>
      <c r="AB1593" s="68"/>
      <c r="AC1593" s="68"/>
      <c r="AD1593" s="68"/>
      <c r="AE1593" s="68"/>
    </row>
    <row r="1594" ht="26.25" customHeight="1">
      <c r="A1594" s="68"/>
      <c r="B1594" s="68"/>
      <c r="C1594" s="61" t="s">
        <v>129</v>
      </c>
      <c r="D1594" s="61" t="s">
        <v>130</v>
      </c>
      <c r="E1594" s="68"/>
      <c r="F1594" s="68"/>
      <c r="G1594" s="68"/>
      <c r="H1594" s="68"/>
      <c r="I1594" s="68"/>
      <c r="J1594" s="78"/>
      <c r="K1594" s="68"/>
      <c r="L1594" s="68"/>
      <c r="M1594" s="68"/>
      <c r="N1594" s="68"/>
      <c r="O1594" s="68"/>
      <c r="P1594" s="68"/>
      <c r="Q1594" s="68"/>
      <c r="R1594" s="68"/>
      <c r="S1594" s="68"/>
      <c r="T1594" s="68"/>
      <c r="U1594" s="68"/>
      <c r="V1594" s="68"/>
      <c r="W1594" s="68"/>
      <c r="X1594" s="68"/>
      <c r="Y1594" s="68"/>
      <c r="Z1594" s="68"/>
      <c r="AA1594" s="68"/>
      <c r="AB1594" s="68"/>
      <c r="AC1594" s="68"/>
      <c r="AD1594" s="68"/>
      <c r="AE1594" s="68"/>
    </row>
    <row r="1595" ht="26.25" customHeight="1">
      <c r="A1595" s="68"/>
      <c r="B1595" s="68"/>
      <c r="C1595" s="61" t="s">
        <v>129</v>
      </c>
      <c r="D1595" s="61" t="s">
        <v>130</v>
      </c>
      <c r="E1595" s="68"/>
      <c r="F1595" s="68"/>
      <c r="G1595" s="68"/>
      <c r="H1595" s="68"/>
      <c r="I1595" s="68"/>
      <c r="J1595" s="78"/>
      <c r="K1595" s="68"/>
      <c r="L1595" s="68"/>
      <c r="M1595" s="68"/>
      <c r="N1595" s="68"/>
      <c r="O1595" s="68"/>
      <c r="P1595" s="68"/>
      <c r="Q1595" s="68"/>
      <c r="R1595" s="68"/>
      <c r="S1595" s="68"/>
      <c r="T1595" s="68"/>
      <c r="U1595" s="68"/>
      <c r="V1595" s="68"/>
      <c r="W1595" s="68"/>
      <c r="X1595" s="68"/>
      <c r="Y1595" s="68"/>
      <c r="Z1595" s="68"/>
      <c r="AA1595" s="68"/>
      <c r="AB1595" s="68"/>
      <c r="AC1595" s="68"/>
      <c r="AD1595" s="68"/>
      <c r="AE1595" s="68"/>
    </row>
    <row r="1596" ht="26.25" customHeight="1">
      <c r="A1596" s="68"/>
      <c r="B1596" s="68"/>
      <c r="C1596" s="61" t="s">
        <v>129</v>
      </c>
      <c r="D1596" s="61" t="s">
        <v>130</v>
      </c>
      <c r="E1596" s="68"/>
      <c r="F1596" s="68"/>
      <c r="G1596" s="68"/>
      <c r="H1596" s="68"/>
      <c r="I1596" s="68"/>
      <c r="J1596" s="78"/>
      <c r="K1596" s="68"/>
      <c r="L1596" s="68"/>
      <c r="M1596" s="68"/>
      <c r="N1596" s="68"/>
      <c r="O1596" s="68"/>
      <c r="P1596" s="68"/>
      <c r="Q1596" s="68"/>
      <c r="R1596" s="68"/>
      <c r="S1596" s="68"/>
      <c r="T1596" s="68"/>
      <c r="U1596" s="68"/>
      <c r="V1596" s="68"/>
      <c r="W1596" s="68"/>
      <c r="X1596" s="68"/>
      <c r="Y1596" s="68"/>
      <c r="Z1596" s="68"/>
      <c r="AA1596" s="68"/>
      <c r="AB1596" s="68"/>
      <c r="AC1596" s="68"/>
      <c r="AD1596" s="68"/>
      <c r="AE1596" s="68"/>
    </row>
    <row r="1597" ht="26.25" customHeight="1">
      <c r="A1597" s="68"/>
      <c r="B1597" s="68"/>
      <c r="C1597" s="61" t="s">
        <v>129</v>
      </c>
      <c r="D1597" s="61" t="s">
        <v>130</v>
      </c>
      <c r="E1597" s="68"/>
      <c r="F1597" s="68"/>
      <c r="G1597" s="68"/>
      <c r="H1597" s="68"/>
      <c r="I1597" s="68"/>
      <c r="J1597" s="78"/>
      <c r="K1597" s="68"/>
      <c r="L1597" s="68"/>
      <c r="M1597" s="68"/>
      <c r="N1597" s="68"/>
      <c r="O1597" s="68"/>
      <c r="P1597" s="68"/>
      <c r="Q1597" s="68"/>
      <c r="R1597" s="68"/>
      <c r="S1597" s="68"/>
      <c r="T1597" s="68"/>
      <c r="U1597" s="68"/>
      <c r="V1597" s="68"/>
      <c r="W1597" s="68"/>
      <c r="X1597" s="68"/>
      <c r="Y1597" s="68"/>
      <c r="Z1597" s="68"/>
      <c r="AA1597" s="68"/>
      <c r="AB1597" s="68"/>
      <c r="AC1597" s="68"/>
      <c r="AD1597" s="68"/>
      <c r="AE1597" s="68"/>
    </row>
    <row r="1598" ht="26.25" customHeight="1">
      <c r="A1598" s="68"/>
      <c r="B1598" s="68"/>
      <c r="C1598" s="61" t="s">
        <v>129</v>
      </c>
      <c r="D1598" s="61" t="s">
        <v>130</v>
      </c>
      <c r="E1598" s="68"/>
      <c r="F1598" s="68"/>
      <c r="G1598" s="68"/>
      <c r="H1598" s="68"/>
      <c r="I1598" s="68"/>
      <c r="J1598" s="78"/>
      <c r="K1598" s="68"/>
      <c r="L1598" s="68"/>
      <c r="M1598" s="68"/>
      <c r="N1598" s="68"/>
      <c r="O1598" s="68"/>
      <c r="P1598" s="68"/>
      <c r="Q1598" s="68"/>
      <c r="R1598" s="68"/>
      <c r="S1598" s="68"/>
      <c r="T1598" s="68"/>
      <c r="U1598" s="68"/>
      <c r="V1598" s="68"/>
      <c r="W1598" s="68"/>
      <c r="X1598" s="68"/>
      <c r="Y1598" s="68"/>
      <c r="Z1598" s="68"/>
      <c r="AA1598" s="68"/>
      <c r="AB1598" s="68"/>
      <c r="AC1598" s="68"/>
      <c r="AD1598" s="68"/>
      <c r="AE1598" s="68"/>
    </row>
    <row r="1599" ht="26.25" customHeight="1">
      <c r="A1599" s="68"/>
      <c r="B1599" s="68"/>
      <c r="C1599" s="61" t="s">
        <v>129</v>
      </c>
      <c r="D1599" s="61" t="s">
        <v>130</v>
      </c>
      <c r="E1599" s="68"/>
      <c r="F1599" s="68"/>
      <c r="G1599" s="68"/>
      <c r="H1599" s="68"/>
      <c r="I1599" s="68"/>
      <c r="J1599" s="78"/>
      <c r="K1599" s="68"/>
      <c r="L1599" s="68"/>
      <c r="M1599" s="68"/>
      <c r="N1599" s="68"/>
      <c r="O1599" s="68"/>
      <c r="P1599" s="68"/>
      <c r="Q1599" s="68"/>
      <c r="R1599" s="68"/>
      <c r="S1599" s="68"/>
      <c r="T1599" s="68"/>
      <c r="U1599" s="68"/>
      <c r="V1599" s="68"/>
      <c r="W1599" s="68"/>
      <c r="X1599" s="68"/>
      <c r="Y1599" s="68"/>
      <c r="Z1599" s="68"/>
      <c r="AA1599" s="68"/>
      <c r="AB1599" s="68"/>
      <c r="AC1599" s="68"/>
      <c r="AD1599" s="68"/>
      <c r="AE1599" s="68"/>
    </row>
    <row r="1600" ht="26.25" customHeight="1">
      <c r="A1600" s="68"/>
      <c r="B1600" s="68"/>
      <c r="C1600" s="61" t="s">
        <v>129</v>
      </c>
      <c r="D1600" s="61" t="s">
        <v>130</v>
      </c>
      <c r="E1600" s="68"/>
      <c r="F1600" s="68"/>
      <c r="G1600" s="68"/>
      <c r="H1600" s="68"/>
      <c r="I1600" s="68"/>
      <c r="J1600" s="78"/>
      <c r="K1600" s="68"/>
      <c r="L1600" s="68"/>
      <c r="M1600" s="68"/>
      <c r="N1600" s="68"/>
      <c r="O1600" s="68"/>
      <c r="P1600" s="68"/>
      <c r="Q1600" s="68"/>
      <c r="R1600" s="68"/>
      <c r="S1600" s="68"/>
      <c r="T1600" s="68"/>
      <c r="U1600" s="68"/>
      <c r="V1600" s="68"/>
      <c r="W1600" s="68"/>
      <c r="X1600" s="68"/>
      <c r="Y1600" s="68"/>
      <c r="Z1600" s="68"/>
      <c r="AA1600" s="68"/>
      <c r="AB1600" s="68"/>
      <c r="AC1600" s="68"/>
      <c r="AD1600" s="68"/>
      <c r="AE1600" s="68"/>
    </row>
    <row r="1601" ht="26.25" customHeight="1">
      <c r="A1601" s="68"/>
      <c r="B1601" s="68"/>
      <c r="C1601" s="61" t="s">
        <v>129</v>
      </c>
      <c r="D1601" s="61" t="s">
        <v>130</v>
      </c>
      <c r="E1601" s="68"/>
      <c r="F1601" s="68"/>
      <c r="G1601" s="68"/>
      <c r="H1601" s="68"/>
      <c r="I1601" s="68"/>
      <c r="J1601" s="78"/>
      <c r="K1601" s="68"/>
      <c r="L1601" s="68"/>
      <c r="M1601" s="68"/>
      <c r="N1601" s="68"/>
      <c r="O1601" s="68"/>
      <c r="P1601" s="68"/>
      <c r="Q1601" s="68"/>
      <c r="R1601" s="68"/>
      <c r="S1601" s="68"/>
      <c r="T1601" s="68"/>
      <c r="U1601" s="68"/>
      <c r="V1601" s="68"/>
      <c r="W1601" s="68"/>
      <c r="X1601" s="68"/>
      <c r="Y1601" s="68"/>
      <c r="Z1601" s="68"/>
      <c r="AA1601" s="68"/>
      <c r="AB1601" s="68"/>
      <c r="AC1601" s="68"/>
      <c r="AD1601" s="68"/>
      <c r="AE1601" s="68"/>
    </row>
    <row r="1602" ht="26.25" customHeight="1">
      <c r="A1602" s="68"/>
      <c r="B1602" s="68"/>
      <c r="C1602" s="61" t="s">
        <v>129</v>
      </c>
      <c r="D1602" s="61" t="s">
        <v>130</v>
      </c>
      <c r="E1602" s="68"/>
      <c r="F1602" s="68"/>
      <c r="G1602" s="68"/>
      <c r="H1602" s="68"/>
      <c r="I1602" s="68"/>
      <c r="J1602" s="78"/>
      <c r="K1602" s="68"/>
      <c r="L1602" s="68"/>
      <c r="M1602" s="68"/>
      <c r="N1602" s="68"/>
      <c r="O1602" s="68"/>
      <c r="P1602" s="68"/>
      <c r="Q1602" s="68"/>
      <c r="R1602" s="68"/>
      <c r="S1602" s="68"/>
      <c r="T1602" s="68"/>
      <c r="U1602" s="68"/>
      <c r="V1602" s="68"/>
      <c r="W1602" s="68"/>
      <c r="X1602" s="68"/>
      <c r="Y1602" s="68"/>
      <c r="Z1602" s="68"/>
      <c r="AA1602" s="68"/>
      <c r="AB1602" s="68"/>
      <c r="AC1602" s="68"/>
      <c r="AD1602" s="68"/>
      <c r="AE1602" s="68"/>
    </row>
    <row r="1603" ht="26.25" customHeight="1">
      <c r="A1603" s="68"/>
      <c r="B1603" s="68"/>
      <c r="C1603" s="61" t="s">
        <v>129</v>
      </c>
      <c r="D1603" s="61" t="s">
        <v>130</v>
      </c>
      <c r="E1603" s="68"/>
      <c r="F1603" s="68"/>
      <c r="G1603" s="68"/>
      <c r="H1603" s="68"/>
      <c r="I1603" s="68"/>
      <c r="J1603" s="78"/>
      <c r="K1603" s="68"/>
      <c r="L1603" s="68"/>
      <c r="M1603" s="68"/>
      <c r="N1603" s="68"/>
      <c r="O1603" s="68"/>
      <c r="P1603" s="68"/>
      <c r="Q1603" s="68"/>
      <c r="R1603" s="68"/>
      <c r="S1603" s="68"/>
      <c r="T1603" s="68"/>
      <c r="U1603" s="68"/>
      <c r="V1603" s="68"/>
      <c r="W1603" s="68"/>
      <c r="X1603" s="68"/>
      <c r="Y1603" s="68"/>
      <c r="Z1603" s="68"/>
      <c r="AA1603" s="68"/>
      <c r="AB1603" s="68"/>
      <c r="AC1603" s="68"/>
      <c r="AD1603" s="68"/>
      <c r="AE1603" s="68"/>
    </row>
    <row r="1604" ht="26.25" customHeight="1">
      <c r="A1604" s="68"/>
      <c r="B1604" s="68"/>
      <c r="C1604" s="61" t="s">
        <v>129</v>
      </c>
      <c r="D1604" s="61" t="s">
        <v>130</v>
      </c>
      <c r="E1604" s="68"/>
      <c r="F1604" s="68"/>
      <c r="G1604" s="68"/>
      <c r="H1604" s="68"/>
      <c r="I1604" s="68"/>
      <c r="J1604" s="78"/>
      <c r="K1604" s="68"/>
      <c r="L1604" s="68"/>
      <c r="M1604" s="68"/>
      <c r="N1604" s="68"/>
      <c r="O1604" s="68"/>
      <c r="P1604" s="68"/>
      <c r="Q1604" s="68"/>
      <c r="R1604" s="68"/>
      <c r="S1604" s="68"/>
      <c r="T1604" s="68"/>
      <c r="U1604" s="68"/>
      <c r="V1604" s="68"/>
      <c r="W1604" s="68"/>
      <c r="X1604" s="68"/>
      <c r="Y1604" s="68"/>
      <c r="Z1604" s="68"/>
      <c r="AA1604" s="68"/>
      <c r="AB1604" s="68"/>
      <c r="AC1604" s="68"/>
      <c r="AD1604" s="68"/>
      <c r="AE1604" s="68"/>
    </row>
    <row r="1605" ht="26.25" customHeight="1">
      <c r="A1605" s="68"/>
      <c r="B1605" s="68"/>
      <c r="C1605" s="61" t="s">
        <v>129</v>
      </c>
      <c r="D1605" s="61" t="s">
        <v>130</v>
      </c>
      <c r="E1605" s="68"/>
      <c r="F1605" s="68"/>
      <c r="G1605" s="68"/>
      <c r="H1605" s="68"/>
      <c r="I1605" s="68"/>
      <c r="J1605" s="78"/>
      <c r="K1605" s="68"/>
      <c r="L1605" s="68"/>
      <c r="M1605" s="68"/>
      <c r="N1605" s="68"/>
      <c r="O1605" s="68"/>
      <c r="P1605" s="68"/>
      <c r="Q1605" s="68"/>
      <c r="R1605" s="68"/>
      <c r="S1605" s="68"/>
      <c r="T1605" s="68"/>
      <c r="U1605" s="68"/>
      <c r="V1605" s="68"/>
      <c r="W1605" s="68"/>
      <c r="X1605" s="68"/>
      <c r="Y1605" s="68"/>
      <c r="Z1605" s="68"/>
      <c r="AA1605" s="68"/>
      <c r="AB1605" s="68"/>
      <c r="AC1605" s="68"/>
      <c r="AD1605" s="68"/>
      <c r="AE1605" s="68"/>
    </row>
    <row r="1606" ht="26.25" customHeight="1">
      <c r="A1606" s="68"/>
      <c r="B1606" s="68"/>
      <c r="C1606" s="61" t="s">
        <v>129</v>
      </c>
      <c r="D1606" s="61" t="s">
        <v>130</v>
      </c>
      <c r="E1606" s="68"/>
      <c r="F1606" s="68"/>
      <c r="G1606" s="68"/>
      <c r="H1606" s="68"/>
      <c r="I1606" s="68"/>
      <c r="J1606" s="78"/>
      <c r="K1606" s="68"/>
      <c r="L1606" s="68"/>
      <c r="M1606" s="68"/>
      <c r="N1606" s="68"/>
      <c r="O1606" s="68"/>
      <c r="P1606" s="68"/>
      <c r="Q1606" s="68"/>
      <c r="R1606" s="68"/>
      <c r="S1606" s="68"/>
      <c r="T1606" s="68"/>
      <c r="U1606" s="68"/>
      <c r="V1606" s="68"/>
      <c r="W1606" s="68"/>
      <c r="X1606" s="68"/>
      <c r="Y1606" s="68"/>
      <c r="Z1606" s="68"/>
      <c r="AA1606" s="68"/>
      <c r="AB1606" s="68"/>
      <c r="AC1606" s="68"/>
      <c r="AD1606" s="68"/>
      <c r="AE1606" s="68"/>
    </row>
    <row r="1607" ht="26.25" customHeight="1">
      <c r="A1607" s="68"/>
      <c r="B1607" s="68"/>
      <c r="C1607" s="61" t="s">
        <v>129</v>
      </c>
      <c r="D1607" s="61" t="s">
        <v>130</v>
      </c>
      <c r="E1607" s="68"/>
      <c r="F1607" s="68"/>
      <c r="G1607" s="68"/>
      <c r="H1607" s="68"/>
      <c r="I1607" s="68"/>
      <c r="J1607" s="78"/>
      <c r="K1607" s="68"/>
      <c r="L1607" s="68"/>
      <c r="M1607" s="68"/>
      <c r="N1607" s="68"/>
      <c r="O1607" s="68"/>
      <c r="P1607" s="68"/>
      <c r="Q1607" s="68"/>
      <c r="R1607" s="68"/>
      <c r="S1607" s="68"/>
      <c r="T1607" s="68"/>
      <c r="U1607" s="68"/>
      <c r="V1607" s="68"/>
      <c r="W1607" s="68"/>
      <c r="X1607" s="68"/>
      <c r="Y1607" s="68"/>
      <c r="Z1607" s="68"/>
      <c r="AA1607" s="68"/>
      <c r="AB1607" s="68"/>
      <c r="AC1607" s="68"/>
      <c r="AD1607" s="68"/>
      <c r="AE1607" s="68"/>
    </row>
    <row r="1608" ht="26.25" customHeight="1">
      <c r="A1608" s="68"/>
      <c r="B1608" s="68"/>
      <c r="C1608" s="61" t="s">
        <v>129</v>
      </c>
      <c r="D1608" s="61" t="s">
        <v>130</v>
      </c>
      <c r="E1608" s="68"/>
      <c r="F1608" s="68"/>
      <c r="G1608" s="68"/>
      <c r="H1608" s="68"/>
      <c r="I1608" s="68"/>
      <c r="J1608" s="78"/>
      <c r="K1608" s="68"/>
      <c r="L1608" s="68"/>
      <c r="M1608" s="68"/>
      <c r="N1608" s="68"/>
      <c r="O1608" s="68"/>
      <c r="P1608" s="68"/>
      <c r="Q1608" s="68"/>
      <c r="R1608" s="68"/>
      <c r="S1608" s="68"/>
      <c r="T1608" s="68"/>
      <c r="U1608" s="68"/>
      <c r="V1608" s="68"/>
      <c r="W1608" s="68"/>
      <c r="X1608" s="68"/>
      <c r="Y1608" s="68"/>
      <c r="Z1608" s="68"/>
      <c r="AA1608" s="68"/>
      <c r="AB1608" s="68"/>
      <c r="AC1608" s="68"/>
      <c r="AD1608" s="68"/>
      <c r="AE1608" s="68"/>
    </row>
    <row r="1609" ht="26.25" customHeight="1">
      <c r="A1609" s="68"/>
      <c r="B1609" s="68"/>
      <c r="C1609" s="61" t="s">
        <v>129</v>
      </c>
      <c r="D1609" s="61" t="s">
        <v>130</v>
      </c>
      <c r="E1609" s="68"/>
      <c r="F1609" s="68"/>
      <c r="G1609" s="68"/>
      <c r="H1609" s="68"/>
      <c r="I1609" s="68"/>
      <c r="J1609" s="78"/>
      <c r="K1609" s="68"/>
      <c r="L1609" s="68"/>
      <c r="M1609" s="68"/>
      <c r="N1609" s="68"/>
      <c r="O1609" s="68"/>
      <c r="P1609" s="68"/>
      <c r="Q1609" s="68"/>
      <c r="R1609" s="68"/>
      <c r="S1609" s="68"/>
      <c r="T1609" s="68"/>
      <c r="U1609" s="68"/>
      <c r="V1609" s="68"/>
      <c r="W1609" s="68"/>
      <c r="X1609" s="68"/>
      <c r="Y1609" s="68"/>
      <c r="Z1609" s="68"/>
      <c r="AA1609" s="68"/>
      <c r="AB1609" s="68"/>
      <c r="AC1609" s="68"/>
      <c r="AD1609" s="68"/>
      <c r="AE1609" s="68"/>
    </row>
    <row r="1610" ht="26.25" customHeight="1">
      <c r="A1610" s="68"/>
      <c r="B1610" s="68"/>
      <c r="C1610" s="61" t="s">
        <v>129</v>
      </c>
      <c r="D1610" s="61" t="s">
        <v>130</v>
      </c>
      <c r="E1610" s="68"/>
      <c r="F1610" s="68"/>
      <c r="G1610" s="68"/>
      <c r="H1610" s="68"/>
      <c r="I1610" s="68"/>
      <c r="J1610" s="78"/>
      <c r="K1610" s="68"/>
      <c r="L1610" s="68"/>
      <c r="M1610" s="68"/>
      <c r="N1610" s="68"/>
      <c r="O1610" s="68"/>
      <c r="P1610" s="68"/>
      <c r="Q1610" s="68"/>
      <c r="R1610" s="68"/>
      <c r="S1610" s="68"/>
      <c r="T1610" s="68"/>
      <c r="U1610" s="68"/>
      <c r="V1610" s="68"/>
      <c r="W1610" s="68"/>
      <c r="X1610" s="68"/>
      <c r="Y1610" s="68"/>
      <c r="Z1610" s="68"/>
      <c r="AA1610" s="68"/>
      <c r="AB1610" s="68"/>
      <c r="AC1610" s="68"/>
      <c r="AD1610" s="68"/>
      <c r="AE1610" s="68"/>
    </row>
    <row r="1611" ht="26.25" customHeight="1">
      <c r="A1611" s="68"/>
      <c r="B1611" s="68"/>
      <c r="C1611" s="61" t="s">
        <v>129</v>
      </c>
      <c r="D1611" s="61" t="s">
        <v>130</v>
      </c>
      <c r="E1611" s="68"/>
      <c r="F1611" s="68"/>
      <c r="G1611" s="68"/>
      <c r="H1611" s="68"/>
      <c r="I1611" s="68"/>
      <c r="J1611" s="78"/>
      <c r="K1611" s="68"/>
      <c r="L1611" s="68"/>
      <c r="M1611" s="68"/>
      <c r="N1611" s="68"/>
      <c r="O1611" s="68"/>
      <c r="P1611" s="68"/>
      <c r="Q1611" s="68"/>
      <c r="R1611" s="68"/>
      <c r="S1611" s="68"/>
      <c r="T1611" s="68"/>
      <c r="U1611" s="68"/>
      <c r="V1611" s="68"/>
      <c r="W1611" s="68"/>
      <c r="X1611" s="68"/>
      <c r="Y1611" s="68"/>
      <c r="Z1611" s="68"/>
      <c r="AA1611" s="68"/>
      <c r="AB1611" s="68"/>
      <c r="AC1611" s="68"/>
      <c r="AD1611" s="68"/>
      <c r="AE1611" s="68"/>
    </row>
    <row r="1612" ht="26.25" customHeight="1">
      <c r="A1612" s="68"/>
      <c r="B1612" s="68"/>
      <c r="C1612" s="61" t="s">
        <v>129</v>
      </c>
      <c r="D1612" s="61" t="s">
        <v>130</v>
      </c>
      <c r="E1612" s="68"/>
      <c r="F1612" s="68"/>
      <c r="G1612" s="68"/>
      <c r="H1612" s="68"/>
      <c r="I1612" s="68"/>
      <c r="J1612" s="78"/>
      <c r="K1612" s="68"/>
      <c r="L1612" s="68"/>
      <c r="M1612" s="68"/>
      <c r="N1612" s="68"/>
      <c r="O1612" s="68"/>
      <c r="P1612" s="68"/>
      <c r="Q1612" s="68"/>
      <c r="R1612" s="68"/>
      <c r="S1612" s="68"/>
      <c r="T1612" s="68"/>
      <c r="U1612" s="68"/>
      <c r="V1612" s="68"/>
      <c r="W1612" s="68"/>
      <c r="X1612" s="68"/>
      <c r="Y1612" s="68"/>
      <c r="Z1612" s="68"/>
      <c r="AA1612" s="68"/>
      <c r="AB1612" s="68"/>
      <c r="AC1612" s="68"/>
      <c r="AD1612" s="68"/>
      <c r="AE1612" s="68"/>
    </row>
    <row r="1613" ht="26.25" customHeight="1">
      <c r="A1613" s="68"/>
      <c r="B1613" s="68"/>
      <c r="C1613" s="61" t="s">
        <v>129</v>
      </c>
      <c r="D1613" s="61" t="s">
        <v>130</v>
      </c>
      <c r="E1613" s="68"/>
      <c r="F1613" s="68"/>
      <c r="G1613" s="68"/>
      <c r="H1613" s="68"/>
      <c r="I1613" s="68"/>
      <c r="J1613" s="78"/>
      <c r="K1613" s="68"/>
      <c r="L1613" s="68"/>
      <c r="M1613" s="68"/>
      <c r="N1613" s="68"/>
      <c r="O1613" s="68"/>
      <c r="P1613" s="68"/>
      <c r="Q1613" s="68"/>
      <c r="R1613" s="68"/>
      <c r="S1613" s="68"/>
      <c r="T1613" s="68"/>
      <c r="U1613" s="68"/>
      <c r="V1613" s="68"/>
      <c r="W1613" s="68"/>
      <c r="X1613" s="68"/>
      <c r="Y1613" s="68"/>
      <c r="Z1613" s="68"/>
      <c r="AA1613" s="68"/>
      <c r="AB1613" s="68"/>
      <c r="AC1613" s="68"/>
      <c r="AD1613" s="68"/>
      <c r="AE1613" s="68"/>
    </row>
    <row r="1614" ht="26.25" customHeight="1">
      <c r="A1614" s="68"/>
      <c r="B1614" s="68"/>
      <c r="C1614" s="61" t="s">
        <v>129</v>
      </c>
      <c r="D1614" s="61" t="s">
        <v>130</v>
      </c>
      <c r="E1614" s="68"/>
      <c r="F1614" s="68"/>
      <c r="G1614" s="68"/>
      <c r="H1614" s="68"/>
      <c r="I1614" s="68"/>
      <c r="J1614" s="78"/>
      <c r="K1614" s="68"/>
      <c r="L1614" s="68"/>
      <c r="M1614" s="68"/>
      <c r="N1614" s="68"/>
      <c r="O1614" s="68"/>
      <c r="P1614" s="68"/>
      <c r="Q1614" s="68"/>
      <c r="R1614" s="68"/>
      <c r="S1614" s="68"/>
      <c r="T1614" s="68"/>
      <c r="U1614" s="68"/>
      <c r="V1614" s="68"/>
      <c r="W1614" s="68"/>
      <c r="X1614" s="68"/>
      <c r="Y1614" s="68"/>
      <c r="Z1614" s="68"/>
      <c r="AA1614" s="68"/>
      <c r="AB1614" s="68"/>
      <c r="AC1614" s="68"/>
      <c r="AD1614" s="68"/>
      <c r="AE1614" s="68"/>
    </row>
    <row r="1615" ht="26.25" customHeight="1">
      <c r="A1615" s="68"/>
      <c r="B1615" s="68"/>
      <c r="C1615" s="61" t="s">
        <v>129</v>
      </c>
      <c r="D1615" s="61" t="s">
        <v>130</v>
      </c>
      <c r="E1615" s="68"/>
      <c r="F1615" s="68"/>
      <c r="G1615" s="68"/>
      <c r="H1615" s="68"/>
      <c r="I1615" s="68"/>
      <c r="J1615" s="78"/>
      <c r="K1615" s="68"/>
      <c r="L1615" s="68"/>
      <c r="M1615" s="68"/>
      <c r="N1615" s="68"/>
      <c r="O1615" s="68"/>
      <c r="P1615" s="68"/>
      <c r="Q1615" s="68"/>
      <c r="R1615" s="68"/>
      <c r="S1615" s="68"/>
      <c r="T1615" s="68"/>
      <c r="U1615" s="68"/>
      <c r="V1615" s="68"/>
      <c r="W1615" s="68"/>
      <c r="X1615" s="68"/>
      <c r="Y1615" s="68"/>
      <c r="Z1615" s="68"/>
      <c r="AA1615" s="68"/>
      <c r="AB1615" s="68"/>
      <c r="AC1615" s="68"/>
      <c r="AD1615" s="68"/>
      <c r="AE1615" s="68"/>
    </row>
    <row r="1616" ht="26.25" customHeight="1">
      <c r="A1616" s="68"/>
      <c r="B1616" s="68"/>
      <c r="C1616" s="61" t="s">
        <v>129</v>
      </c>
      <c r="D1616" s="61" t="s">
        <v>130</v>
      </c>
      <c r="E1616" s="68"/>
      <c r="F1616" s="68"/>
      <c r="G1616" s="68"/>
      <c r="H1616" s="68"/>
      <c r="I1616" s="68"/>
      <c r="J1616" s="78"/>
      <c r="K1616" s="68"/>
      <c r="L1616" s="68"/>
      <c r="M1616" s="68"/>
      <c r="N1616" s="68"/>
      <c r="O1616" s="68"/>
      <c r="P1616" s="68"/>
      <c r="Q1616" s="68"/>
      <c r="R1616" s="68"/>
      <c r="S1616" s="68"/>
      <c r="T1616" s="68"/>
      <c r="U1616" s="68"/>
      <c r="V1616" s="68"/>
      <c r="W1616" s="68"/>
      <c r="X1616" s="68"/>
      <c r="Y1616" s="68"/>
      <c r="Z1616" s="68"/>
      <c r="AA1616" s="68"/>
      <c r="AB1616" s="68"/>
      <c r="AC1616" s="68"/>
      <c r="AD1616" s="68"/>
      <c r="AE1616" s="68"/>
    </row>
    <row r="1617" ht="26.25" customHeight="1">
      <c r="A1617" s="68"/>
      <c r="B1617" s="68"/>
      <c r="C1617" s="61" t="s">
        <v>129</v>
      </c>
      <c r="D1617" s="61" t="s">
        <v>130</v>
      </c>
      <c r="E1617" s="68"/>
      <c r="F1617" s="68"/>
      <c r="G1617" s="68"/>
      <c r="H1617" s="68"/>
      <c r="I1617" s="68"/>
      <c r="J1617" s="78"/>
      <c r="K1617" s="68"/>
      <c r="L1617" s="68"/>
      <c r="M1617" s="68"/>
      <c r="N1617" s="68"/>
      <c r="O1617" s="68"/>
      <c r="P1617" s="68"/>
      <c r="Q1617" s="68"/>
      <c r="R1617" s="68"/>
      <c r="S1617" s="68"/>
      <c r="T1617" s="68"/>
      <c r="U1617" s="68"/>
      <c r="V1617" s="68"/>
      <c r="W1617" s="68"/>
      <c r="X1617" s="68"/>
      <c r="Y1617" s="68"/>
      <c r="Z1617" s="68"/>
      <c r="AA1617" s="68"/>
      <c r="AB1617" s="68"/>
      <c r="AC1617" s="68"/>
      <c r="AD1617" s="68"/>
      <c r="AE1617" s="68"/>
    </row>
    <row r="1618" ht="26.25" customHeight="1">
      <c r="A1618" s="68"/>
      <c r="B1618" s="68"/>
      <c r="C1618" s="61" t="s">
        <v>129</v>
      </c>
      <c r="D1618" s="61" t="s">
        <v>130</v>
      </c>
      <c r="E1618" s="68"/>
      <c r="F1618" s="68"/>
      <c r="G1618" s="68"/>
      <c r="H1618" s="68"/>
      <c r="I1618" s="68"/>
      <c r="J1618" s="78"/>
      <c r="K1618" s="68"/>
      <c r="L1618" s="68"/>
      <c r="M1618" s="68"/>
      <c r="N1618" s="68"/>
      <c r="O1618" s="68"/>
      <c r="P1618" s="68"/>
      <c r="Q1618" s="68"/>
      <c r="R1618" s="68"/>
      <c r="S1618" s="68"/>
      <c r="T1618" s="68"/>
      <c r="U1618" s="68"/>
      <c r="V1618" s="68"/>
      <c r="W1618" s="68"/>
      <c r="X1618" s="68"/>
      <c r="Y1618" s="68"/>
      <c r="Z1618" s="68"/>
      <c r="AA1618" s="68"/>
      <c r="AB1618" s="68"/>
      <c r="AC1618" s="68"/>
      <c r="AD1618" s="68"/>
      <c r="AE1618" s="68"/>
    </row>
    <row r="1619" ht="26.25" customHeight="1">
      <c r="A1619" s="68"/>
      <c r="B1619" s="68"/>
      <c r="C1619" s="61" t="s">
        <v>129</v>
      </c>
      <c r="D1619" s="61" t="s">
        <v>130</v>
      </c>
      <c r="E1619" s="68"/>
      <c r="F1619" s="68"/>
      <c r="G1619" s="68"/>
      <c r="H1619" s="68"/>
      <c r="I1619" s="68"/>
      <c r="J1619" s="78"/>
      <c r="K1619" s="68"/>
      <c r="L1619" s="68"/>
      <c r="M1619" s="68"/>
      <c r="N1619" s="68"/>
      <c r="O1619" s="68"/>
      <c r="P1619" s="68"/>
      <c r="Q1619" s="68"/>
      <c r="R1619" s="68"/>
      <c r="S1619" s="68"/>
      <c r="T1619" s="68"/>
      <c r="U1619" s="68"/>
      <c r="V1619" s="68"/>
      <c r="W1619" s="68"/>
      <c r="X1619" s="68"/>
      <c r="Y1619" s="68"/>
      <c r="Z1619" s="68"/>
      <c r="AA1619" s="68"/>
      <c r="AB1619" s="68"/>
      <c r="AC1619" s="68"/>
      <c r="AD1619" s="68"/>
      <c r="AE1619" s="68"/>
    </row>
    <row r="1620" ht="26.25" customHeight="1">
      <c r="A1620" s="68"/>
      <c r="B1620" s="68"/>
      <c r="C1620" s="61" t="s">
        <v>129</v>
      </c>
      <c r="D1620" s="61" t="s">
        <v>130</v>
      </c>
      <c r="E1620" s="68"/>
      <c r="F1620" s="68"/>
      <c r="G1620" s="68"/>
      <c r="H1620" s="68"/>
      <c r="I1620" s="68"/>
      <c r="J1620" s="78"/>
      <c r="K1620" s="68"/>
      <c r="L1620" s="68"/>
      <c r="M1620" s="68"/>
      <c r="N1620" s="68"/>
      <c r="O1620" s="68"/>
      <c r="P1620" s="68"/>
      <c r="Q1620" s="68"/>
      <c r="R1620" s="68"/>
      <c r="S1620" s="68"/>
      <c r="T1620" s="68"/>
      <c r="U1620" s="68"/>
      <c r="V1620" s="68"/>
      <c r="W1620" s="68"/>
      <c r="X1620" s="68"/>
      <c r="Y1620" s="68"/>
      <c r="Z1620" s="68"/>
      <c r="AA1620" s="68"/>
      <c r="AB1620" s="68"/>
      <c r="AC1620" s="68"/>
      <c r="AD1620" s="68"/>
      <c r="AE1620" s="68"/>
    </row>
    <row r="1621" ht="26.25" customHeight="1">
      <c r="A1621" s="68"/>
      <c r="B1621" s="68"/>
      <c r="C1621" s="61" t="s">
        <v>129</v>
      </c>
      <c r="D1621" s="61" t="s">
        <v>130</v>
      </c>
      <c r="E1621" s="68"/>
      <c r="F1621" s="68"/>
      <c r="G1621" s="68"/>
      <c r="H1621" s="68"/>
      <c r="I1621" s="68"/>
      <c r="J1621" s="78"/>
      <c r="K1621" s="68"/>
      <c r="L1621" s="68"/>
      <c r="M1621" s="68"/>
      <c r="N1621" s="68"/>
      <c r="O1621" s="68"/>
      <c r="P1621" s="68"/>
      <c r="Q1621" s="68"/>
      <c r="R1621" s="68"/>
      <c r="S1621" s="68"/>
      <c r="T1621" s="68"/>
      <c r="U1621" s="68"/>
      <c r="V1621" s="68"/>
      <c r="W1621" s="68"/>
      <c r="X1621" s="68"/>
      <c r="Y1621" s="68"/>
      <c r="Z1621" s="68"/>
      <c r="AA1621" s="68"/>
      <c r="AB1621" s="68"/>
      <c r="AC1621" s="68"/>
      <c r="AD1621" s="68"/>
      <c r="AE1621" s="68"/>
    </row>
    <row r="1622" ht="26.25" customHeight="1">
      <c r="A1622" s="68"/>
      <c r="B1622" s="68"/>
      <c r="C1622" s="61" t="s">
        <v>129</v>
      </c>
      <c r="D1622" s="61" t="s">
        <v>130</v>
      </c>
      <c r="E1622" s="68"/>
      <c r="F1622" s="68"/>
      <c r="G1622" s="68"/>
      <c r="H1622" s="68"/>
      <c r="I1622" s="68"/>
      <c r="J1622" s="78"/>
      <c r="K1622" s="68"/>
      <c r="L1622" s="68"/>
      <c r="M1622" s="68"/>
      <c r="N1622" s="68"/>
      <c r="O1622" s="68"/>
      <c r="P1622" s="68"/>
      <c r="Q1622" s="68"/>
      <c r="R1622" s="68"/>
      <c r="S1622" s="68"/>
      <c r="T1622" s="68"/>
      <c r="U1622" s="68"/>
      <c r="V1622" s="68"/>
      <c r="W1622" s="68"/>
      <c r="X1622" s="68"/>
      <c r="Y1622" s="68"/>
      <c r="Z1622" s="68"/>
      <c r="AA1622" s="68"/>
      <c r="AB1622" s="68"/>
      <c r="AC1622" s="68"/>
      <c r="AD1622" s="68"/>
      <c r="AE1622" s="68"/>
    </row>
    <row r="1623" ht="26.25" customHeight="1">
      <c r="A1623" s="68"/>
      <c r="B1623" s="68"/>
      <c r="C1623" s="61" t="s">
        <v>129</v>
      </c>
      <c r="D1623" s="61" t="s">
        <v>130</v>
      </c>
      <c r="E1623" s="68"/>
      <c r="F1623" s="68"/>
      <c r="G1623" s="68"/>
      <c r="H1623" s="68"/>
      <c r="I1623" s="68"/>
      <c r="J1623" s="78"/>
      <c r="K1623" s="68"/>
      <c r="L1623" s="68"/>
      <c r="M1623" s="68"/>
      <c r="N1623" s="68"/>
      <c r="O1623" s="68"/>
      <c r="P1623" s="68"/>
      <c r="Q1623" s="68"/>
      <c r="R1623" s="68"/>
      <c r="S1623" s="68"/>
      <c r="T1623" s="68"/>
      <c r="U1623" s="68"/>
      <c r="V1623" s="68"/>
      <c r="W1623" s="68"/>
      <c r="X1623" s="68"/>
      <c r="Y1623" s="68"/>
      <c r="Z1623" s="68"/>
      <c r="AA1623" s="68"/>
      <c r="AB1623" s="68"/>
      <c r="AC1623" s="68"/>
      <c r="AD1623" s="68"/>
      <c r="AE1623" s="68"/>
    </row>
    <row r="1624" ht="26.25" customHeight="1">
      <c r="A1624" s="68"/>
      <c r="B1624" s="68"/>
      <c r="C1624" s="61" t="s">
        <v>129</v>
      </c>
      <c r="D1624" s="61" t="s">
        <v>130</v>
      </c>
      <c r="E1624" s="68"/>
      <c r="F1624" s="68"/>
      <c r="G1624" s="68"/>
      <c r="H1624" s="68"/>
      <c r="I1624" s="68"/>
      <c r="J1624" s="78"/>
      <c r="K1624" s="68"/>
      <c r="L1624" s="68"/>
      <c r="M1624" s="68"/>
      <c r="N1624" s="68"/>
      <c r="O1624" s="68"/>
      <c r="P1624" s="68"/>
      <c r="Q1624" s="68"/>
      <c r="R1624" s="68"/>
      <c r="S1624" s="68"/>
      <c r="T1624" s="68"/>
      <c r="U1624" s="68"/>
      <c r="V1624" s="68"/>
      <c r="W1624" s="68"/>
      <c r="X1624" s="68"/>
      <c r="Y1624" s="68"/>
      <c r="Z1624" s="68"/>
      <c r="AA1624" s="68"/>
      <c r="AB1624" s="68"/>
      <c r="AC1624" s="68"/>
      <c r="AD1624" s="68"/>
      <c r="AE1624" s="68"/>
    </row>
    <row r="1625" ht="26.25" customHeight="1">
      <c r="A1625" s="68"/>
      <c r="B1625" s="68"/>
      <c r="C1625" s="61" t="s">
        <v>129</v>
      </c>
      <c r="D1625" s="61" t="s">
        <v>130</v>
      </c>
      <c r="E1625" s="68"/>
      <c r="F1625" s="68"/>
      <c r="G1625" s="68"/>
      <c r="H1625" s="68"/>
      <c r="I1625" s="68"/>
      <c r="J1625" s="78"/>
      <c r="K1625" s="68"/>
      <c r="L1625" s="68"/>
      <c r="M1625" s="68"/>
      <c r="N1625" s="68"/>
      <c r="O1625" s="68"/>
      <c r="P1625" s="68"/>
      <c r="Q1625" s="68"/>
      <c r="R1625" s="68"/>
      <c r="S1625" s="68"/>
      <c r="T1625" s="68"/>
      <c r="U1625" s="68"/>
      <c r="V1625" s="68"/>
      <c r="W1625" s="68"/>
      <c r="X1625" s="68"/>
      <c r="Y1625" s="68"/>
      <c r="Z1625" s="68"/>
      <c r="AA1625" s="68"/>
      <c r="AB1625" s="68"/>
      <c r="AC1625" s="68"/>
      <c r="AD1625" s="68"/>
      <c r="AE1625" s="68"/>
    </row>
    <row r="1626" ht="26.25" customHeight="1">
      <c r="A1626" s="68"/>
      <c r="B1626" s="68"/>
      <c r="C1626" s="61" t="s">
        <v>129</v>
      </c>
      <c r="D1626" s="61" t="s">
        <v>130</v>
      </c>
      <c r="E1626" s="68"/>
      <c r="F1626" s="68"/>
      <c r="G1626" s="68"/>
      <c r="H1626" s="68"/>
      <c r="I1626" s="68"/>
      <c r="J1626" s="78"/>
      <c r="K1626" s="68"/>
      <c r="L1626" s="68"/>
      <c r="M1626" s="68"/>
      <c r="N1626" s="68"/>
      <c r="O1626" s="68"/>
      <c r="P1626" s="68"/>
      <c r="Q1626" s="68"/>
      <c r="R1626" s="68"/>
      <c r="S1626" s="68"/>
      <c r="T1626" s="68"/>
      <c r="U1626" s="68"/>
      <c r="V1626" s="68"/>
      <c r="W1626" s="68"/>
      <c r="X1626" s="68"/>
      <c r="Y1626" s="68"/>
      <c r="Z1626" s="68"/>
      <c r="AA1626" s="68"/>
      <c r="AB1626" s="68"/>
      <c r="AC1626" s="68"/>
      <c r="AD1626" s="68"/>
      <c r="AE1626" s="68"/>
    </row>
    <row r="1627" ht="26.25" customHeight="1">
      <c r="A1627" s="68"/>
      <c r="B1627" s="68"/>
      <c r="C1627" s="61" t="s">
        <v>129</v>
      </c>
      <c r="D1627" s="61" t="s">
        <v>130</v>
      </c>
      <c r="E1627" s="68"/>
      <c r="F1627" s="68"/>
      <c r="G1627" s="68"/>
      <c r="H1627" s="68"/>
      <c r="I1627" s="68"/>
      <c r="J1627" s="78"/>
      <c r="K1627" s="68"/>
      <c r="L1627" s="68"/>
      <c r="M1627" s="68"/>
      <c r="N1627" s="68"/>
      <c r="O1627" s="68"/>
      <c r="P1627" s="68"/>
      <c r="Q1627" s="68"/>
      <c r="R1627" s="68"/>
      <c r="S1627" s="68"/>
      <c r="T1627" s="68"/>
      <c r="U1627" s="68"/>
      <c r="V1627" s="68"/>
      <c r="W1627" s="68"/>
      <c r="X1627" s="68"/>
      <c r="Y1627" s="68"/>
      <c r="Z1627" s="68"/>
      <c r="AA1627" s="68"/>
      <c r="AB1627" s="68"/>
      <c r="AC1627" s="68"/>
      <c r="AD1627" s="68"/>
      <c r="AE1627" s="68"/>
    </row>
    <row r="1628" ht="26.25" customHeight="1">
      <c r="A1628" s="68"/>
      <c r="B1628" s="68"/>
      <c r="C1628" s="61" t="s">
        <v>129</v>
      </c>
      <c r="D1628" s="61" t="s">
        <v>130</v>
      </c>
      <c r="E1628" s="68"/>
      <c r="F1628" s="68"/>
      <c r="G1628" s="68"/>
      <c r="H1628" s="68"/>
      <c r="I1628" s="68"/>
      <c r="J1628" s="78"/>
      <c r="K1628" s="68"/>
      <c r="L1628" s="68"/>
      <c r="M1628" s="68"/>
      <c r="N1628" s="68"/>
      <c r="O1628" s="68"/>
      <c r="P1628" s="68"/>
      <c r="Q1628" s="68"/>
      <c r="R1628" s="68"/>
      <c r="S1628" s="68"/>
      <c r="T1628" s="68"/>
      <c r="U1628" s="68"/>
      <c r="V1628" s="68"/>
      <c r="W1628" s="68"/>
      <c r="X1628" s="68"/>
      <c r="Y1628" s="68"/>
      <c r="Z1628" s="68"/>
      <c r="AA1628" s="68"/>
      <c r="AB1628" s="68"/>
      <c r="AC1628" s="68"/>
      <c r="AD1628" s="68"/>
      <c r="AE1628" s="68"/>
    </row>
    <row r="1629" ht="26.25" customHeight="1">
      <c r="A1629" s="68"/>
      <c r="B1629" s="68"/>
      <c r="C1629" s="61" t="s">
        <v>129</v>
      </c>
      <c r="D1629" s="61" t="s">
        <v>130</v>
      </c>
      <c r="E1629" s="68"/>
      <c r="F1629" s="68"/>
      <c r="G1629" s="68"/>
      <c r="H1629" s="68"/>
      <c r="I1629" s="68"/>
      <c r="J1629" s="78"/>
      <c r="K1629" s="68"/>
      <c r="L1629" s="68"/>
      <c r="M1629" s="68"/>
      <c r="N1629" s="68"/>
      <c r="O1629" s="68"/>
      <c r="P1629" s="68"/>
      <c r="Q1629" s="68"/>
      <c r="R1629" s="68"/>
      <c r="S1629" s="68"/>
      <c r="T1629" s="68"/>
      <c r="U1629" s="68"/>
      <c r="V1629" s="68"/>
      <c r="W1629" s="68"/>
      <c r="X1629" s="68"/>
      <c r="Y1629" s="68"/>
      <c r="Z1629" s="68"/>
      <c r="AA1629" s="68"/>
      <c r="AB1629" s="68"/>
      <c r="AC1629" s="68"/>
      <c r="AD1629" s="68"/>
      <c r="AE1629" s="68"/>
    </row>
    <row r="1630" ht="26.25" customHeight="1">
      <c r="A1630" s="68"/>
      <c r="B1630" s="68"/>
      <c r="C1630" s="61" t="s">
        <v>129</v>
      </c>
      <c r="D1630" s="61" t="s">
        <v>130</v>
      </c>
      <c r="E1630" s="68"/>
      <c r="F1630" s="68"/>
      <c r="G1630" s="68"/>
      <c r="H1630" s="68"/>
      <c r="I1630" s="68"/>
      <c r="J1630" s="78"/>
      <c r="K1630" s="68"/>
      <c r="L1630" s="68"/>
      <c r="M1630" s="68"/>
      <c r="N1630" s="68"/>
      <c r="O1630" s="68"/>
      <c r="P1630" s="68"/>
      <c r="Q1630" s="68"/>
      <c r="R1630" s="68"/>
      <c r="S1630" s="68"/>
      <c r="T1630" s="68"/>
      <c r="U1630" s="68"/>
      <c r="V1630" s="68"/>
      <c r="W1630" s="68"/>
      <c r="X1630" s="68"/>
      <c r="Y1630" s="68"/>
      <c r="Z1630" s="68"/>
      <c r="AA1630" s="68"/>
      <c r="AB1630" s="68"/>
      <c r="AC1630" s="68"/>
      <c r="AD1630" s="68"/>
      <c r="AE1630" s="68"/>
    </row>
    <row r="1631" ht="26.25" customHeight="1">
      <c r="A1631" s="68"/>
      <c r="B1631" s="68"/>
      <c r="C1631" s="61" t="s">
        <v>129</v>
      </c>
      <c r="D1631" s="61" t="s">
        <v>130</v>
      </c>
      <c r="E1631" s="68"/>
      <c r="F1631" s="68"/>
      <c r="G1631" s="68"/>
      <c r="H1631" s="68"/>
      <c r="I1631" s="68"/>
      <c r="J1631" s="78"/>
      <c r="K1631" s="68"/>
      <c r="L1631" s="68"/>
      <c r="M1631" s="68"/>
      <c r="N1631" s="68"/>
      <c r="O1631" s="68"/>
      <c r="P1631" s="68"/>
      <c r="Q1631" s="68"/>
      <c r="R1631" s="68"/>
      <c r="S1631" s="68"/>
      <c r="T1631" s="68"/>
      <c r="U1631" s="68"/>
      <c r="V1631" s="68"/>
      <c r="W1631" s="68"/>
      <c r="X1631" s="68"/>
      <c r="Y1631" s="68"/>
      <c r="Z1631" s="68"/>
      <c r="AA1631" s="68"/>
      <c r="AB1631" s="68"/>
      <c r="AC1631" s="68"/>
      <c r="AD1631" s="68"/>
      <c r="AE1631" s="68"/>
    </row>
    <row r="1632" ht="26.25" customHeight="1">
      <c r="A1632" s="68"/>
      <c r="B1632" s="68"/>
      <c r="C1632" s="61" t="s">
        <v>129</v>
      </c>
      <c r="D1632" s="61" t="s">
        <v>130</v>
      </c>
      <c r="E1632" s="68"/>
      <c r="F1632" s="68"/>
      <c r="G1632" s="68"/>
      <c r="H1632" s="68"/>
      <c r="I1632" s="68"/>
      <c r="J1632" s="78"/>
      <c r="K1632" s="68"/>
      <c r="L1632" s="68"/>
      <c r="M1632" s="68"/>
      <c r="N1632" s="68"/>
      <c r="O1632" s="68"/>
      <c r="P1632" s="68"/>
      <c r="Q1632" s="68"/>
      <c r="R1632" s="68"/>
      <c r="S1632" s="68"/>
      <c r="T1632" s="68"/>
      <c r="U1632" s="68"/>
      <c r="V1632" s="68"/>
      <c r="W1632" s="68"/>
      <c r="X1632" s="68"/>
      <c r="Y1632" s="68"/>
      <c r="Z1632" s="68"/>
      <c r="AA1632" s="68"/>
      <c r="AB1632" s="68"/>
      <c r="AC1632" s="68"/>
      <c r="AD1632" s="68"/>
      <c r="AE1632" s="68"/>
    </row>
    <row r="1633" ht="26.25" customHeight="1">
      <c r="A1633" s="68"/>
      <c r="B1633" s="68"/>
      <c r="C1633" s="61" t="s">
        <v>129</v>
      </c>
      <c r="D1633" s="61" t="s">
        <v>130</v>
      </c>
      <c r="E1633" s="68"/>
      <c r="F1633" s="68"/>
      <c r="G1633" s="68"/>
      <c r="H1633" s="68"/>
      <c r="I1633" s="68"/>
      <c r="J1633" s="78"/>
      <c r="K1633" s="68"/>
      <c r="L1633" s="68"/>
      <c r="M1633" s="68"/>
      <c r="N1633" s="68"/>
      <c r="O1633" s="68"/>
      <c r="P1633" s="68"/>
      <c r="Q1633" s="68"/>
      <c r="R1633" s="68"/>
      <c r="S1633" s="68"/>
      <c r="T1633" s="68"/>
      <c r="U1633" s="68"/>
      <c r="V1633" s="68"/>
      <c r="W1633" s="68"/>
      <c r="X1633" s="68"/>
      <c r="Y1633" s="68"/>
      <c r="Z1633" s="68"/>
      <c r="AA1633" s="68"/>
      <c r="AB1633" s="68"/>
      <c r="AC1633" s="68"/>
      <c r="AD1633" s="68"/>
      <c r="AE1633" s="68"/>
    </row>
    <row r="1634" ht="26.25" customHeight="1">
      <c r="A1634" s="68"/>
      <c r="B1634" s="68"/>
      <c r="C1634" s="61" t="s">
        <v>129</v>
      </c>
      <c r="D1634" s="61" t="s">
        <v>130</v>
      </c>
      <c r="E1634" s="68"/>
      <c r="F1634" s="68"/>
      <c r="G1634" s="68"/>
      <c r="H1634" s="68"/>
      <c r="I1634" s="68"/>
      <c r="J1634" s="78"/>
      <c r="K1634" s="68"/>
      <c r="L1634" s="68"/>
      <c r="M1634" s="68"/>
      <c r="N1634" s="68"/>
      <c r="O1634" s="68"/>
      <c r="P1634" s="68"/>
      <c r="Q1634" s="68"/>
      <c r="R1634" s="68"/>
      <c r="S1634" s="68"/>
      <c r="T1634" s="68"/>
      <c r="U1634" s="68"/>
      <c r="V1634" s="68"/>
      <c r="W1634" s="68"/>
      <c r="X1634" s="68"/>
      <c r="Y1634" s="68"/>
      <c r="Z1634" s="68"/>
      <c r="AA1634" s="68"/>
      <c r="AB1634" s="68"/>
      <c r="AC1634" s="68"/>
      <c r="AD1634" s="68"/>
      <c r="AE1634" s="68"/>
    </row>
    <row r="1635" ht="26.25" customHeight="1">
      <c r="A1635" s="68"/>
      <c r="B1635" s="68"/>
      <c r="C1635" s="61" t="s">
        <v>129</v>
      </c>
      <c r="D1635" s="61" t="s">
        <v>130</v>
      </c>
      <c r="E1635" s="68"/>
      <c r="F1635" s="68"/>
      <c r="G1635" s="68"/>
      <c r="H1635" s="68"/>
      <c r="I1635" s="68"/>
      <c r="J1635" s="78"/>
      <c r="K1635" s="68"/>
      <c r="L1635" s="68"/>
      <c r="M1635" s="68"/>
      <c r="N1635" s="68"/>
      <c r="O1635" s="68"/>
      <c r="P1635" s="68"/>
      <c r="Q1635" s="68"/>
      <c r="R1635" s="68"/>
      <c r="S1635" s="68"/>
      <c r="T1635" s="68"/>
      <c r="U1635" s="68"/>
      <c r="V1635" s="68"/>
      <c r="W1635" s="68"/>
      <c r="X1635" s="68"/>
      <c r="Y1635" s="68"/>
      <c r="Z1635" s="68"/>
      <c r="AA1635" s="68"/>
      <c r="AB1635" s="68"/>
      <c r="AC1635" s="68"/>
      <c r="AD1635" s="68"/>
      <c r="AE1635" s="68"/>
    </row>
    <row r="1636" ht="26.25" customHeight="1">
      <c r="A1636" s="68"/>
      <c r="B1636" s="68"/>
      <c r="C1636" s="61" t="s">
        <v>129</v>
      </c>
      <c r="D1636" s="61" t="s">
        <v>130</v>
      </c>
      <c r="E1636" s="68"/>
      <c r="F1636" s="68"/>
      <c r="G1636" s="68"/>
      <c r="H1636" s="68"/>
      <c r="I1636" s="68"/>
      <c r="J1636" s="78"/>
      <c r="K1636" s="68"/>
      <c r="L1636" s="68"/>
      <c r="M1636" s="68"/>
      <c r="N1636" s="68"/>
      <c r="O1636" s="68"/>
      <c r="P1636" s="68"/>
      <c r="Q1636" s="68"/>
      <c r="R1636" s="68"/>
      <c r="S1636" s="68"/>
      <c r="T1636" s="68"/>
      <c r="U1636" s="68"/>
      <c r="V1636" s="68"/>
      <c r="W1636" s="68"/>
      <c r="X1636" s="68"/>
      <c r="Y1636" s="68"/>
      <c r="Z1636" s="68"/>
      <c r="AA1636" s="68"/>
      <c r="AB1636" s="68"/>
      <c r="AC1636" s="68"/>
      <c r="AD1636" s="68"/>
      <c r="AE1636" s="68"/>
    </row>
    <row r="1637" ht="26.25" customHeight="1">
      <c r="A1637" s="68"/>
      <c r="B1637" s="68"/>
      <c r="C1637" s="61" t="s">
        <v>129</v>
      </c>
      <c r="D1637" s="61" t="s">
        <v>130</v>
      </c>
      <c r="E1637" s="68"/>
      <c r="F1637" s="68"/>
      <c r="G1637" s="68"/>
      <c r="H1637" s="68"/>
      <c r="I1637" s="68"/>
      <c r="J1637" s="78"/>
      <c r="K1637" s="68"/>
      <c r="L1637" s="68"/>
      <c r="M1637" s="68"/>
      <c r="N1637" s="68"/>
      <c r="O1637" s="68"/>
      <c r="P1637" s="68"/>
      <c r="Q1637" s="68"/>
      <c r="R1637" s="68"/>
      <c r="S1637" s="68"/>
      <c r="T1637" s="68"/>
      <c r="U1637" s="68"/>
      <c r="V1637" s="68"/>
      <c r="W1637" s="68"/>
      <c r="X1637" s="68"/>
      <c r="Y1637" s="68"/>
      <c r="Z1637" s="68"/>
      <c r="AA1637" s="68"/>
      <c r="AB1637" s="68"/>
      <c r="AC1637" s="68"/>
      <c r="AD1637" s="68"/>
      <c r="AE1637" s="68"/>
    </row>
    <row r="1638" ht="26.25" customHeight="1">
      <c r="A1638" s="68"/>
      <c r="B1638" s="68"/>
      <c r="C1638" s="61" t="s">
        <v>129</v>
      </c>
      <c r="D1638" s="61" t="s">
        <v>130</v>
      </c>
      <c r="E1638" s="68"/>
      <c r="F1638" s="68"/>
      <c r="G1638" s="68"/>
      <c r="H1638" s="68"/>
      <c r="I1638" s="68"/>
      <c r="J1638" s="78"/>
      <c r="K1638" s="68"/>
      <c r="L1638" s="68"/>
      <c r="M1638" s="68"/>
      <c r="N1638" s="68"/>
      <c r="O1638" s="68"/>
      <c r="P1638" s="68"/>
      <c r="Q1638" s="68"/>
      <c r="R1638" s="68"/>
      <c r="S1638" s="68"/>
      <c r="T1638" s="68"/>
      <c r="U1638" s="68"/>
      <c r="V1638" s="68"/>
      <c r="W1638" s="68"/>
      <c r="X1638" s="68"/>
      <c r="Y1638" s="68"/>
      <c r="Z1638" s="68"/>
      <c r="AA1638" s="68"/>
      <c r="AB1638" s="68"/>
      <c r="AC1638" s="68"/>
      <c r="AD1638" s="68"/>
      <c r="AE1638" s="68"/>
    </row>
    <row r="1639" ht="26.25" customHeight="1">
      <c r="A1639" s="68"/>
      <c r="B1639" s="68"/>
      <c r="C1639" s="61" t="s">
        <v>129</v>
      </c>
      <c r="D1639" s="61" t="s">
        <v>130</v>
      </c>
      <c r="E1639" s="68"/>
      <c r="F1639" s="68"/>
      <c r="G1639" s="68"/>
      <c r="H1639" s="68"/>
      <c r="I1639" s="68"/>
      <c r="J1639" s="78"/>
      <c r="K1639" s="68"/>
      <c r="L1639" s="68"/>
      <c r="M1639" s="68"/>
      <c r="N1639" s="68"/>
      <c r="O1639" s="68"/>
      <c r="P1639" s="68"/>
      <c r="Q1639" s="68"/>
      <c r="R1639" s="68"/>
      <c r="S1639" s="68"/>
      <c r="T1639" s="68"/>
      <c r="U1639" s="68"/>
      <c r="V1639" s="68"/>
      <c r="W1639" s="68"/>
      <c r="X1639" s="68"/>
      <c r="Y1639" s="68"/>
      <c r="Z1639" s="68"/>
      <c r="AA1639" s="68"/>
      <c r="AB1639" s="68"/>
      <c r="AC1639" s="68"/>
      <c r="AD1639" s="68"/>
      <c r="AE1639" s="68"/>
    </row>
    <row r="1640" ht="26.25" customHeight="1">
      <c r="A1640" s="68"/>
      <c r="B1640" s="68"/>
      <c r="C1640" s="61" t="s">
        <v>129</v>
      </c>
      <c r="D1640" s="61" t="s">
        <v>130</v>
      </c>
      <c r="E1640" s="68"/>
      <c r="F1640" s="68"/>
      <c r="G1640" s="68"/>
      <c r="H1640" s="68"/>
      <c r="I1640" s="68"/>
      <c r="J1640" s="78"/>
      <c r="K1640" s="68"/>
      <c r="L1640" s="68"/>
      <c r="M1640" s="68"/>
      <c r="N1640" s="68"/>
      <c r="O1640" s="68"/>
      <c r="P1640" s="68"/>
      <c r="Q1640" s="68"/>
      <c r="R1640" s="68"/>
      <c r="S1640" s="68"/>
      <c r="T1640" s="68"/>
      <c r="U1640" s="68"/>
      <c r="V1640" s="68"/>
      <c r="W1640" s="68"/>
      <c r="X1640" s="68"/>
      <c r="Y1640" s="68"/>
      <c r="Z1640" s="68"/>
      <c r="AA1640" s="68"/>
      <c r="AB1640" s="68"/>
      <c r="AC1640" s="68"/>
      <c r="AD1640" s="68"/>
      <c r="AE1640" s="68"/>
    </row>
    <row r="1641" ht="26.25" customHeight="1">
      <c r="A1641" s="68"/>
      <c r="B1641" s="68"/>
      <c r="C1641" s="61" t="s">
        <v>129</v>
      </c>
      <c r="D1641" s="61" t="s">
        <v>130</v>
      </c>
      <c r="E1641" s="68"/>
      <c r="F1641" s="68"/>
      <c r="G1641" s="68"/>
      <c r="H1641" s="68"/>
      <c r="I1641" s="68"/>
      <c r="J1641" s="78"/>
      <c r="K1641" s="68"/>
      <c r="L1641" s="68"/>
      <c r="M1641" s="68"/>
      <c r="N1641" s="68"/>
      <c r="O1641" s="68"/>
      <c r="P1641" s="68"/>
      <c r="Q1641" s="68"/>
      <c r="R1641" s="68"/>
      <c r="S1641" s="68"/>
      <c r="T1641" s="68"/>
      <c r="U1641" s="68"/>
      <c r="V1641" s="68"/>
      <c r="W1641" s="68"/>
      <c r="X1641" s="68"/>
      <c r="Y1641" s="68"/>
      <c r="Z1641" s="68"/>
      <c r="AA1641" s="68"/>
      <c r="AB1641" s="68"/>
      <c r="AC1641" s="68"/>
      <c r="AD1641" s="68"/>
      <c r="AE1641" s="68"/>
    </row>
    <row r="1642" ht="26.25" customHeight="1">
      <c r="A1642" s="68"/>
      <c r="B1642" s="68"/>
      <c r="C1642" s="61" t="s">
        <v>129</v>
      </c>
      <c r="D1642" s="61" t="s">
        <v>130</v>
      </c>
      <c r="E1642" s="68"/>
      <c r="F1642" s="68"/>
      <c r="G1642" s="68"/>
      <c r="H1642" s="68"/>
      <c r="I1642" s="68"/>
      <c r="J1642" s="78"/>
      <c r="K1642" s="68"/>
      <c r="L1642" s="68"/>
      <c r="M1642" s="68"/>
      <c r="N1642" s="68"/>
      <c r="O1642" s="68"/>
      <c r="P1642" s="68"/>
      <c r="Q1642" s="68"/>
      <c r="R1642" s="68"/>
      <c r="S1642" s="68"/>
      <c r="T1642" s="68"/>
      <c r="U1642" s="68"/>
      <c r="V1642" s="68"/>
      <c r="W1642" s="68"/>
      <c r="X1642" s="68"/>
      <c r="Y1642" s="68"/>
      <c r="Z1642" s="68"/>
      <c r="AA1642" s="68"/>
      <c r="AB1642" s="68"/>
      <c r="AC1642" s="68"/>
      <c r="AD1642" s="68"/>
      <c r="AE1642" s="68"/>
    </row>
    <row r="1643" ht="26.25" customHeight="1">
      <c r="A1643" s="68"/>
      <c r="B1643" s="68"/>
      <c r="C1643" s="61" t="s">
        <v>129</v>
      </c>
      <c r="D1643" s="61" t="s">
        <v>130</v>
      </c>
      <c r="E1643" s="68"/>
      <c r="F1643" s="68"/>
      <c r="G1643" s="68"/>
      <c r="H1643" s="68"/>
      <c r="I1643" s="68"/>
      <c r="J1643" s="78"/>
      <c r="K1643" s="68"/>
      <c r="L1643" s="68"/>
      <c r="M1643" s="68"/>
      <c r="N1643" s="68"/>
      <c r="O1643" s="68"/>
      <c r="P1643" s="68"/>
      <c r="Q1643" s="68"/>
      <c r="R1643" s="68"/>
      <c r="S1643" s="68"/>
      <c r="T1643" s="68"/>
      <c r="U1643" s="68"/>
      <c r="V1643" s="68"/>
      <c r="W1643" s="68"/>
      <c r="X1643" s="68"/>
      <c r="Y1643" s="68"/>
      <c r="Z1643" s="68"/>
      <c r="AA1643" s="68"/>
      <c r="AB1643" s="68"/>
      <c r="AC1643" s="68"/>
      <c r="AD1643" s="68"/>
      <c r="AE1643" s="68"/>
    </row>
    <row r="1644" ht="26.25" customHeight="1">
      <c r="A1644" s="68"/>
      <c r="B1644" s="68"/>
      <c r="C1644" s="61" t="s">
        <v>129</v>
      </c>
      <c r="D1644" s="61" t="s">
        <v>130</v>
      </c>
      <c r="E1644" s="68"/>
      <c r="F1644" s="68"/>
      <c r="G1644" s="68"/>
      <c r="H1644" s="68"/>
      <c r="I1644" s="68"/>
      <c r="J1644" s="78"/>
      <c r="K1644" s="68"/>
      <c r="L1644" s="68"/>
      <c r="M1644" s="68"/>
      <c r="N1644" s="68"/>
      <c r="O1644" s="68"/>
      <c r="P1644" s="68"/>
      <c r="Q1644" s="68"/>
      <c r="R1644" s="68"/>
      <c r="S1644" s="68"/>
      <c r="T1644" s="68"/>
      <c r="U1644" s="68"/>
      <c r="V1644" s="68"/>
      <c r="W1644" s="68"/>
      <c r="X1644" s="68"/>
      <c r="Y1644" s="68"/>
      <c r="Z1644" s="68"/>
      <c r="AA1644" s="68"/>
      <c r="AB1644" s="68"/>
      <c r="AC1644" s="68"/>
      <c r="AD1644" s="68"/>
      <c r="AE1644" s="68"/>
    </row>
    <row r="1645" ht="26.25" customHeight="1">
      <c r="A1645" s="68"/>
      <c r="B1645" s="68"/>
      <c r="C1645" s="61" t="s">
        <v>129</v>
      </c>
      <c r="D1645" s="61" t="s">
        <v>130</v>
      </c>
      <c r="E1645" s="68"/>
      <c r="F1645" s="68"/>
      <c r="G1645" s="68"/>
      <c r="H1645" s="68"/>
      <c r="I1645" s="68"/>
      <c r="J1645" s="78"/>
      <c r="K1645" s="68"/>
      <c r="L1645" s="68"/>
      <c r="M1645" s="68"/>
      <c r="N1645" s="68"/>
      <c r="O1645" s="68"/>
      <c r="P1645" s="68"/>
      <c r="Q1645" s="68"/>
      <c r="R1645" s="68"/>
      <c r="S1645" s="68"/>
      <c r="T1645" s="68"/>
      <c r="U1645" s="68"/>
      <c r="V1645" s="68"/>
      <c r="W1645" s="68"/>
      <c r="X1645" s="68"/>
      <c r="Y1645" s="68"/>
      <c r="Z1645" s="68"/>
      <c r="AA1645" s="68"/>
      <c r="AB1645" s="68"/>
      <c r="AC1645" s="68"/>
      <c r="AD1645" s="68"/>
      <c r="AE1645" s="68"/>
    </row>
    <row r="1646" ht="26.25" customHeight="1">
      <c r="A1646" s="68"/>
      <c r="B1646" s="68"/>
      <c r="C1646" s="61" t="s">
        <v>129</v>
      </c>
      <c r="D1646" s="61" t="s">
        <v>130</v>
      </c>
      <c r="E1646" s="68"/>
      <c r="F1646" s="68"/>
      <c r="G1646" s="68"/>
      <c r="H1646" s="68"/>
      <c r="I1646" s="68"/>
      <c r="J1646" s="78"/>
      <c r="K1646" s="68"/>
      <c r="L1646" s="68"/>
      <c r="M1646" s="68"/>
      <c r="N1646" s="68"/>
      <c r="O1646" s="68"/>
      <c r="P1646" s="68"/>
      <c r="Q1646" s="68"/>
      <c r="R1646" s="68"/>
      <c r="S1646" s="68"/>
      <c r="T1646" s="68"/>
      <c r="U1646" s="68"/>
      <c r="V1646" s="68"/>
      <c r="W1646" s="68"/>
      <c r="X1646" s="68"/>
      <c r="Y1646" s="68"/>
      <c r="Z1646" s="68"/>
      <c r="AA1646" s="68"/>
      <c r="AB1646" s="68"/>
      <c r="AC1646" s="68"/>
      <c r="AD1646" s="68"/>
      <c r="AE1646" s="68"/>
    </row>
    <row r="1647" ht="26.25" customHeight="1">
      <c r="A1647" s="68"/>
      <c r="B1647" s="68"/>
      <c r="C1647" s="61" t="s">
        <v>129</v>
      </c>
      <c r="D1647" s="61" t="s">
        <v>130</v>
      </c>
      <c r="E1647" s="68"/>
      <c r="F1647" s="68"/>
      <c r="G1647" s="68"/>
      <c r="H1647" s="68"/>
      <c r="I1647" s="68"/>
      <c r="J1647" s="78"/>
      <c r="K1647" s="68"/>
      <c r="L1647" s="68"/>
      <c r="M1647" s="68"/>
      <c r="N1647" s="68"/>
      <c r="O1647" s="68"/>
      <c r="P1647" s="68"/>
      <c r="Q1647" s="68"/>
      <c r="R1647" s="68"/>
      <c r="S1647" s="68"/>
      <c r="T1647" s="68"/>
      <c r="U1647" s="68"/>
      <c r="V1647" s="68"/>
      <c r="W1647" s="68"/>
      <c r="X1647" s="68"/>
      <c r="Y1647" s="68"/>
      <c r="Z1647" s="68"/>
      <c r="AA1647" s="68"/>
      <c r="AB1647" s="68"/>
      <c r="AC1647" s="68"/>
      <c r="AD1647" s="68"/>
      <c r="AE1647" s="68"/>
    </row>
    <row r="1648" ht="26.25" customHeight="1">
      <c r="A1648" s="68"/>
      <c r="B1648" s="68"/>
      <c r="C1648" s="61" t="s">
        <v>129</v>
      </c>
      <c r="D1648" s="61" t="s">
        <v>130</v>
      </c>
      <c r="E1648" s="68"/>
      <c r="F1648" s="68"/>
      <c r="G1648" s="68"/>
      <c r="H1648" s="68"/>
      <c r="I1648" s="68"/>
      <c r="J1648" s="78"/>
      <c r="K1648" s="68"/>
      <c r="L1648" s="68"/>
      <c r="M1648" s="68"/>
      <c r="N1648" s="68"/>
      <c r="O1648" s="68"/>
      <c r="P1648" s="68"/>
      <c r="Q1648" s="68"/>
      <c r="R1648" s="68"/>
      <c r="S1648" s="68"/>
      <c r="T1648" s="68"/>
      <c r="U1648" s="68"/>
      <c r="V1648" s="68"/>
      <c r="W1648" s="68"/>
      <c r="X1648" s="68"/>
      <c r="Y1648" s="68"/>
      <c r="Z1648" s="68"/>
      <c r="AA1648" s="68"/>
      <c r="AB1648" s="68"/>
      <c r="AC1648" s="68"/>
      <c r="AD1648" s="68"/>
      <c r="AE1648" s="68"/>
    </row>
    <row r="1649" ht="26.25" customHeight="1">
      <c r="A1649" s="68"/>
      <c r="B1649" s="68"/>
      <c r="C1649" s="61" t="s">
        <v>129</v>
      </c>
      <c r="D1649" s="61" t="s">
        <v>130</v>
      </c>
      <c r="E1649" s="68"/>
      <c r="F1649" s="68"/>
      <c r="G1649" s="68"/>
      <c r="H1649" s="68"/>
      <c r="I1649" s="68"/>
      <c r="J1649" s="78"/>
      <c r="K1649" s="68"/>
      <c r="L1649" s="68"/>
      <c r="M1649" s="68"/>
      <c r="N1649" s="68"/>
      <c r="O1649" s="68"/>
      <c r="P1649" s="68"/>
      <c r="Q1649" s="68"/>
      <c r="R1649" s="68"/>
      <c r="S1649" s="68"/>
      <c r="T1649" s="68"/>
      <c r="U1649" s="68"/>
      <c r="V1649" s="68"/>
      <c r="W1649" s="68"/>
      <c r="X1649" s="68"/>
      <c r="Y1649" s="68"/>
      <c r="Z1649" s="68"/>
      <c r="AA1649" s="68"/>
      <c r="AB1649" s="68"/>
      <c r="AC1649" s="68"/>
      <c r="AD1649" s="68"/>
      <c r="AE1649" s="68"/>
    </row>
    <row r="1650" ht="26.25" customHeight="1">
      <c r="A1650" s="68"/>
      <c r="B1650" s="68"/>
      <c r="C1650" s="61" t="s">
        <v>129</v>
      </c>
      <c r="D1650" s="61" t="s">
        <v>130</v>
      </c>
      <c r="E1650" s="68"/>
      <c r="F1650" s="68"/>
      <c r="G1650" s="68"/>
      <c r="H1650" s="68"/>
      <c r="I1650" s="68"/>
      <c r="J1650" s="78"/>
      <c r="K1650" s="68"/>
      <c r="L1650" s="68"/>
      <c r="M1650" s="68"/>
      <c r="N1650" s="68"/>
      <c r="O1650" s="68"/>
      <c r="P1650" s="68"/>
      <c r="Q1650" s="68"/>
      <c r="R1650" s="68"/>
      <c r="S1650" s="68"/>
      <c r="T1650" s="68"/>
      <c r="U1650" s="68"/>
      <c r="V1650" s="68"/>
      <c r="W1650" s="68"/>
      <c r="X1650" s="68"/>
      <c r="Y1650" s="68"/>
      <c r="Z1650" s="68"/>
      <c r="AA1650" s="68"/>
      <c r="AB1650" s="68"/>
      <c r="AC1650" s="68"/>
      <c r="AD1650" s="68"/>
      <c r="AE1650" s="68"/>
    </row>
    <row r="1651" ht="26.25" customHeight="1">
      <c r="A1651" s="68"/>
      <c r="B1651" s="68"/>
      <c r="C1651" s="61" t="s">
        <v>129</v>
      </c>
      <c r="D1651" s="61" t="s">
        <v>130</v>
      </c>
      <c r="E1651" s="68"/>
      <c r="F1651" s="68"/>
      <c r="G1651" s="68"/>
      <c r="H1651" s="68"/>
      <c r="I1651" s="68"/>
      <c r="J1651" s="78"/>
      <c r="K1651" s="68"/>
      <c r="L1651" s="68"/>
      <c r="M1651" s="68"/>
      <c r="N1651" s="68"/>
      <c r="O1651" s="68"/>
      <c r="P1651" s="68"/>
      <c r="Q1651" s="68"/>
      <c r="R1651" s="68"/>
      <c r="S1651" s="68"/>
      <c r="T1651" s="68"/>
      <c r="U1651" s="68"/>
      <c r="V1651" s="68"/>
      <c r="W1651" s="68"/>
      <c r="X1651" s="68"/>
      <c r="Y1651" s="68"/>
      <c r="Z1651" s="68"/>
      <c r="AA1651" s="68"/>
      <c r="AB1651" s="68"/>
      <c r="AC1651" s="68"/>
      <c r="AD1651" s="68"/>
      <c r="AE1651" s="68"/>
    </row>
    <row r="1652" ht="26.25" customHeight="1">
      <c r="A1652" s="68"/>
      <c r="B1652" s="68"/>
      <c r="C1652" s="61" t="s">
        <v>129</v>
      </c>
      <c r="D1652" s="61" t="s">
        <v>130</v>
      </c>
      <c r="E1652" s="68"/>
      <c r="F1652" s="68"/>
      <c r="G1652" s="68"/>
      <c r="H1652" s="68"/>
      <c r="I1652" s="68"/>
      <c r="J1652" s="78"/>
      <c r="K1652" s="68"/>
      <c r="L1652" s="68"/>
      <c r="M1652" s="68"/>
      <c r="N1652" s="68"/>
      <c r="O1652" s="68"/>
      <c r="P1652" s="68"/>
      <c r="Q1652" s="68"/>
      <c r="R1652" s="68"/>
      <c r="S1652" s="68"/>
      <c r="T1652" s="68"/>
      <c r="U1652" s="68"/>
      <c r="V1652" s="68"/>
      <c r="W1652" s="68"/>
      <c r="X1652" s="68"/>
      <c r="Y1652" s="68"/>
      <c r="Z1652" s="68"/>
      <c r="AA1652" s="68"/>
      <c r="AB1652" s="68"/>
      <c r="AC1652" s="68"/>
      <c r="AD1652" s="68"/>
      <c r="AE1652" s="68"/>
    </row>
    <row r="1653" ht="26.25" customHeight="1">
      <c r="A1653" s="68"/>
      <c r="B1653" s="68"/>
      <c r="C1653" s="61" t="s">
        <v>129</v>
      </c>
      <c r="D1653" s="61" t="s">
        <v>130</v>
      </c>
      <c r="E1653" s="68"/>
      <c r="F1653" s="68"/>
      <c r="G1653" s="68"/>
      <c r="H1653" s="68"/>
      <c r="I1653" s="68"/>
      <c r="J1653" s="78"/>
      <c r="K1653" s="68"/>
      <c r="L1653" s="68"/>
      <c r="M1653" s="68"/>
      <c r="N1653" s="68"/>
      <c r="O1653" s="68"/>
      <c r="P1653" s="68"/>
      <c r="Q1653" s="68"/>
      <c r="R1653" s="68"/>
      <c r="S1653" s="68"/>
      <c r="T1653" s="68"/>
      <c r="U1653" s="68"/>
      <c r="V1653" s="68"/>
      <c r="W1653" s="68"/>
      <c r="X1653" s="68"/>
      <c r="Y1653" s="68"/>
      <c r="Z1653" s="68"/>
      <c r="AA1653" s="68"/>
      <c r="AB1653" s="68"/>
      <c r="AC1653" s="68"/>
      <c r="AD1653" s="68"/>
      <c r="AE1653" s="68"/>
    </row>
    <row r="1654" ht="26.25" customHeight="1">
      <c r="A1654" s="68"/>
      <c r="B1654" s="68"/>
      <c r="C1654" s="61" t="s">
        <v>129</v>
      </c>
      <c r="D1654" s="61" t="s">
        <v>130</v>
      </c>
      <c r="E1654" s="68"/>
      <c r="F1654" s="68"/>
      <c r="G1654" s="68"/>
      <c r="H1654" s="68"/>
      <c r="I1654" s="68"/>
      <c r="J1654" s="78"/>
      <c r="K1654" s="68"/>
      <c r="L1654" s="68"/>
      <c r="M1654" s="68"/>
      <c r="N1654" s="68"/>
      <c r="O1654" s="68"/>
      <c r="P1654" s="68"/>
      <c r="Q1654" s="68"/>
      <c r="R1654" s="68"/>
      <c r="S1654" s="68"/>
      <c r="T1654" s="68"/>
      <c r="U1654" s="68"/>
      <c r="V1654" s="68"/>
      <c r="W1654" s="68"/>
      <c r="X1654" s="68"/>
      <c r="Y1654" s="68"/>
      <c r="Z1654" s="68"/>
      <c r="AA1654" s="68"/>
      <c r="AB1654" s="68"/>
      <c r="AC1654" s="68"/>
      <c r="AD1654" s="68"/>
      <c r="AE1654" s="68"/>
    </row>
    <row r="1655" ht="26.25" customHeight="1">
      <c r="A1655" s="68"/>
      <c r="B1655" s="68"/>
      <c r="C1655" s="61" t="s">
        <v>129</v>
      </c>
      <c r="D1655" s="61" t="s">
        <v>130</v>
      </c>
      <c r="E1655" s="68"/>
      <c r="F1655" s="68"/>
      <c r="G1655" s="68"/>
      <c r="H1655" s="68"/>
      <c r="I1655" s="68"/>
      <c r="J1655" s="78"/>
      <c r="K1655" s="68"/>
      <c r="L1655" s="68"/>
      <c r="M1655" s="68"/>
      <c r="N1655" s="68"/>
      <c r="O1655" s="68"/>
      <c r="P1655" s="68"/>
      <c r="Q1655" s="68"/>
      <c r="R1655" s="68"/>
      <c r="S1655" s="68"/>
      <c r="T1655" s="68"/>
      <c r="U1655" s="68"/>
      <c r="V1655" s="68"/>
      <c r="W1655" s="68"/>
      <c r="X1655" s="68"/>
      <c r="Y1655" s="68"/>
      <c r="Z1655" s="68"/>
      <c r="AA1655" s="68"/>
      <c r="AB1655" s="68"/>
      <c r="AC1655" s="68"/>
      <c r="AD1655" s="68"/>
      <c r="AE1655" s="68"/>
    </row>
    <row r="1656" ht="26.25" customHeight="1">
      <c r="A1656" s="68"/>
      <c r="B1656" s="68"/>
      <c r="C1656" s="61" t="s">
        <v>129</v>
      </c>
      <c r="D1656" s="61" t="s">
        <v>130</v>
      </c>
      <c r="E1656" s="68"/>
      <c r="F1656" s="68"/>
      <c r="G1656" s="68"/>
      <c r="H1656" s="68"/>
      <c r="I1656" s="68"/>
      <c r="J1656" s="78"/>
      <c r="K1656" s="68"/>
      <c r="L1656" s="68"/>
      <c r="M1656" s="68"/>
      <c r="N1656" s="68"/>
      <c r="O1656" s="68"/>
      <c r="P1656" s="68"/>
      <c r="Q1656" s="68"/>
      <c r="R1656" s="68"/>
      <c r="S1656" s="68"/>
      <c r="T1656" s="68"/>
      <c r="U1656" s="68"/>
      <c r="V1656" s="68"/>
      <c r="W1656" s="68"/>
      <c r="X1656" s="68"/>
      <c r="Y1656" s="68"/>
      <c r="Z1656" s="68"/>
      <c r="AA1656" s="68"/>
      <c r="AB1656" s="68"/>
      <c r="AC1656" s="68"/>
      <c r="AD1656" s="68"/>
      <c r="AE1656" s="68"/>
    </row>
    <row r="1657" ht="26.25" customHeight="1">
      <c r="A1657" s="68"/>
      <c r="B1657" s="68"/>
      <c r="C1657" s="61" t="s">
        <v>129</v>
      </c>
      <c r="D1657" s="61" t="s">
        <v>130</v>
      </c>
      <c r="E1657" s="68"/>
      <c r="F1657" s="68"/>
      <c r="G1657" s="68"/>
      <c r="H1657" s="68"/>
      <c r="I1657" s="68"/>
      <c r="J1657" s="78"/>
      <c r="K1657" s="68"/>
      <c r="L1657" s="68"/>
      <c r="M1657" s="68"/>
      <c r="N1657" s="68"/>
      <c r="O1657" s="68"/>
      <c r="P1657" s="68"/>
      <c r="Q1657" s="68"/>
      <c r="R1657" s="68"/>
      <c r="S1657" s="68"/>
      <c r="T1657" s="68"/>
      <c r="U1657" s="68"/>
      <c r="V1657" s="68"/>
      <c r="W1657" s="68"/>
      <c r="X1657" s="68"/>
      <c r="Y1657" s="68"/>
      <c r="Z1657" s="68"/>
      <c r="AA1657" s="68"/>
      <c r="AB1657" s="68"/>
      <c r="AC1657" s="68"/>
      <c r="AD1657" s="68"/>
      <c r="AE1657" s="68"/>
    </row>
    <row r="1658" ht="26.25" customHeight="1">
      <c r="A1658" s="68"/>
      <c r="B1658" s="68"/>
      <c r="C1658" s="61" t="s">
        <v>129</v>
      </c>
      <c r="D1658" s="61" t="s">
        <v>130</v>
      </c>
      <c r="E1658" s="68"/>
      <c r="F1658" s="68"/>
      <c r="G1658" s="68"/>
      <c r="H1658" s="68"/>
      <c r="I1658" s="68"/>
      <c r="J1658" s="78"/>
      <c r="K1658" s="68"/>
      <c r="L1658" s="68"/>
      <c r="M1658" s="68"/>
      <c r="N1658" s="68"/>
      <c r="O1658" s="68"/>
      <c r="P1658" s="68"/>
      <c r="Q1658" s="68"/>
      <c r="R1658" s="68"/>
      <c r="S1658" s="68"/>
      <c r="T1658" s="68"/>
      <c r="U1658" s="68"/>
      <c r="V1658" s="68"/>
      <c r="W1658" s="68"/>
      <c r="X1658" s="68"/>
      <c r="Y1658" s="68"/>
      <c r="Z1658" s="68"/>
      <c r="AA1658" s="68"/>
      <c r="AB1658" s="68"/>
      <c r="AC1658" s="68"/>
      <c r="AD1658" s="68"/>
      <c r="AE1658" s="68"/>
    </row>
    <row r="1659" ht="26.25" customHeight="1">
      <c r="A1659" s="68"/>
      <c r="B1659" s="68"/>
      <c r="C1659" s="61" t="s">
        <v>129</v>
      </c>
      <c r="D1659" s="61" t="s">
        <v>130</v>
      </c>
      <c r="E1659" s="68"/>
      <c r="F1659" s="68"/>
      <c r="G1659" s="68"/>
      <c r="H1659" s="68"/>
      <c r="I1659" s="68"/>
      <c r="J1659" s="78"/>
      <c r="K1659" s="68"/>
      <c r="L1659" s="68"/>
      <c r="M1659" s="68"/>
      <c r="N1659" s="68"/>
      <c r="O1659" s="68"/>
      <c r="P1659" s="68"/>
      <c r="Q1659" s="68"/>
      <c r="R1659" s="68"/>
      <c r="S1659" s="68"/>
      <c r="T1659" s="68"/>
      <c r="U1659" s="68"/>
      <c r="V1659" s="68"/>
      <c r="W1659" s="68"/>
      <c r="X1659" s="68"/>
      <c r="Y1659" s="68"/>
      <c r="Z1659" s="68"/>
      <c r="AA1659" s="68"/>
      <c r="AB1659" s="68"/>
      <c r="AC1659" s="68"/>
      <c r="AD1659" s="68"/>
      <c r="AE1659" s="68"/>
    </row>
    <row r="1660" ht="26.25" customHeight="1">
      <c r="A1660" s="68"/>
      <c r="B1660" s="68"/>
      <c r="C1660" s="61" t="s">
        <v>129</v>
      </c>
      <c r="D1660" s="61" t="s">
        <v>130</v>
      </c>
      <c r="E1660" s="68"/>
      <c r="F1660" s="68"/>
      <c r="G1660" s="68"/>
      <c r="H1660" s="68"/>
      <c r="I1660" s="68"/>
      <c r="J1660" s="78"/>
      <c r="K1660" s="68"/>
      <c r="L1660" s="68"/>
      <c r="M1660" s="68"/>
      <c r="N1660" s="68"/>
      <c r="O1660" s="68"/>
      <c r="P1660" s="68"/>
      <c r="Q1660" s="68"/>
      <c r="R1660" s="68"/>
      <c r="S1660" s="68"/>
      <c r="T1660" s="68"/>
      <c r="U1660" s="68"/>
      <c r="V1660" s="68"/>
      <c r="W1660" s="68"/>
      <c r="X1660" s="68"/>
      <c r="Y1660" s="68"/>
      <c r="Z1660" s="68"/>
      <c r="AA1660" s="68"/>
      <c r="AB1660" s="68"/>
      <c r="AC1660" s="68"/>
      <c r="AD1660" s="68"/>
      <c r="AE1660" s="68"/>
    </row>
    <row r="1661" ht="26.25" customHeight="1">
      <c r="A1661" s="68"/>
      <c r="B1661" s="68"/>
      <c r="C1661" s="61" t="s">
        <v>129</v>
      </c>
      <c r="D1661" s="61" t="s">
        <v>130</v>
      </c>
      <c r="E1661" s="68"/>
      <c r="F1661" s="68"/>
      <c r="G1661" s="68"/>
      <c r="H1661" s="68"/>
      <c r="I1661" s="68"/>
      <c r="J1661" s="78"/>
      <c r="K1661" s="68"/>
      <c r="L1661" s="68"/>
      <c r="M1661" s="68"/>
      <c r="N1661" s="68"/>
      <c r="O1661" s="68"/>
      <c r="P1661" s="68"/>
      <c r="Q1661" s="68"/>
      <c r="R1661" s="68"/>
      <c r="S1661" s="68"/>
      <c r="T1661" s="68"/>
      <c r="U1661" s="68"/>
      <c r="V1661" s="68"/>
      <c r="W1661" s="68"/>
      <c r="X1661" s="68"/>
      <c r="Y1661" s="68"/>
      <c r="Z1661" s="68"/>
      <c r="AA1661" s="68"/>
      <c r="AB1661" s="68"/>
      <c r="AC1661" s="68"/>
      <c r="AD1661" s="68"/>
      <c r="AE1661" s="68"/>
    </row>
    <row r="1662" ht="26.25" customHeight="1">
      <c r="A1662" s="68"/>
      <c r="B1662" s="68"/>
      <c r="C1662" s="61" t="s">
        <v>129</v>
      </c>
      <c r="D1662" s="61" t="s">
        <v>130</v>
      </c>
      <c r="E1662" s="68"/>
      <c r="F1662" s="68"/>
      <c r="G1662" s="68"/>
      <c r="H1662" s="68"/>
      <c r="I1662" s="68"/>
      <c r="J1662" s="78"/>
      <c r="K1662" s="68"/>
      <c r="L1662" s="68"/>
      <c r="M1662" s="68"/>
      <c r="N1662" s="68"/>
      <c r="O1662" s="68"/>
      <c r="P1662" s="68"/>
      <c r="Q1662" s="68"/>
      <c r="R1662" s="68"/>
      <c r="S1662" s="68"/>
      <c r="T1662" s="68"/>
      <c r="U1662" s="68"/>
      <c r="V1662" s="68"/>
      <c r="W1662" s="68"/>
      <c r="X1662" s="68"/>
      <c r="Y1662" s="68"/>
      <c r="Z1662" s="68"/>
      <c r="AA1662" s="68"/>
      <c r="AB1662" s="68"/>
      <c r="AC1662" s="68"/>
      <c r="AD1662" s="68"/>
      <c r="AE1662" s="68"/>
    </row>
    <row r="1663" ht="26.25" customHeight="1">
      <c r="A1663" s="68"/>
      <c r="B1663" s="68"/>
      <c r="C1663" s="61" t="s">
        <v>129</v>
      </c>
      <c r="D1663" s="61" t="s">
        <v>130</v>
      </c>
      <c r="E1663" s="68"/>
      <c r="F1663" s="68"/>
      <c r="G1663" s="68"/>
      <c r="H1663" s="68"/>
      <c r="I1663" s="68"/>
      <c r="J1663" s="78"/>
      <c r="K1663" s="68"/>
      <c r="L1663" s="68"/>
      <c r="M1663" s="68"/>
      <c r="N1663" s="68"/>
      <c r="O1663" s="68"/>
      <c r="P1663" s="68"/>
      <c r="Q1663" s="68"/>
      <c r="R1663" s="68"/>
      <c r="S1663" s="68"/>
      <c r="T1663" s="68"/>
      <c r="U1663" s="68"/>
      <c r="V1663" s="68"/>
      <c r="W1663" s="68"/>
      <c r="X1663" s="68"/>
      <c r="Y1663" s="68"/>
      <c r="Z1663" s="68"/>
      <c r="AA1663" s="68"/>
      <c r="AB1663" s="68"/>
      <c r="AC1663" s="68"/>
      <c r="AD1663" s="68"/>
      <c r="AE1663" s="68"/>
    </row>
    <row r="1664" ht="26.25" customHeight="1">
      <c r="A1664" s="68"/>
      <c r="B1664" s="68"/>
      <c r="C1664" s="61" t="s">
        <v>129</v>
      </c>
      <c r="D1664" s="61" t="s">
        <v>130</v>
      </c>
      <c r="E1664" s="68"/>
      <c r="F1664" s="68"/>
      <c r="G1664" s="68"/>
      <c r="H1664" s="68"/>
      <c r="I1664" s="68"/>
      <c r="J1664" s="78"/>
      <c r="K1664" s="68"/>
      <c r="L1664" s="68"/>
      <c r="M1664" s="68"/>
      <c r="N1664" s="68"/>
      <c r="O1664" s="68"/>
      <c r="P1664" s="68"/>
      <c r="Q1664" s="68"/>
      <c r="R1664" s="68"/>
      <c r="S1664" s="68"/>
      <c r="T1664" s="68"/>
      <c r="U1664" s="68"/>
      <c r="V1664" s="68"/>
      <c r="W1664" s="68"/>
      <c r="X1664" s="68"/>
      <c r="Y1664" s="68"/>
      <c r="Z1664" s="68"/>
      <c r="AA1664" s="68"/>
      <c r="AB1664" s="68"/>
      <c r="AC1664" s="68"/>
      <c r="AD1664" s="68"/>
      <c r="AE1664" s="68"/>
    </row>
    <row r="1665" ht="26.25" customHeight="1">
      <c r="A1665" s="68"/>
      <c r="B1665" s="68"/>
      <c r="C1665" s="61" t="s">
        <v>129</v>
      </c>
      <c r="D1665" s="61" t="s">
        <v>130</v>
      </c>
      <c r="E1665" s="68"/>
      <c r="F1665" s="68"/>
      <c r="G1665" s="68"/>
      <c r="H1665" s="68"/>
      <c r="I1665" s="68"/>
      <c r="J1665" s="78"/>
      <c r="K1665" s="68"/>
      <c r="L1665" s="68"/>
      <c r="M1665" s="68"/>
      <c r="N1665" s="68"/>
      <c r="O1665" s="68"/>
      <c r="P1665" s="68"/>
      <c r="Q1665" s="68"/>
      <c r="R1665" s="68"/>
      <c r="S1665" s="68"/>
      <c r="T1665" s="68"/>
      <c r="U1665" s="68"/>
      <c r="V1665" s="68"/>
      <c r="W1665" s="68"/>
      <c r="X1665" s="68"/>
      <c r="Y1665" s="68"/>
      <c r="Z1665" s="68"/>
      <c r="AA1665" s="68"/>
      <c r="AB1665" s="68"/>
      <c r="AC1665" s="68"/>
      <c r="AD1665" s="68"/>
      <c r="AE1665" s="68"/>
    </row>
    <row r="1666" ht="26.25" customHeight="1">
      <c r="A1666" s="68"/>
      <c r="B1666" s="68"/>
      <c r="C1666" s="61" t="s">
        <v>129</v>
      </c>
      <c r="D1666" s="61" t="s">
        <v>130</v>
      </c>
      <c r="E1666" s="68"/>
      <c r="F1666" s="68"/>
      <c r="G1666" s="68"/>
      <c r="H1666" s="68"/>
      <c r="I1666" s="68"/>
      <c r="J1666" s="78"/>
      <c r="K1666" s="68"/>
      <c r="L1666" s="68"/>
      <c r="M1666" s="68"/>
      <c r="N1666" s="68"/>
      <c r="O1666" s="68"/>
      <c r="P1666" s="68"/>
      <c r="Q1666" s="68"/>
      <c r="R1666" s="68"/>
      <c r="S1666" s="68"/>
      <c r="T1666" s="68"/>
      <c r="U1666" s="68"/>
      <c r="V1666" s="68"/>
      <c r="W1666" s="68"/>
      <c r="X1666" s="68"/>
      <c r="Y1666" s="68"/>
      <c r="Z1666" s="68"/>
      <c r="AA1666" s="68"/>
      <c r="AB1666" s="68"/>
      <c r="AC1666" s="68"/>
      <c r="AD1666" s="68"/>
      <c r="AE1666" s="68"/>
    </row>
    <row r="1667" ht="26.25" customHeight="1">
      <c r="A1667" s="68"/>
      <c r="B1667" s="68"/>
      <c r="C1667" s="61" t="s">
        <v>129</v>
      </c>
      <c r="D1667" s="61" t="s">
        <v>130</v>
      </c>
      <c r="E1667" s="68"/>
      <c r="F1667" s="68"/>
      <c r="G1667" s="68"/>
      <c r="H1667" s="68"/>
      <c r="I1667" s="68"/>
      <c r="J1667" s="78"/>
      <c r="K1667" s="68"/>
      <c r="L1667" s="68"/>
      <c r="M1667" s="68"/>
      <c r="N1667" s="68"/>
      <c r="O1667" s="68"/>
      <c r="P1667" s="68"/>
      <c r="Q1667" s="68"/>
      <c r="R1667" s="68"/>
      <c r="S1667" s="68"/>
      <c r="T1667" s="68"/>
      <c r="U1667" s="68"/>
      <c r="V1667" s="68"/>
      <c r="W1667" s="68"/>
      <c r="X1667" s="68"/>
      <c r="Y1667" s="68"/>
      <c r="Z1667" s="68"/>
      <c r="AA1667" s="68"/>
      <c r="AB1667" s="68"/>
      <c r="AC1667" s="68"/>
      <c r="AD1667" s="68"/>
      <c r="AE1667" s="68"/>
    </row>
    <row r="1668" ht="26.25" customHeight="1">
      <c r="A1668" s="68"/>
      <c r="B1668" s="68"/>
      <c r="C1668" s="61" t="s">
        <v>129</v>
      </c>
      <c r="D1668" s="61" t="s">
        <v>130</v>
      </c>
      <c r="E1668" s="68"/>
      <c r="F1668" s="68"/>
      <c r="G1668" s="68"/>
      <c r="H1668" s="68"/>
      <c r="I1668" s="68"/>
      <c r="J1668" s="78"/>
      <c r="K1668" s="68"/>
      <c r="L1668" s="68"/>
      <c r="M1668" s="68"/>
      <c r="N1668" s="68"/>
      <c r="O1668" s="68"/>
      <c r="P1668" s="68"/>
      <c r="Q1668" s="68"/>
      <c r="R1668" s="68"/>
      <c r="S1668" s="68"/>
      <c r="T1668" s="68"/>
      <c r="U1668" s="68"/>
      <c r="V1668" s="68"/>
      <c r="W1668" s="68"/>
      <c r="X1668" s="68"/>
      <c r="Y1668" s="68"/>
      <c r="Z1668" s="68"/>
      <c r="AA1668" s="68"/>
      <c r="AB1668" s="68"/>
      <c r="AC1668" s="68"/>
      <c r="AD1668" s="68"/>
      <c r="AE1668" s="68"/>
    </row>
    <row r="1669" ht="26.25" customHeight="1">
      <c r="A1669" s="68"/>
      <c r="B1669" s="68"/>
      <c r="C1669" s="61" t="s">
        <v>129</v>
      </c>
      <c r="D1669" s="61" t="s">
        <v>130</v>
      </c>
      <c r="E1669" s="68"/>
      <c r="F1669" s="68"/>
      <c r="G1669" s="68"/>
      <c r="H1669" s="68"/>
      <c r="I1669" s="68"/>
      <c r="J1669" s="78"/>
      <c r="K1669" s="68"/>
      <c r="L1669" s="68"/>
      <c r="M1669" s="68"/>
      <c r="N1669" s="68"/>
      <c r="O1669" s="68"/>
      <c r="P1669" s="68"/>
      <c r="Q1669" s="68"/>
      <c r="R1669" s="68"/>
      <c r="S1669" s="68"/>
      <c r="T1669" s="68"/>
      <c r="U1669" s="68"/>
      <c r="V1669" s="68"/>
      <c r="W1669" s="68"/>
      <c r="X1669" s="68"/>
      <c r="Y1669" s="68"/>
      <c r="Z1669" s="68"/>
      <c r="AA1669" s="68"/>
      <c r="AB1669" s="68"/>
      <c r="AC1669" s="68"/>
      <c r="AD1669" s="68"/>
      <c r="AE1669" s="68"/>
    </row>
    <row r="1670" ht="26.25" customHeight="1">
      <c r="A1670" s="68"/>
      <c r="B1670" s="68"/>
      <c r="C1670" s="61" t="s">
        <v>129</v>
      </c>
      <c r="D1670" s="61" t="s">
        <v>130</v>
      </c>
      <c r="E1670" s="68"/>
      <c r="F1670" s="68"/>
      <c r="G1670" s="68"/>
      <c r="H1670" s="68"/>
      <c r="I1670" s="68"/>
      <c r="J1670" s="78"/>
      <c r="K1670" s="68"/>
      <c r="L1670" s="68"/>
      <c r="M1670" s="68"/>
      <c r="N1670" s="68"/>
      <c r="O1670" s="68"/>
      <c r="P1670" s="68"/>
      <c r="Q1670" s="68"/>
      <c r="R1670" s="68"/>
      <c r="S1670" s="68"/>
      <c r="T1670" s="68"/>
      <c r="U1670" s="68"/>
      <c r="V1670" s="68"/>
      <c r="W1670" s="68"/>
      <c r="X1670" s="68"/>
      <c r="Y1670" s="68"/>
      <c r="Z1670" s="68"/>
      <c r="AA1670" s="68"/>
      <c r="AB1670" s="68"/>
      <c r="AC1670" s="68"/>
      <c r="AD1670" s="68"/>
      <c r="AE1670" s="68"/>
    </row>
    <row r="1671" ht="26.25" customHeight="1">
      <c r="A1671" s="68"/>
      <c r="B1671" s="68"/>
      <c r="C1671" s="61" t="s">
        <v>129</v>
      </c>
      <c r="D1671" s="61" t="s">
        <v>130</v>
      </c>
      <c r="E1671" s="68"/>
      <c r="F1671" s="68"/>
      <c r="G1671" s="68"/>
      <c r="H1671" s="68"/>
      <c r="I1671" s="68"/>
      <c r="J1671" s="78"/>
      <c r="K1671" s="68"/>
      <c r="L1671" s="68"/>
      <c r="M1671" s="68"/>
      <c r="N1671" s="68"/>
      <c r="O1671" s="68"/>
      <c r="P1671" s="68"/>
      <c r="Q1671" s="68"/>
      <c r="R1671" s="68"/>
      <c r="S1671" s="68"/>
      <c r="T1671" s="68"/>
      <c r="U1671" s="68"/>
      <c r="V1671" s="68"/>
      <c r="W1671" s="68"/>
      <c r="X1671" s="68"/>
      <c r="Y1671" s="68"/>
      <c r="Z1671" s="68"/>
      <c r="AA1671" s="68"/>
      <c r="AB1671" s="68"/>
      <c r="AC1671" s="68"/>
      <c r="AD1671" s="68"/>
      <c r="AE1671" s="68"/>
    </row>
    <row r="1672" ht="26.25" customHeight="1">
      <c r="A1672" s="68"/>
      <c r="B1672" s="68"/>
      <c r="C1672" s="61" t="s">
        <v>129</v>
      </c>
      <c r="D1672" s="61" t="s">
        <v>130</v>
      </c>
      <c r="E1672" s="68"/>
      <c r="F1672" s="68"/>
      <c r="G1672" s="68"/>
      <c r="H1672" s="68"/>
      <c r="I1672" s="68"/>
      <c r="J1672" s="78"/>
      <c r="K1672" s="68"/>
      <c r="L1672" s="68"/>
      <c r="M1672" s="68"/>
      <c r="N1672" s="68"/>
      <c r="O1672" s="68"/>
      <c r="P1672" s="68"/>
      <c r="Q1672" s="68"/>
      <c r="R1672" s="68"/>
      <c r="S1672" s="68"/>
      <c r="T1672" s="68"/>
      <c r="U1672" s="68"/>
      <c r="V1672" s="68"/>
      <c r="W1672" s="68"/>
      <c r="X1672" s="68"/>
      <c r="Y1672" s="68"/>
      <c r="Z1672" s="68"/>
      <c r="AA1672" s="68"/>
      <c r="AB1672" s="68"/>
      <c r="AC1672" s="68"/>
      <c r="AD1672" s="68"/>
      <c r="AE1672" s="68"/>
    </row>
    <row r="1673" ht="26.25" customHeight="1">
      <c r="A1673" s="68"/>
      <c r="B1673" s="68"/>
      <c r="C1673" s="61" t="s">
        <v>129</v>
      </c>
      <c r="D1673" s="61" t="s">
        <v>130</v>
      </c>
      <c r="E1673" s="68"/>
      <c r="F1673" s="68"/>
      <c r="G1673" s="68"/>
      <c r="H1673" s="68"/>
      <c r="I1673" s="68"/>
      <c r="J1673" s="78"/>
      <c r="K1673" s="68"/>
      <c r="L1673" s="68"/>
      <c r="M1673" s="68"/>
      <c r="N1673" s="68"/>
      <c r="O1673" s="68"/>
      <c r="P1673" s="68"/>
      <c r="Q1673" s="68"/>
      <c r="R1673" s="68"/>
      <c r="S1673" s="68"/>
      <c r="T1673" s="68"/>
      <c r="U1673" s="68"/>
      <c r="V1673" s="68"/>
      <c r="W1673" s="68"/>
      <c r="X1673" s="68"/>
      <c r="Y1673" s="68"/>
      <c r="Z1673" s="68"/>
      <c r="AA1673" s="68"/>
      <c r="AB1673" s="68"/>
      <c r="AC1673" s="68"/>
      <c r="AD1673" s="68"/>
      <c r="AE1673" s="68"/>
    </row>
    <row r="1674" ht="26.25" customHeight="1">
      <c r="A1674" s="68"/>
      <c r="B1674" s="68"/>
      <c r="C1674" s="61" t="s">
        <v>129</v>
      </c>
      <c r="D1674" s="61" t="s">
        <v>130</v>
      </c>
      <c r="E1674" s="68"/>
      <c r="F1674" s="68"/>
      <c r="G1674" s="68"/>
      <c r="H1674" s="68"/>
      <c r="I1674" s="68"/>
      <c r="J1674" s="78"/>
      <c r="K1674" s="68"/>
      <c r="L1674" s="68"/>
      <c r="M1674" s="68"/>
      <c r="N1674" s="68"/>
      <c r="O1674" s="68"/>
      <c r="P1674" s="68"/>
      <c r="Q1674" s="68"/>
      <c r="R1674" s="68"/>
      <c r="S1674" s="68"/>
      <c r="T1674" s="68"/>
      <c r="U1674" s="68"/>
      <c r="V1674" s="68"/>
      <c r="W1674" s="68"/>
      <c r="X1674" s="68"/>
      <c r="Y1674" s="68"/>
      <c r="Z1674" s="68"/>
      <c r="AA1674" s="68"/>
      <c r="AB1674" s="68"/>
      <c r="AC1674" s="68"/>
      <c r="AD1674" s="68"/>
      <c r="AE1674" s="68"/>
    </row>
    <row r="1675" ht="26.25" customHeight="1">
      <c r="A1675" s="68"/>
      <c r="B1675" s="68"/>
      <c r="C1675" s="61" t="s">
        <v>129</v>
      </c>
      <c r="D1675" s="61" t="s">
        <v>130</v>
      </c>
      <c r="E1675" s="68"/>
      <c r="F1675" s="68"/>
      <c r="G1675" s="68"/>
      <c r="H1675" s="68"/>
      <c r="I1675" s="68"/>
      <c r="J1675" s="78"/>
      <c r="K1675" s="68"/>
      <c r="L1675" s="68"/>
      <c r="M1675" s="68"/>
      <c r="N1675" s="68"/>
      <c r="O1675" s="68"/>
      <c r="P1675" s="68"/>
      <c r="Q1675" s="68"/>
      <c r="R1675" s="68"/>
      <c r="S1675" s="68"/>
      <c r="T1675" s="68"/>
      <c r="U1675" s="68"/>
      <c r="V1675" s="68"/>
      <c r="W1675" s="68"/>
      <c r="X1675" s="68"/>
      <c r="Y1675" s="68"/>
      <c r="Z1675" s="68"/>
      <c r="AA1675" s="68"/>
      <c r="AB1675" s="68"/>
      <c r="AC1675" s="68"/>
      <c r="AD1675" s="68"/>
      <c r="AE1675" s="68"/>
    </row>
    <row r="1676" ht="26.25" customHeight="1">
      <c r="A1676" s="68"/>
      <c r="B1676" s="68"/>
      <c r="C1676" s="61" t="s">
        <v>129</v>
      </c>
      <c r="D1676" s="61" t="s">
        <v>130</v>
      </c>
      <c r="E1676" s="68"/>
      <c r="F1676" s="68"/>
      <c r="G1676" s="68"/>
      <c r="H1676" s="68"/>
      <c r="I1676" s="68"/>
      <c r="J1676" s="78"/>
      <c r="K1676" s="68"/>
      <c r="L1676" s="68"/>
      <c r="M1676" s="68"/>
      <c r="N1676" s="68"/>
      <c r="O1676" s="68"/>
      <c r="P1676" s="68"/>
      <c r="Q1676" s="68"/>
      <c r="R1676" s="68"/>
      <c r="S1676" s="68"/>
      <c r="T1676" s="68"/>
      <c r="U1676" s="68"/>
      <c r="V1676" s="68"/>
      <c r="W1676" s="68"/>
      <c r="X1676" s="68"/>
      <c r="Y1676" s="68"/>
      <c r="Z1676" s="68"/>
      <c r="AA1676" s="68"/>
      <c r="AB1676" s="68"/>
      <c r="AC1676" s="68"/>
      <c r="AD1676" s="68"/>
      <c r="AE1676" s="68"/>
    </row>
    <row r="1677" ht="26.25" customHeight="1">
      <c r="A1677" s="68"/>
      <c r="B1677" s="68"/>
      <c r="C1677" s="61" t="s">
        <v>129</v>
      </c>
      <c r="D1677" s="61" t="s">
        <v>130</v>
      </c>
      <c r="E1677" s="68"/>
      <c r="F1677" s="68"/>
      <c r="G1677" s="68"/>
      <c r="H1677" s="68"/>
      <c r="I1677" s="68"/>
      <c r="J1677" s="78"/>
      <c r="K1677" s="68"/>
      <c r="L1677" s="68"/>
      <c r="M1677" s="68"/>
      <c r="N1677" s="68"/>
      <c r="O1677" s="68"/>
      <c r="P1677" s="68"/>
      <c r="Q1677" s="68"/>
      <c r="R1677" s="68"/>
      <c r="S1677" s="68"/>
      <c r="T1677" s="68"/>
      <c r="U1677" s="68"/>
      <c r="V1677" s="68"/>
      <c r="W1677" s="68"/>
      <c r="X1677" s="68"/>
      <c r="Y1677" s="68"/>
      <c r="Z1677" s="68"/>
      <c r="AA1677" s="68"/>
      <c r="AB1677" s="68"/>
      <c r="AC1677" s="68"/>
      <c r="AD1677" s="68"/>
      <c r="AE1677" s="68"/>
    </row>
    <row r="1678" ht="26.25" customHeight="1">
      <c r="A1678" s="68"/>
      <c r="B1678" s="68"/>
      <c r="C1678" s="61" t="s">
        <v>129</v>
      </c>
      <c r="D1678" s="61" t="s">
        <v>130</v>
      </c>
      <c r="E1678" s="68"/>
      <c r="F1678" s="68"/>
      <c r="G1678" s="68"/>
      <c r="H1678" s="68"/>
      <c r="I1678" s="68"/>
      <c r="J1678" s="78"/>
      <c r="K1678" s="68"/>
      <c r="L1678" s="68"/>
      <c r="M1678" s="68"/>
      <c r="N1678" s="68"/>
      <c r="O1678" s="68"/>
      <c r="P1678" s="68"/>
      <c r="Q1678" s="68"/>
      <c r="R1678" s="68"/>
      <c r="S1678" s="68"/>
      <c r="T1678" s="68"/>
      <c r="U1678" s="68"/>
      <c r="V1678" s="68"/>
      <c r="W1678" s="68"/>
      <c r="X1678" s="68"/>
      <c r="Y1678" s="68"/>
      <c r="Z1678" s="68"/>
      <c r="AA1678" s="68"/>
      <c r="AB1678" s="68"/>
      <c r="AC1678" s="68"/>
      <c r="AD1678" s="68"/>
      <c r="AE1678" s="68"/>
    </row>
    <row r="1679" ht="26.25" customHeight="1">
      <c r="A1679" s="68"/>
      <c r="B1679" s="68"/>
      <c r="C1679" s="61" t="s">
        <v>129</v>
      </c>
      <c r="D1679" s="61" t="s">
        <v>130</v>
      </c>
      <c r="E1679" s="68"/>
      <c r="F1679" s="68"/>
      <c r="G1679" s="68"/>
      <c r="H1679" s="68"/>
      <c r="I1679" s="68"/>
      <c r="J1679" s="78"/>
      <c r="K1679" s="68"/>
      <c r="L1679" s="68"/>
      <c r="M1679" s="68"/>
      <c r="N1679" s="68"/>
      <c r="O1679" s="68"/>
      <c r="P1679" s="68"/>
      <c r="Q1679" s="68"/>
      <c r="R1679" s="68"/>
      <c r="S1679" s="68"/>
      <c r="T1679" s="68"/>
      <c r="U1679" s="68"/>
      <c r="V1679" s="68"/>
      <c r="W1679" s="68"/>
      <c r="X1679" s="68"/>
      <c r="Y1679" s="68"/>
      <c r="Z1679" s="68"/>
      <c r="AA1679" s="68"/>
      <c r="AB1679" s="68"/>
      <c r="AC1679" s="68"/>
      <c r="AD1679" s="68"/>
      <c r="AE1679" s="68"/>
    </row>
    <row r="1680" ht="26.25" customHeight="1">
      <c r="A1680" s="68"/>
      <c r="B1680" s="68"/>
      <c r="C1680" s="61" t="s">
        <v>129</v>
      </c>
      <c r="D1680" s="61" t="s">
        <v>130</v>
      </c>
      <c r="E1680" s="68"/>
      <c r="F1680" s="68"/>
      <c r="G1680" s="68"/>
      <c r="H1680" s="68"/>
      <c r="I1680" s="68"/>
      <c r="J1680" s="78"/>
      <c r="K1680" s="68"/>
      <c r="L1680" s="68"/>
      <c r="M1680" s="68"/>
      <c r="N1680" s="68"/>
      <c r="O1680" s="68"/>
      <c r="P1680" s="68"/>
      <c r="Q1680" s="68"/>
      <c r="R1680" s="68"/>
      <c r="S1680" s="68"/>
      <c r="T1680" s="68"/>
      <c r="U1680" s="68"/>
      <c r="V1680" s="68"/>
      <c r="W1680" s="68"/>
      <c r="X1680" s="68"/>
      <c r="Y1680" s="68"/>
      <c r="Z1680" s="68"/>
      <c r="AA1680" s="68"/>
      <c r="AB1680" s="68"/>
      <c r="AC1680" s="68"/>
      <c r="AD1680" s="68"/>
      <c r="AE1680" s="68"/>
    </row>
    <row r="1681" ht="26.25" customHeight="1">
      <c r="A1681" s="68"/>
      <c r="B1681" s="68"/>
      <c r="C1681" s="61" t="s">
        <v>129</v>
      </c>
      <c r="D1681" s="61" t="s">
        <v>130</v>
      </c>
      <c r="E1681" s="68"/>
      <c r="F1681" s="68"/>
      <c r="G1681" s="68"/>
      <c r="H1681" s="68"/>
      <c r="I1681" s="68"/>
      <c r="J1681" s="78"/>
      <c r="K1681" s="68"/>
      <c r="L1681" s="68"/>
      <c r="M1681" s="68"/>
      <c r="N1681" s="68"/>
      <c r="O1681" s="68"/>
      <c r="P1681" s="68"/>
      <c r="Q1681" s="68"/>
      <c r="R1681" s="68"/>
      <c r="S1681" s="68"/>
      <c r="T1681" s="68"/>
      <c r="U1681" s="68"/>
      <c r="V1681" s="68"/>
      <c r="W1681" s="68"/>
      <c r="X1681" s="68"/>
      <c r="Y1681" s="68"/>
      <c r="Z1681" s="68"/>
      <c r="AA1681" s="68"/>
      <c r="AB1681" s="68"/>
      <c r="AC1681" s="68"/>
      <c r="AD1681" s="68"/>
      <c r="AE1681" s="68"/>
    </row>
    <row r="1682" ht="26.25" customHeight="1">
      <c r="A1682" s="68"/>
      <c r="B1682" s="68"/>
      <c r="C1682" s="61" t="s">
        <v>129</v>
      </c>
      <c r="D1682" s="61" t="s">
        <v>130</v>
      </c>
      <c r="E1682" s="68"/>
      <c r="F1682" s="68"/>
      <c r="G1682" s="68"/>
      <c r="H1682" s="68"/>
      <c r="I1682" s="68"/>
      <c r="J1682" s="78"/>
      <c r="K1682" s="68"/>
      <c r="L1682" s="68"/>
      <c r="M1682" s="68"/>
      <c r="N1682" s="68"/>
      <c r="O1682" s="68"/>
      <c r="P1682" s="68"/>
      <c r="Q1682" s="68"/>
      <c r="R1682" s="68"/>
      <c r="S1682" s="68"/>
      <c r="T1682" s="68"/>
      <c r="U1682" s="68"/>
      <c r="V1682" s="68"/>
      <c r="W1682" s="68"/>
      <c r="X1682" s="68"/>
      <c r="Y1682" s="68"/>
      <c r="Z1682" s="68"/>
      <c r="AA1682" s="68"/>
      <c r="AB1682" s="68"/>
      <c r="AC1682" s="68"/>
      <c r="AD1682" s="68"/>
      <c r="AE1682" s="68"/>
    </row>
    <row r="1683" ht="26.25" customHeight="1">
      <c r="A1683" s="68"/>
      <c r="B1683" s="68"/>
      <c r="C1683" s="61" t="s">
        <v>129</v>
      </c>
      <c r="D1683" s="61" t="s">
        <v>130</v>
      </c>
      <c r="E1683" s="68"/>
      <c r="F1683" s="68"/>
      <c r="G1683" s="68"/>
      <c r="H1683" s="68"/>
      <c r="I1683" s="68"/>
      <c r="J1683" s="78"/>
      <c r="K1683" s="68"/>
      <c r="L1683" s="68"/>
      <c r="M1683" s="68"/>
      <c r="N1683" s="68"/>
      <c r="O1683" s="68"/>
      <c r="P1683" s="68"/>
      <c r="Q1683" s="68"/>
      <c r="R1683" s="68"/>
      <c r="S1683" s="68"/>
      <c r="T1683" s="68"/>
      <c r="U1683" s="68"/>
      <c r="V1683" s="68"/>
      <c r="W1683" s="68"/>
      <c r="X1683" s="68"/>
      <c r="Y1683" s="68"/>
      <c r="Z1683" s="68"/>
      <c r="AA1683" s="68"/>
      <c r="AB1683" s="68"/>
      <c r="AC1683" s="68"/>
      <c r="AD1683" s="68"/>
      <c r="AE1683" s="68"/>
    </row>
    <row r="1684" ht="26.25" customHeight="1">
      <c r="A1684" s="68"/>
      <c r="B1684" s="68"/>
      <c r="C1684" s="61" t="s">
        <v>129</v>
      </c>
      <c r="D1684" s="61" t="s">
        <v>130</v>
      </c>
      <c r="E1684" s="68"/>
      <c r="F1684" s="68"/>
      <c r="G1684" s="68"/>
      <c r="H1684" s="68"/>
      <c r="I1684" s="68"/>
      <c r="J1684" s="78"/>
      <c r="K1684" s="68"/>
      <c r="L1684" s="68"/>
      <c r="M1684" s="68"/>
      <c r="N1684" s="68"/>
      <c r="O1684" s="68"/>
      <c r="P1684" s="68"/>
      <c r="Q1684" s="68"/>
      <c r="R1684" s="68"/>
      <c r="S1684" s="68"/>
      <c r="T1684" s="68"/>
      <c r="U1684" s="68"/>
      <c r="V1684" s="68"/>
      <c r="W1684" s="68"/>
      <c r="X1684" s="68"/>
      <c r="Y1684" s="68"/>
      <c r="Z1684" s="68"/>
      <c r="AA1684" s="68"/>
      <c r="AB1684" s="68"/>
      <c r="AC1684" s="68"/>
      <c r="AD1684" s="68"/>
      <c r="AE1684" s="68"/>
    </row>
    <row r="1685" ht="26.25" customHeight="1">
      <c r="A1685" s="68"/>
      <c r="B1685" s="68"/>
      <c r="C1685" s="61" t="s">
        <v>129</v>
      </c>
      <c r="D1685" s="61" t="s">
        <v>130</v>
      </c>
      <c r="E1685" s="68"/>
      <c r="F1685" s="68"/>
      <c r="G1685" s="68"/>
      <c r="H1685" s="68"/>
      <c r="I1685" s="68"/>
      <c r="J1685" s="78"/>
      <c r="K1685" s="68"/>
      <c r="L1685" s="68"/>
      <c r="M1685" s="68"/>
      <c r="N1685" s="68"/>
      <c r="O1685" s="68"/>
      <c r="P1685" s="68"/>
      <c r="Q1685" s="68"/>
      <c r="R1685" s="68"/>
      <c r="S1685" s="68"/>
      <c r="T1685" s="68"/>
      <c r="U1685" s="68"/>
      <c r="V1685" s="68"/>
      <c r="W1685" s="68"/>
      <c r="X1685" s="68"/>
      <c r="Y1685" s="68"/>
      <c r="Z1685" s="68"/>
      <c r="AA1685" s="68"/>
      <c r="AB1685" s="68"/>
      <c r="AC1685" s="68"/>
      <c r="AD1685" s="68"/>
      <c r="AE1685" s="68"/>
    </row>
    <row r="1686" ht="26.25" customHeight="1">
      <c r="A1686" s="68"/>
      <c r="B1686" s="68"/>
      <c r="C1686" s="61" t="s">
        <v>129</v>
      </c>
      <c r="D1686" s="61" t="s">
        <v>130</v>
      </c>
      <c r="E1686" s="68"/>
      <c r="F1686" s="68"/>
      <c r="G1686" s="68"/>
      <c r="H1686" s="68"/>
      <c r="I1686" s="68"/>
      <c r="J1686" s="78"/>
      <c r="K1686" s="68"/>
      <c r="L1686" s="68"/>
      <c r="M1686" s="68"/>
      <c r="N1686" s="68"/>
      <c r="O1686" s="68"/>
      <c r="P1686" s="68"/>
      <c r="Q1686" s="68"/>
      <c r="R1686" s="68"/>
      <c r="S1686" s="68"/>
      <c r="T1686" s="68"/>
      <c r="U1686" s="68"/>
      <c r="V1686" s="68"/>
      <c r="W1686" s="68"/>
      <c r="X1686" s="68"/>
      <c r="Y1686" s="68"/>
      <c r="Z1686" s="68"/>
      <c r="AA1686" s="68"/>
      <c r="AB1686" s="68"/>
      <c r="AC1686" s="68"/>
      <c r="AD1686" s="68"/>
      <c r="AE1686" s="68"/>
    </row>
    <row r="1687" ht="26.25" customHeight="1">
      <c r="A1687" s="68"/>
      <c r="B1687" s="68"/>
      <c r="C1687" s="61" t="s">
        <v>129</v>
      </c>
      <c r="D1687" s="61" t="s">
        <v>130</v>
      </c>
      <c r="E1687" s="68"/>
      <c r="F1687" s="68"/>
      <c r="G1687" s="68"/>
      <c r="H1687" s="68"/>
      <c r="I1687" s="68"/>
      <c r="J1687" s="78"/>
      <c r="K1687" s="68"/>
      <c r="L1687" s="68"/>
      <c r="M1687" s="68"/>
      <c r="N1687" s="68"/>
      <c r="O1687" s="68"/>
      <c r="P1687" s="68"/>
      <c r="Q1687" s="68"/>
      <c r="R1687" s="68"/>
      <c r="S1687" s="68"/>
      <c r="T1687" s="68"/>
      <c r="U1687" s="68"/>
      <c r="V1687" s="68"/>
      <c r="W1687" s="68"/>
      <c r="X1687" s="68"/>
      <c r="Y1687" s="68"/>
      <c r="Z1687" s="68"/>
      <c r="AA1687" s="68"/>
      <c r="AB1687" s="68"/>
      <c r="AC1687" s="68"/>
      <c r="AD1687" s="68"/>
      <c r="AE1687" s="68"/>
    </row>
    <row r="1688" ht="26.25" customHeight="1">
      <c r="A1688" s="68"/>
      <c r="B1688" s="68"/>
      <c r="C1688" s="61" t="s">
        <v>129</v>
      </c>
      <c r="D1688" s="61" t="s">
        <v>130</v>
      </c>
      <c r="E1688" s="68"/>
      <c r="F1688" s="68"/>
      <c r="G1688" s="68"/>
      <c r="H1688" s="68"/>
      <c r="I1688" s="68"/>
      <c r="J1688" s="78"/>
      <c r="K1688" s="68"/>
      <c r="L1688" s="68"/>
      <c r="M1688" s="68"/>
      <c r="N1688" s="68"/>
      <c r="O1688" s="68"/>
      <c r="P1688" s="68"/>
      <c r="Q1688" s="68"/>
      <c r="R1688" s="68"/>
      <c r="S1688" s="68"/>
      <c r="T1688" s="68"/>
      <c r="U1688" s="68"/>
      <c r="V1688" s="68"/>
      <c r="W1688" s="68"/>
      <c r="X1688" s="68"/>
      <c r="Y1688" s="68"/>
      <c r="Z1688" s="68"/>
      <c r="AA1688" s="68"/>
      <c r="AB1688" s="68"/>
      <c r="AC1688" s="68"/>
      <c r="AD1688" s="68"/>
      <c r="AE1688" s="68"/>
    </row>
    <row r="1689" ht="26.25" customHeight="1">
      <c r="A1689" s="68"/>
      <c r="B1689" s="68"/>
      <c r="C1689" s="61" t="s">
        <v>129</v>
      </c>
      <c r="D1689" s="61" t="s">
        <v>130</v>
      </c>
      <c r="E1689" s="68"/>
      <c r="F1689" s="68"/>
      <c r="G1689" s="68"/>
      <c r="H1689" s="68"/>
      <c r="I1689" s="68"/>
      <c r="J1689" s="78"/>
      <c r="K1689" s="68"/>
      <c r="L1689" s="68"/>
      <c r="M1689" s="68"/>
      <c r="N1689" s="68"/>
      <c r="O1689" s="68"/>
      <c r="P1689" s="68"/>
      <c r="Q1689" s="68"/>
      <c r="R1689" s="68"/>
      <c r="S1689" s="68"/>
      <c r="T1689" s="68"/>
      <c r="U1689" s="68"/>
      <c r="V1689" s="68"/>
      <c r="W1689" s="68"/>
      <c r="X1689" s="68"/>
      <c r="Y1689" s="68"/>
      <c r="Z1689" s="68"/>
      <c r="AA1689" s="68"/>
      <c r="AB1689" s="68"/>
      <c r="AC1689" s="68"/>
      <c r="AD1689" s="68"/>
      <c r="AE1689" s="68"/>
    </row>
    <row r="1690" ht="26.25" customHeight="1">
      <c r="A1690" s="68"/>
      <c r="B1690" s="68"/>
      <c r="C1690" s="61" t="s">
        <v>129</v>
      </c>
      <c r="D1690" s="61" t="s">
        <v>130</v>
      </c>
      <c r="E1690" s="68"/>
      <c r="F1690" s="68"/>
      <c r="G1690" s="68"/>
      <c r="H1690" s="68"/>
      <c r="I1690" s="68"/>
      <c r="J1690" s="78"/>
      <c r="K1690" s="68"/>
      <c r="L1690" s="68"/>
      <c r="M1690" s="68"/>
      <c r="N1690" s="68"/>
      <c r="O1690" s="68"/>
      <c r="P1690" s="68"/>
      <c r="Q1690" s="68"/>
      <c r="R1690" s="68"/>
      <c r="S1690" s="68"/>
      <c r="T1690" s="68"/>
      <c r="U1690" s="68"/>
      <c r="V1690" s="68"/>
      <c r="W1690" s="68"/>
      <c r="X1690" s="68"/>
      <c r="Y1690" s="68"/>
      <c r="Z1690" s="68"/>
      <c r="AA1690" s="68"/>
      <c r="AB1690" s="68"/>
      <c r="AC1690" s="68"/>
      <c r="AD1690" s="68"/>
      <c r="AE1690" s="68"/>
    </row>
    <row r="1691" ht="26.25" customHeight="1">
      <c r="A1691" s="68"/>
      <c r="B1691" s="68"/>
      <c r="C1691" s="61" t="s">
        <v>129</v>
      </c>
      <c r="D1691" s="61" t="s">
        <v>130</v>
      </c>
      <c r="E1691" s="68"/>
      <c r="F1691" s="68"/>
      <c r="G1691" s="68"/>
      <c r="H1691" s="68"/>
      <c r="I1691" s="68"/>
      <c r="J1691" s="78"/>
      <c r="K1691" s="68"/>
      <c r="L1691" s="68"/>
      <c r="M1691" s="68"/>
      <c r="N1691" s="68"/>
      <c r="O1691" s="68"/>
      <c r="P1691" s="68"/>
      <c r="Q1691" s="68"/>
      <c r="R1691" s="68"/>
      <c r="S1691" s="68"/>
      <c r="T1691" s="68"/>
      <c r="U1691" s="68"/>
      <c r="V1691" s="68"/>
      <c r="W1691" s="68"/>
      <c r="X1691" s="68"/>
      <c r="Y1691" s="68"/>
      <c r="Z1691" s="68"/>
      <c r="AA1691" s="68"/>
      <c r="AB1691" s="68"/>
      <c r="AC1691" s="68"/>
      <c r="AD1691" s="68"/>
      <c r="AE1691" s="68"/>
    </row>
    <row r="1692" ht="26.25" customHeight="1">
      <c r="A1692" s="68"/>
      <c r="B1692" s="68"/>
      <c r="C1692" s="61" t="s">
        <v>129</v>
      </c>
      <c r="D1692" s="61" t="s">
        <v>130</v>
      </c>
      <c r="E1692" s="68"/>
      <c r="F1692" s="68"/>
      <c r="G1692" s="68"/>
      <c r="H1692" s="68"/>
      <c r="I1692" s="68"/>
      <c r="J1692" s="78"/>
      <c r="K1692" s="68"/>
      <c r="L1692" s="68"/>
      <c r="M1692" s="68"/>
      <c r="N1692" s="68"/>
      <c r="O1692" s="68"/>
      <c r="P1692" s="68"/>
      <c r="Q1692" s="68"/>
      <c r="R1692" s="68"/>
      <c r="S1692" s="68"/>
      <c r="T1692" s="68"/>
      <c r="U1692" s="68"/>
      <c r="V1692" s="68"/>
      <c r="W1692" s="68"/>
      <c r="X1692" s="68"/>
      <c r="Y1692" s="68"/>
      <c r="Z1692" s="68"/>
      <c r="AA1692" s="68"/>
      <c r="AB1692" s="68"/>
      <c r="AC1692" s="68"/>
      <c r="AD1692" s="68"/>
      <c r="AE1692" s="68"/>
    </row>
    <row r="1693" ht="26.25" customHeight="1">
      <c r="A1693" s="68"/>
      <c r="B1693" s="68"/>
      <c r="C1693" s="61" t="s">
        <v>129</v>
      </c>
      <c r="D1693" s="61" t="s">
        <v>130</v>
      </c>
      <c r="E1693" s="68"/>
      <c r="F1693" s="68"/>
      <c r="G1693" s="68"/>
      <c r="H1693" s="68"/>
      <c r="I1693" s="68"/>
      <c r="J1693" s="78"/>
      <c r="K1693" s="68"/>
      <c r="L1693" s="68"/>
      <c r="M1693" s="68"/>
      <c r="N1693" s="68"/>
      <c r="O1693" s="68"/>
      <c r="P1693" s="68"/>
      <c r="Q1693" s="68"/>
      <c r="R1693" s="68"/>
      <c r="S1693" s="68"/>
      <c r="T1693" s="68"/>
      <c r="U1693" s="68"/>
      <c r="V1693" s="68"/>
      <c r="W1693" s="68"/>
      <c r="X1693" s="68"/>
      <c r="Y1693" s="68"/>
      <c r="Z1693" s="68"/>
      <c r="AA1693" s="68"/>
      <c r="AB1693" s="68"/>
      <c r="AC1693" s="68"/>
      <c r="AD1693" s="68"/>
      <c r="AE1693" s="68"/>
    </row>
    <row r="1694" ht="26.25" customHeight="1">
      <c r="A1694" s="68"/>
      <c r="B1694" s="68"/>
      <c r="C1694" s="61" t="s">
        <v>129</v>
      </c>
      <c r="D1694" s="61" t="s">
        <v>130</v>
      </c>
      <c r="E1694" s="68"/>
      <c r="F1694" s="68"/>
      <c r="G1694" s="68"/>
      <c r="H1694" s="68"/>
      <c r="I1694" s="68"/>
      <c r="J1694" s="78"/>
      <c r="K1694" s="68"/>
      <c r="L1694" s="68"/>
      <c r="M1694" s="68"/>
      <c r="N1694" s="68"/>
      <c r="O1694" s="68"/>
      <c r="P1694" s="68"/>
      <c r="Q1694" s="68"/>
      <c r="R1694" s="68"/>
      <c r="S1694" s="68"/>
      <c r="T1694" s="68"/>
      <c r="U1694" s="68"/>
      <c r="V1694" s="68"/>
      <c r="W1694" s="68"/>
      <c r="X1694" s="68"/>
      <c r="Y1694" s="68"/>
      <c r="Z1694" s="68"/>
      <c r="AA1694" s="68"/>
      <c r="AB1694" s="68"/>
      <c r="AC1694" s="68"/>
      <c r="AD1694" s="68"/>
      <c r="AE1694" s="68"/>
    </row>
    <row r="1695" ht="26.25" customHeight="1">
      <c r="A1695" s="68"/>
      <c r="B1695" s="68"/>
      <c r="C1695" s="61" t="s">
        <v>129</v>
      </c>
      <c r="D1695" s="61" t="s">
        <v>130</v>
      </c>
      <c r="E1695" s="68"/>
      <c r="F1695" s="68"/>
      <c r="G1695" s="68"/>
      <c r="H1695" s="68"/>
      <c r="I1695" s="68"/>
      <c r="J1695" s="78"/>
      <c r="K1695" s="68"/>
      <c r="L1695" s="68"/>
      <c r="M1695" s="68"/>
      <c r="N1695" s="68"/>
      <c r="O1695" s="68"/>
      <c r="P1695" s="68"/>
      <c r="Q1695" s="68"/>
      <c r="R1695" s="68"/>
      <c r="S1695" s="68"/>
      <c r="T1695" s="68"/>
      <c r="U1695" s="68"/>
      <c r="V1695" s="68"/>
      <c r="W1695" s="68"/>
      <c r="X1695" s="68"/>
      <c r="Y1695" s="68"/>
      <c r="Z1695" s="68"/>
      <c r="AA1695" s="68"/>
      <c r="AB1695" s="68"/>
      <c r="AC1695" s="68"/>
      <c r="AD1695" s="68"/>
      <c r="AE1695" s="68"/>
    </row>
    <row r="1696" ht="26.25" customHeight="1">
      <c r="A1696" s="68"/>
      <c r="B1696" s="68"/>
      <c r="C1696" s="61" t="s">
        <v>129</v>
      </c>
      <c r="D1696" s="61" t="s">
        <v>130</v>
      </c>
      <c r="E1696" s="68"/>
      <c r="F1696" s="68"/>
      <c r="G1696" s="68"/>
      <c r="H1696" s="68"/>
      <c r="I1696" s="68"/>
      <c r="J1696" s="78"/>
      <c r="K1696" s="68"/>
      <c r="L1696" s="68"/>
      <c r="M1696" s="68"/>
      <c r="N1696" s="68"/>
      <c r="O1696" s="68"/>
      <c r="P1696" s="68"/>
      <c r="Q1696" s="68"/>
      <c r="R1696" s="68"/>
      <c r="S1696" s="68"/>
      <c r="T1696" s="68"/>
      <c r="U1696" s="68"/>
      <c r="V1696" s="68"/>
      <c r="W1696" s="68"/>
      <c r="X1696" s="68"/>
      <c r="Y1696" s="68"/>
      <c r="Z1696" s="68"/>
      <c r="AA1696" s="68"/>
      <c r="AB1696" s="68"/>
      <c r="AC1696" s="68"/>
      <c r="AD1696" s="68"/>
      <c r="AE1696" s="68"/>
    </row>
    <row r="1697" ht="26.25" customHeight="1">
      <c r="A1697" s="68"/>
      <c r="B1697" s="68"/>
      <c r="C1697" s="61" t="s">
        <v>129</v>
      </c>
      <c r="D1697" s="61" t="s">
        <v>130</v>
      </c>
      <c r="E1697" s="68"/>
      <c r="F1697" s="68"/>
      <c r="G1697" s="68"/>
      <c r="H1697" s="68"/>
      <c r="I1697" s="68"/>
      <c r="J1697" s="78"/>
      <c r="K1697" s="68"/>
      <c r="L1697" s="68"/>
      <c r="M1697" s="68"/>
      <c r="N1697" s="68"/>
      <c r="O1697" s="68"/>
      <c r="P1697" s="68"/>
      <c r="Q1697" s="68"/>
      <c r="R1697" s="68"/>
      <c r="S1697" s="68"/>
      <c r="T1697" s="68"/>
      <c r="U1697" s="68"/>
      <c r="V1697" s="68"/>
      <c r="W1697" s="68"/>
      <c r="X1697" s="68"/>
      <c r="Y1697" s="68"/>
      <c r="Z1697" s="68"/>
      <c r="AA1697" s="68"/>
      <c r="AB1697" s="68"/>
      <c r="AC1697" s="68"/>
      <c r="AD1697" s="68"/>
      <c r="AE1697" s="68"/>
    </row>
    <row r="1698" ht="26.25" customHeight="1">
      <c r="A1698" s="68"/>
      <c r="B1698" s="68"/>
      <c r="C1698" s="61" t="s">
        <v>129</v>
      </c>
      <c r="D1698" s="61" t="s">
        <v>130</v>
      </c>
      <c r="E1698" s="68"/>
      <c r="F1698" s="68"/>
      <c r="G1698" s="68"/>
      <c r="H1698" s="68"/>
      <c r="I1698" s="68"/>
      <c r="J1698" s="78"/>
      <c r="K1698" s="68"/>
      <c r="L1698" s="68"/>
      <c r="M1698" s="68"/>
      <c r="N1698" s="68"/>
      <c r="O1698" s="68"/>
      <c r="P1698" s="68"/>
      <c r="Q1698" s="68"/>
      <c r="R1698" s="68"/>
      <c r="S1698" s="68"/>
      <c r="T1698" s="68"/>
      <c r="U1698" s="68"/>
      <c r="V1698" s="68"/>
      <c r="W1698" s="68"/>
      <c r="X1698" s="68"/>
      <c r="Y1698" s="68"/>
      <c r="Z1698" s="68"/>
      <c r="AA1698" s="68"/>
      <c r="AB1698" s="68"/>
      <c r="AC1698" s="68"/>
      <c r="AD1698" s="68"/>
      <c r="AE1698" s="68"/>
    </row>
    <row r="1699" ht="26.25" customHeight="1">
      <c r="A1699" s="68"/>
      <c r="B1699" s="68"/>
      <c r="C1699" s="61" t="s">
        <v>129</v>
      </c>
      <c r="D1699" s="61" t="s">
        <v>130</v>
      </c>
      <c r="E1699" s="68"/>
      <c r="F1699" s="68"/>
      <c r="G1699" s="68"/>
      <c r="H1699" s="68"/>
      <c r="I1699" s="68"/>
      <c r="J1699" s="78"/>
      <c r="K1699" s="68"/>
      <c r="L1699" s="68"/>
      <c r="M1699" s="68"/>
      <c r="N1699" s="68"/>
      <c r="O1699" s="68"/>
      <c r="P1699" s="68"/>
      <c r="Q1699" s="68"/>
      <c r="R1699" s="68"/>
      <c r="S1699" s="68"/>
      <c r="T1699" s="68"/>
      <c r="U1699" s="68"/>
      <c r="V1699" s="68"/>
      <c r="W1699" s="68"/>
      <c r="X1699" s="68"/>
      <c r="Y1699" s="68"/>
      <c r="Z1699" s="68"/>
      <c r="AA1699" s="68"/>
      <c r="AB1699" s="68"/>
      <c r="AC1699" s="68"/>
      <c r="AD1699" s="68"/>
      <c r="AE1699" s="68"/>
    </row>
    <row r="1700" ht="26.25" customHeight="1">
      <c r="A1700" s="68"/>
      <c r="B1700" s="68"/>
      <c r="C1700" s="61" t="s">
        <v>129</v>
      </c>
      <c r="D1700" s="61" t="s">
        <v>130</v>
      </c>
      <c r="E1700" s="68"/>
      <c r="F1700" s="68"/>
      <c r="G1700" s="68"/>
      <c r="H1700" s="68"/>
      <c r="I1700" s="68"/>
      <c r="J1700" s="78"/>
      <c r="K1700" s="68"/>
      <c r="L1700" s="68"/>
      <c r="M1700" s="68"/>
      <c r="N1700" s="68"/>
      <c r="O1700" s="68"/>
      <c r="P1700" s="68"/>
      <c r="Q1700" s="68"/>
      <c r="R1700" s="68"/>
      <c r="S1700" s="68"/>
      <c r="T1700" s="68"/>
      <c r="U1700" s="68"/>
      <c r="V1700" s="68"/>
      <c r="W1700" s="68"/>
      <c r="X1700" s="68"/>
      <c r="Y1700" s="68"/>
      <c r="Z1700" s="68"/>
      <c r="AA1700" s="68"/>
      <c r="AB1700" s="68"/>
      <c r="AC1700" s="68"/>
      <c r="AD1700" s="68"/>
      <c r="AE1700" s="68"/>
    </row>
    <row r="1701" ht="26.25" customHeight="1">
      <c r="A1701" s="68"/>
      <c r="B1701" s="68"/>
      <c r="C1701" s="61" t="s">
        <v>129</v>
      </c>
      <c r="D1701" s="61" t="s">
        <v>130</v>
      </c>
      <c r="E1701" s="68"/>
      <c r="F1701" s="68"/>
      <c r="G1701" s="68"/>
      <c r="H1701" s="68"/>
      <c r="I1701" s="68"/>
      <c r="J1701" s="78"/>
      <c r="K1701" s="68"/>
      <c r="L1701" s="68"/>
      <c r="M1701" s="68"/>
      <c r="N1701" s="68"/>
      <c r="O1701" s="68"/>
      <c r="P1701" s="68"/>
      <c r="Q1701" s="68"/>
      <c r="R1701" s="68"/>
      <c r="S1701" s="68"/>
      <c r="T1701" s="68"/>
      <c r="U1701" s="68"/>
      <c r="V1701" s="68"/>
      <c r="W1701" s="68"/>
      <c r="X1701" s="68"/>
      <c r="Y1701" s="68"/>
      <c r="Z1701" s="68"/>
      <c r="AA1701" s="68"/>
      <c r="AB1701" s="68"/>
      <c r="AC1701" s="68"/>
      <c r="AD1701" s="68"/>
      <c r="AE1701" s="68"/>
    </row>
    <row r="1702" ht="26.25" customHeight="1">
      <c r="A1702" s="68"/>
      <c r="B1702" s="68"/>
      <c r="C1702" s="61" t="s">
        <v>129</v>
      </c>
      <c r="D1702" s="61" t="s">
        <v>130</v>
      </c>
      <c r="E1702" s="68"/>
      <c r="F1702" s="68"/>
      <c r="G1702" s="68"/>
      <c r="H1702" s="68"/>
      <c r="I1702" s="68"/>
      <c r="J1702" s="78"/>
      <c r="K1702" s="68"/>
      <c r="L1702" s="68"/>
      <c r="M1702" s="68"/>
      <c r="N1702" s="68"/>
      <c r="O1702" s="68"/>
      <c r="P1702" s="68"/>
      <c r="Q1702" s="68"/>
      <c r="R1702" s="68"/>
      <c r="S1702" s="68"/>
      <c r="T1702" s="68"/>
      <c r="U1702" s="68"/>
      <c r="V1702" s="68"/>
      <c r="W1702" s="68"/>
      <c r="X1702" s="68"/>
      <c r="Y1702" s="68"/>
      <c r="Z1702" s="68"/>
      <c r="AA1702" s="68"/>
      <c r="AB1702" s="68"/>
      <c r="AC1702" s="68"/>
      <c r="AD1702" s="68"/>
      <c r="AE1702" s="68"/>
    </row>
    <row r="1703" ht="26.25" customHeight="1">
      <c r="A1703" s="68"/>
      <c r="B1703" s="68"/>
      <c r="C1703" s="61" t="s">
        <v>129</v>
      </c>
      <c r="D1703" s="61" t="s">
        <v>130</v>
      </c>
      <c r="E1703" s="68"/>
      <c r="F1703" s="68"/>
      <c r="G1703" s="68"/>
      <c r="H1703" s="68"/>
      <c r="I1703" s="68"/>
      <c r="J1703" s="78"/>
      <c r="K1703" s="68"/>
      <c r="L1703" s="68"/>
      <c r="M1703" s="68"/>
      <c r="N1703" s="68"/>
      <c r="O1703" s="68"/>
      <c r="P1703" s="68"/>
      <c r="Q1703" s="68"/>
      <c r="R1703" s="68"/>
      <c r="S1703" s="68"/>
      <c r="T1703" s="68"/>
      <c r="U1703" s="68"/>
      <c r="V1703" s="68"/>
      <c r="W1703" s="68"/>
      <c r="X1703" s="68"/>
      <c r="Y1703" s="68"/>
      <c r="Z1703" s="68"/>
      <c r="AA1703" s="68"/>
      <c r="AB1703" s="68"/>
      <c r="AC1703" s="68"/>
      <c r="AD1703" s="68"/>
      <c r="AE1703" s="68"/>
    </row>
    <row r="1704" ht="26.25" customHeight="1">
      <c r="A1704" s="68"/>
      <c r="B1704" s="68"/>
      <c r="C1704" s="61" t="s">
        <v>129</v>
      </c>
      <c r="D1704" s="61" t="s">
        <v>130</v>
      </c>
      <c r="E1704" s="68"/>
      <c r="F1704" s="68"/>
      <c r="G1704" s="68"/>
      <c r="H1704" s="68"/>
      <c r="I1704" s="68"/>
      <c r="J1704" s="78"/>
      <c r="K1704" s="68"/>
      <c r="L1704" s="68"/>
      <c r="M1704" s="68"/>
      <c r="N1704" s="68"/>
      <c r="O1704" s="68"/>
      <c r="P1704" s="68"/>
      <c r="Q1704" s="68"/>
      <c r="R1704" s="68"/>
      <c r="S1704" s="68"/>
      <c r="T1704" s="68"/>
      <c r="U1704" s="68"/>
      <c r="V1704" s="68"/>
      <c r="W1704" s="68"/>
      <c r="X1704" s="68"/>
      <c r="Y1704" s="68"/>
      <c r="Z1704" s="68"/>
      <c r="AA1704" s="68"/>
      <c r="AB1704" s="68"/>
      <c r="AC1704" s="68"/>
      <c r="AD1704" s="68"/>
      <c r="AE1704" s="68"/>
    </row>
    <row r="1705" ht="26.25" customHeight="1">
      <c r="A1705" s="68"/>
      <c r="B1705" s="68"/>
      <c r="C1705" s="61" t="s">
        <v>129</v>
      </c>
      <c r="D1705" s="61" t="s">
        <v>130</v>
      </c>
      <c r="E1705" s="68"/>
      <c r="F1705" s="68"/>
      <c r="G1705" s="68"/>
      <c r="H1705" s="68"/>
      <c r="I1705" s="68"/>
      <c r="J1705" s="78"/>
      <c r="K1705" s="68"/>
      <c r="L1705" s="68"/>
      <c r="M1705" s="68"/>
      <c r="N1705" s="68"/>
      <c r="O1705" s="68"/>
      <c r="P1705" s="68"/>
      <c r="Q1705" s="68"/>
      <c r="R1705" s="68"/>
      <c r="S1705" s="68"/>
      <c r="T1705" s="68"/>
      <c r="U1705" s="68"/>
      <c r="V1705" s="68"/>
      <c r="W1705" s="68"/>
      <c r="X1705" s="68"/>
      <c r="Y1705" s="68"/>
      <c r="Z1705" s="68"/>
      <c r="AA1705" s="68"/>
      <c r="AB1705" s="68"/>
      <c r="AC1705" s="68"/>
      <c r="AD1705" s="68"/>
      <c r="AE1705" s="68"/>
    </row>
    <row r="1706" ht="26.25" customHeight="1">
      <c r="A1706" s="68"/>
      <c r="B1706" s="68"/>
      <c r="C1706" s="61" t="s">
        <v>129</v>
      </c>
      <c r="D1706" s="61" t="s">
        <v>130</v>
      </c>
      <c r="E1706" s="68"/>
      <c r="F1706" s="68"/>
      <c r="G1706" s="68"/>
      <c r="H1706" s="68"/>
      <c r="I1706" s="68"/>
      <c r="J1706" s="78"/>
      <c r="K1706" s="68"/>
      <c r="L1706" s="68"/>
      <c r="M1706" s="68"/>
      <c r="N1706" s="68"/>
      <c r="O1706" s="68"/>
      <c r="P1706" s="68"/>
      <c r="Q1706" s="68"/>
      <c r="R1706" s="68"/>
      <c r="S1706" s="68"/>
      <c r="T1706" s="68"/>
      <c r="U1706" s="68"/>
      <c r="V1706" s="68"/>
      <c r="W1706" s="68"/>
      <c r="X1706" s="68"/>
      <c r="Y1706" s="68"/>
      <c r="Z1706" s="68"/>
      <c r="AA1706" s="68"/>
      <c r="AB1706" s="68"/>
      <c r="AC1706" s="68"/>
      <c r="AD1706" s="68"/>
      <c r="AE1706" s="68"/>
    </row>
    <row r="1707" ht="26.25" customHeight="1">
      <c r="A1707" s="68"/>
      <c r="B1707" s="68"/>
      <c r="C1707" s="61" t="s">
        <v>129</v>
      </c>
      <c r="D1707" s="61" t="s">
        <v>130</v>
      </c>
      <c r="E1707" s="68"/>
      <c r="F1707" s="68"/>
      <c r="G1707" s="68"/>
      <c r="H1707" s="68"/>
      <c r="I1707" s="68"/>
      <c r="J1707" s="78"/>
      <c r="K1707" s="68"/>
      <c r="L1707" s="68"/>
      <c r="M1707" s="68"/>
      <c r="N1707" s="68"/>
      <c r="O1707" s="68"/>
      <c r="P1707" s="68"/>
      <c r="Q1707" s="68"/>
      <c r="R1707" s="68"/>
      <c r="S1707" s="68"/>
      <c r="T1707" s="68"/>
      <c r="U1707" s="68"/>
      <c r="V1707" s="68"/>
      <c r="W1707" s="68"/>
      <c r="X1707" s="68"/>
      <c r="Y1707" s="68"/>
      <c r="Z1707" s="68"/>
      <c r="AA1707" s="68"/>
      <c r="AB1707" s="68"/>
      <c r="AC1707" s="68"/>
      <c r="AD1707" s="68"/>
      <c r="AE1707" s="68"/>
    </row>
    <row r="1708" ht="26.25" customHeight="1">
      <c r="A1708" s="68"/>
      <c r="B1708" s="68"/>
      <c r="C1708" s="61" t="s">
        <v>129</v>
      </c>
      <c r="D1708" s="61" t="s">
        <v>130</v>
      </c>
      <c r="E1708" s="68"/>
      <c r="F1708" s="68"/>
      <c r="G1708" s="68"/>
      <c r="H1708" s="68"/>
      <c r="I1708" s="68"/>
      <c r="J1708" s="78"/>
      <c r="K1708" s="68"/>
      <c r="L1708" s="68"/>
      <c r="M1708" s="68"/>
      <c r="N1708" s="68"/>
      <c r="O1708" s="68"/>
      <c r="P1708" s="68"/>
      <c r="Q1708" s="68"/>
      <c r="R1708" s="68"/>
      <c r="S1708" s="68"/>
      <c r="T1708" s="68"/>
      <c r="U1708" s="68"/>
      <c r="V1708" s="68"/>
      <c r="W1708" s="68"/>
      <c r="X1708" s="68"/>
      <c r="Y1708" s="68"/>
      <c r="Z1708" s="68"/>
      <c r="AA1708" s="68"/>
      <c r="AB1708" s="68"/>
      <c r="AC1708" s="68"/>
      <c r="AD1708" s="68"/>
      <c r="AE1708" s="68"/>
    </row>
    <row r="1709" ht="26.25" customHeight="1">
      <c r="A1709" s="68"/>
      <c r="B1709" s="68"/>
      <c r="C1709" s="61" t="s">
        <v>129</v>
      </c>
      <c r="D1709" s="61" t="s">
        <v>130</v>
      </c>
      <c r="E1709" s="68"/>
      <c r="F1709" s="68"/>
      <c r="G1709" s="68"/>
      <c r="H1709" s="68"/>
      <c r="I1709" s="68"/>
      <c r="J1709" s="78"/>
      <c r="K1709" s="68"/>
      <c r="L1709" s="68"/>
      <c r="M1709" s="68"/>
      <c r="N1709" s="68"/>
      <c r="O1709" s="68"/>
      <c r="P1709" s="68"/>
      <c r="Q1709" s="68"/>
      <c r="R1709" s="68"/>
      <c r="S1709" s="68"/>
      <c r="T1709" s="68"/>
      <c r="U1709" s="68"/>
      <c r="V1709" s="68"/>
      <c r="W1709" s="68"/>
      <c r="X1709" s="68"/>
      <c r="Y1709" s="68"/>
      <c r="Z1709" s="68"/>
      <c r="AA1709" s="68"/>
      <c r="AB1709" s="68"/>
      <c r="AC1709" s="68"/>
      <c r="AD1709" s="68"/>
      <c r="AE1709" s="68"/>
    </row>
    <row r="1710" ht="26.25" customHeight="1">
      <c r="A1710" s="68"/>
      <c r="B1710" s="68"/>
      <c r="C1710" s="61" t="s">
        <v>129</v>
      </c>
      <c r="D1710" s="61" t="s">
        <v>130</v>
      </c>
      <c r="E1710" s="68"/>
      <c r="F1710" s="68"/>
      <c r="G1710" s="68"/>
      <c r="H1710" s="68"/>
      <c r="I1710" s="68"/>
      <c r="J1710" s="78"/>
      <c r="K1710" s="68"/>
      <c r="L1710" s="68"/>
      <c r="M1710" s="68"/>
      <c r="N1710" s="68"/>
      <c r="O1710" s="68"/>
      <c r="P1710" s="68"/>
      <c r="Q1710" s="68"/>
      <c r="R1710" s="68"/>
      <c r="S1710" s="68"/>
      <c r="T1710" s="68"/>
      <c r="U1710" s="68"/>
      <c r="V1710" s="68"/>
      <c r="W1710" s="68"/>
      <c r="X1710" s="68"/>
      <c r="Y1710" s="68"/>
      <c r="Z1710" s="68"/>
      <c r="AA1710" s="68"/>
      <c r="AB1710" s="68"/>
      <c r="AC1710" s="68"/>
      <c r="AD1710" s="68"/>
      <c r="AE1710" s="68"/>
    </row>
    <row r="1711" ht="26.25" customHeight="1">
      <c r="A1711" s="68"/>
      <c r="B1711" s="68"/>
      <c r="C1711" s="61" t="s">
        <v>129</v>
      </c>
      <c r="D1711" s="61" t="s">
        <v>130</v>
      </c>
      <c r="E1711" s="68"/>
      <c r="F1711" s="68"/>
      <c r="G1711" s="68"/>
      <c r="H1711" s="68"/>
      <c r="I1711" s="68"/>
      <c r="J1711" s="78"/>
      <c r="K1711" s="68"/>
      <c r="L1711" s="68"/>
      <c r="M1711" s="68"/>
      <c r="N1711" s="68"/>
      <c r="O1711" s="68"/>
      <c r="P1711" s="68"/>
      <c r="Q1711" s="68"/>
      <c r="R1711" s="68"/>
      <c r="S1711" s="68"/>
      <c r="T1711" s="68"/>
      <c r="U1711" s="68"/>
      <c r="V1711" s="68"/>
      <c r="W1711" s="68"/>
      <c r="X1711" s="68"/>
      <c r="Y1711" s="68"/>
      <c r="Z1711" s="68"/>
      <c r="AA1711" s="68"/>
      <c r="AB1711" s="68"/>
      <c r="AC1711" s="68"/>
      <c r="AD1711" s="68"/>
      <c r="AE1711" s="68"/>
    </row>
    <row r="1712" ht="26.25" customHeight="1">
      <c r="A1712" s="68"/>
      <c r="B1712" s="68"/>
      <c r="C1712" s="61" t="s">
        <v>129</v>
      </c>
      <c r="D1712" s="61" t="s">
        <v>130</v>
      </c>
      <c r="E1712" s="68"/>
      <c r="F1712" s="68"/>
      <c r="G1712" s="68"/>
      <c r="H1712" s="68"/>
      <c r="I1712" s="68"/>
      <c r="J1712" s="78"/>
      <c r="K1712" s="68"/>
      <c r="L1712" s="68"/>
      <c r="M1712" s="68"/>
      <c r="N1712" s="68"/>
      <c r="O1712" s="68"/>
      <c r="P1712" s="68"/>
      <c r="Q1712" s="68"/>
      <c r="R1712" s="68"/>
      <c r="S1712" s="68"/>
      <c r="T1712" s="68"/>
      <c r="U1712" s="68"/>
      <c r="V1712" s="68"/>
      <c r="W1712" s="68"/>
      <c r="X1712" s="68"/>
      <c r="Y1712" s="68"/>
      <c r="Z1712" s="68"/>
      <c r="AA1712" s="68"/>
      <c r="AB1712" s="68"/>
      <c r="AC1712" s="68"/>
      <c r="AD1712" s="68"/>
      <c r="AE1712" s="68"/>
    </row>
    <row r="1713" ht="26.25" customHeight="1">
      <c r="A1713" s="68"/>
      <c r="B1713" s="68"/>
      <c r="C1713" s="61" t="s">
        <v>129</v>
      </c>
      <c r="D1713" s="61" t="s">
        <v>130</v>
      </c>
      <c r="E1713" s="68"/>
      <c r="F1713" s="68"/>
      <c r="G1713" s="68"/>
      <c r="H1713" s="68"/>
      <c r="I1713" s="68"/>
      <c r="J1713" s="78"/>
      <c r="K1713" s="68"/>
      <c r="L1713" s="68"/>
      <c r="M1713" s="68"/>
      <c r="N1713" s="68"/>
      <c r="O1713" s="68"/>
      <c r="P1713" s="68"/>
      <c r="Q1713" s="68"/>
      <c r="R1713" s="68"/>
      <c r="S1713" s="68"/>
      <c r="T1713" s="68"/>
      <c r="U1713" s="68"/>
      <c r="V1713" s="68"/>
      <c r="W1713" s="68"/>
      <c r="X1713" s="68"/>
      <c r="Y1713" s="68"/>
      <c r="Z1713" s="68"/>
      <c r="AA1713" s="68"/>
      <c r="AB1713" s="68"/>
      <c r="AC1713" s="68"/>
      <c r="AD1713" s="68"/>
      <c r="AE1713" s="68"/>
    </row>
    <row r="1714" ht="26.25" customHeight="1">
      <c r="A1714" s="68"/>
      <c r="B1714" s="68"/>
      <c r="C1714" s="61" t="s">
        <v>129</v>
      </c>
      <c r="D1714" s="61" t="s">
        <v>130</v>
      </c>
      <c r="E1714" s="68"/>
      <c r="F1714" s="68"/>
      <c r="G1714" s="68"/>
      <c r="H1714" s="68"/>
      <c r="I1714" s="68"/>
      <c r="J1714" s="78"/>
      <c r="K1714" s="68"/>
      <c r="L1714" s="68"/>
      <c r="M1714" s="68"/>
      <c r="N1714" s="68"/>
      <c r="O1714" s="68"/>
      <c r="P1714" s="68"/>
      <c r="Q1714" s="68"/>
      <c r="R1714" s="68"/>
      <c r="S1714" s="68"/>
      <c r="T1714" s="68"/>
      <c r="U1714" s="68"/>
      <c r="V1714" s="68"/>
      <c r="W1714" s="68"/>
      <c r="X1714" s="68"/>
      <c r="Y1714" s="68"/>
      <c r="Z1714" s="68"/>
      <c r="AA1714" s="68"/>
      <c r="AB1714" s="68"/>
      <c r="AC1714" s="68"/>
      <c r="AD1714" s="68"/>
      <c r="AE1714" s="68"/>
    </row>
    <row r="1715" ht="26.25" customHeight="1">
      <c r="A1715" s="68"/>
      <c r="B1715" s="68"/>
      <c r="C1715" s="61" t="s">
        <v>129</v>
      </c>
      <c r="D1715" s="61" t="s">
        <v>130</v>
      </c>
      <c r="E1715" s="68"/>
      <c r="F1715" s="68"/>
      <c r="G1715" s="68"/>
      <c r="H1715" s="68"/>
      <c r="I1715" s="68"/>
      <c r="J1715" s="78"/>
      <c r="K1715" s="68"/>
      <c r="L1715" s="68"/>
      <c r="M1715" s="68"/>
      <c r="N1715" s="68"/>
      <c r="O1715" s="68"/>
      <c r="P1715" s="68"/>
      <c r="Q1715" s="68"/>
      <c r="R1715" s="68"/>
      <c r="S1715" s="68"/>
      <c r="T1715" s="68"/>
      <c r="U1715" s="68"/>
      <c r="V1715" s="68"/>
      <c r="W1715" s="68"/>
      <c r="X1715" s="68"/>
      <c r="Y1715" s="68"/>
      <c r="Z1715" s="68"/>
      <c r="AA1715" s="68"/>
      <c r="AB1715" s="68"/>
      <c r="AC1715" s="68"/>
      <c r="AD1715" s="68"/>
      <c r="AE1715" s="68"/>
    </row>
    <row r="1716" ht="26.25" customHeight="1">
      <c r="A1716" s="68"/>
      <c r="B1716" s="68"/>
      <c r="C1716" s="61" t="s">
        <v>129</v>
      </c>
      <c r="D1716" s="61" t="s">
        <v>130</v>
      </c>
      <c r="E1716" s="68"/>
      <c r="F1716" s="68"/>
      <c r="G1716" s="68"/>
      <c r="H1716" s="68"/>
      <c r="I1716" s="68"/>
      <c r="J1716" s="78"/>
      <c r="K1716" s="68"/>
      <c r="L1716" s="68"/>
      <c r="M1716" s="68"/>
      <c r="N1716" s="68"/>
      <c r="O1716" s="68"/>
      <c r="P1716" s="68"/>
      <c r="Q1716" s="68"/>
      <c r="R1716" s="68"/>
      <c r="S1716" s="68"/>
      <c r="T1716" s="68"/>
      <c r="U1716" s="68"/>
      <c r="V1716" s="68"/>
      <c r="W1716" s="68"/>
      <c r="X1716" s="68"/>
      <c r="Y1716" s="68"/>
      <c r="Z1716" s="68"/>
      <c r="AA1716" s="68"/>
      <c r="AB1716" s="68"/>
      <c r="AC1716" s="68"/>
      <c r="AD1716" s="68"/>
      <c r="AE1716" s="68"/>
    </row>
    <row r="1717" ht="26.25" customHeight="1">
      <c r="A1717" s="68"/>
      <c r="B1717" s="68"/>
      <c r="C1717" s="61" t="s">
        <v>129</v>
      </c>
      <c r="D1717" s="61" t="s">
        <v>130</v>
      </c>
      <c r="E1717" s="68"/>
      <c r="F1717" s="68"/>
      <c r="G1717" s="68"/>
      <c r="H1717" s="68"/>
      <c r="I1717" s="68"/>
      <c r="J1717" s="78"/>
      <c r="K1717" s="68"/>
      <c r="L1717" s="68"/>
      <c r="M1717" s="68"/>
      <c r="N1717" s="68"/>
      <c r="O1717" s="68"/>
      <c r="P1717" s="68"/>
      <c r="Q1717" s="68"/>
      <c r="R1717" s="68"/>
      <c r="S1717" s="68"/>
      <c r="T1717" s="68"/>
      <c r="U1717" s="68"/>
      <c r="V1717" s="68"/>
      <c r="W1717" s="68"/>
      <c r="X1717" s="68"/>
      <c r="Y1717" s="68"/>
      <c r="Z1717" s="68"/>
      <c r="AA1717" s="68"/>
      <c r="AB1717" s="68"/>
      <c r="AC1717" s="68"/>
      <c r="AD1717" s="68"/>
      <c r="AE1717" s="68"/>
    </row>
    <row r="1718" ht="26.25" customHeight="1">
      <c r="A1718" s="68"/>
      <c r="B1718" s="68"/>
      <c r="C1718" s="61" t="s">
        <v>129</v>
      </c>
      <c r="D1718" s="61" t="s">
        <v>130</v>
      </c>
      <c r="E1718" s="68"/>
      <c r="F1718" s="68"/>
      <c r="G1718" s="68"/>
      <c r="H1718" s="68"/>
      <c r="I1718" s="68"/>
      <c r="J1718" s="78"/>
      <c r="K1718" s="68"/>
      <c r="L1718" s="68"/>
      <c r="M1718" s="68"/>
      <c r="N1718" s="68"/>
      <c r="O1718" s="68"/>
      <c r="P1718" s="68"/>
      <c r="Q1718" s="68"/>
      <c r="R1718" s="68"/>
      <c r="S1718" s="68"/>
      <c r="T1718" s="68"/>
      <c r="U1718" s="68"/>
      <c r="V1718" s="68"/>
      <c r="W1718" s="68"/>
      <c r="X1718" s="68"/>
      <c r="Y1718" s="68"/>
      <c r="Z1718" s="68"/>
      <c r="AA1718" s="68"/>
      <c r="AB1718" s="68"/>
      <c r="AC1718" s="68"/>
      <c r="AD1718" s="68"/>
      <c r="AE1718" s="68"/>
    </row>
    <row r="1719" ht="26.25" customHeight="1">
      <c r="A1719" s="68"/>
      <c r="B1719" s="68"/>
      <c r="C1719" s="61" t="s">
        <v>129</v>
      </c>
      <c r="D1719" s="61" t="s">
        <v>130</v>
      </c>
      <c r="E1719" s="68"/>
      <c r="F1719" s="68"/>
      <c r="G1719" s="68"/>
      <c r="H1719" s="68"/>
      <c r="I1719" s="68"/>
      <c r="J1719" s="78"/>
      <c r="K1719" s="68"/>
      <c r="L1719" s="68"/>
      <c r="M1719" s="68"/>
      <c r="N1719" s="68"/>
      <c r="O1719" s="68"/>
      <c r="P1719" s="68"/>
      <c r="Q1719" s="68"/>
      <c r="R1719" s="68"/>
      <c r="S1719" s="68"/>
      <c r="T1719" s="68"/>
      <c r="U1719" s="68"/>
      <c r="V1719" s="68"/>
      <c r="W1719" s="68"/>
      <c r="X1719" s="68"/>
      <c r="Y1719" s="68"/>
      <c r="Z1719" s="68"/>
      <c r="AA1719" s="68"/>
      <c r="AB1719" s="68"/>
      <c r="AC1719" s="68"/>
      <c r="AD1719" s="68"/>
      <c r="AE1719" s="68"/>
    </row>
    <row r="1720" ht="26.25" customHeight="1">
      <c r="A1720" s="68"/>
      <c r="B1720" s="68"/>
      <c r="C1720" s="61" t="s">
        <v>129</v>
      </c>
      <c r="D1720" s="61" t="s">
        <v>130</v>
      </c>
      <c r="E1720" s="68"/>
      <c r="F1720" s="68"/>
      <c r="G1720" s="68"/>
      <c r="H1720" s="68"/>
      <c r="I1720" s="68"/>
      <c r="J1720" s="78"/>
      <c r="K1720" s="68"/>
      <c r="L1720" s="68"/>
      <c r="M1720" s="68"/>
      <c r="N1720" s="68"/>
      <c r="O1720" s="68"/>
      <c r="P1720" s="68"/>
      <c r="Q1720" s="68"/>
      <c r="R1720" s="68"/>
      <c r="S1720" s="68"/>
      <c r="T1720" s="68"/>
      <c r="U1720" s="68"/>
      <c r="V1720" s="68"/>
      <c r="W1720" s="68"/>
      <c r="X1720" s="68"/>
      <c r="Y1720" s="68"/>
      <c r="Z1720" s="68"/>
      <c r="AA1720" s="68"/>
      <c r="AB1720" s="68"/>
      <c r="AC1720" s="68"/>
      <c r="AD1720" s="68"/>
      <c r="AE1720" s="68"/>
    </row>
    <row r="1721" ht="26.25" customHeight="1">
      <c r="A1721" s="68"/>
      <c r="B1721" s="68"/>
      <c r="C1721" s="61" t="s">
        <v>129</v>
      </c>
      <c r="D1721" s="61" t="s">
        <v>130</v>
      </c>
      <c r="E1721" s="68"/>
      <c r="F1721" s="68"/>
      <c r="G1721" s="68"/>
      <c r="H1721" s="68"/>
      <c r="I1721" s="68"/>
      <c r="J1721" s="78"/>
      <c r="K1721" s="68"/>
      <c r="L1721" s="68"/>
      <c r="M1721" s="68"/>
      <c r="N1721" s="68"/>
      <c r="O1721" s="68"/>
      <c r="P1721" s="68"/>
      <c r="Q1721" s="68"/>
      <c r="R1721" s="68"/>
      <c r="S1721" s="68"/>
      <c r="T1721" s="68"/>
      <c r="U1721" s="68"/>
      <c r="V1721" s="68"/>
      <c r="W1721" s="68"/>
      <c r="X1721" s="68"/>
      <c r="Y1721" s="68"/>
      <c r="Z1721" s="68"/>
      <c r="AA1721" s="68"/>
      <c r="AB1721" s="68"/>
      <c r="AC1721" s="68"/>
      <c r="AD1721" s="68"/>
      <c r="AE1721" s="68"/>
    </row>
    <row r="1722" ht="26.25" customHeight="1">
      <c r="A1722" s="68"/>
      <c r="B1722" s="68"/>
      <c r="C1722" s="61" t="s">
        <v>129</v>
      </c>
      <c r="D1722" s="61" t="s">
        <v>130</v>
      </c>
      <c r="E1722" s="68"/>
      <c r="F1722" s="68"/>
      <c r="G1722" s="68"/>
      <c r="H1722" s="68"/>
      <c r="I1722" s="68"/>
      <c r="J1722" s="78"/>
      <c r="K1722" s="68"/>
      <c r="L1722" s="68"/>
      <c r="M1722" s="68"/>
      <c r="N1722" s="68"/>
      <c r="O1722" s="68"/>
      <c r="P1722" s="68"/>
      <c r="Q1722" s="68"/>
      <c r="R1722" s="68"/>
      <c r="S1722" s="68"/>
      <c r="T1722" s="68"/>
      <c r="U1722" s="68"/>
      <c r="V1722" s="68"/>
      <c r="W1722" s="68"/>
      <c r="X1722" s="68"/>
      <c r="Y1722" s="68"/>
      <c r="Z1722" s="68"/>
      <c r="AA1722" s="68"/>
      <c r="AB1722" s="68"/>
      <c r="AC1722" s="68"/>
      <c r="AD1722" s="68"/>
      <c r="AE1722" s="68"/>
    </row>
    <row r="1723" ht="26.25" customHeight="1">
      <c r="A1723" s="68"/>
      <c r="B1723" s="68"/>
      <c r="C1723" s="61" t="s">
        <v>129</v>
      </c>
      <c r="D1723" s="61" t="s">
        <v>130</v>
      </c>
      <c r="E1723" s="68"/>
      <c r="F1723" s="68"/>
      <c r="G1723" s="68"/>
      <c r="H1723" s="68"/>
      <c r="I1723" s="68"/>
      <c r="J1723" s="78"/>
      <c r="K1723" s="68"/>
      <c r="L1723" s="68"/>
      <c r="M1723" s="68"/>
      <c r="N1723" s="68"/>
      <c r="O1723" s="68"/>
      <c r="P1723" s="68"/>
      <c r="Q1723" s="68"/>
      <c r="R1723" s="68"/>
      <c r="S1723" s="68"/>
      <c r="T1723" s="68"/>
      <c r="U1723" s="68"/>
      <c r="V1723" s="68"/>
      <c r="W1723" s="68"/>
      <c r="X1723" s="68"/>
      <c r="Y1723" s="68"/>
      <c r="Z1723" s="68"/>
      <c r="AA1723" s="68"/>
      <c r="AB1723" s="68"/>
      <c r="AC1723" s="68"/>
      <c r="AD1723" s="68"/>
      <c r="AE1723" s="68"/>
    </row>
    <row r="1724" ht="26.25" customHeight="1">
      <c r="A1724" s="68"/>
      <c r="B1724" s="68"/>
      <c r="C1724" s="61" t="s">
        <v>129</v>
      </c>
      <c r="D1724" s="61" t="s">
        <v>130</v>
      </c>
      <c r="E1724" s="68"/>
      <c r="F1724" s="68"/>
      <c r="G1724" s="68"/>
      <c r="H1724" s="68"/>
      <c r="I1724" s="68"/>
      <c r="J1724" s="78"/>
      <c r="K1724" s="68"/>
      <c r="L1724" s="68"/>
      <c r="M1724" s="68"/>
      <c r="N1724" s="68"/>
      <c r="O1724" s="68"/>
      <c r="P1724" s="68"/>
      <c r="Q1724" s="68"/>
      <c r="R1724" s="68"/>
      <c r="S1724" s="68"/>
      <c r="T1724" s="68"/>
      <c r="U1724" s="68"/>
      <c r="V1724" s="68"/>
      <c r="W1724" s="68"/>
      <c r="X1724" s="68"/>
      <c r="Y1724" s="68"/>
      <c r="Z1724" s="68"/>
      <c r="AA1724" s="68"/>
      <c r="AB1724" s="68"/>
      <c r="AC1724" s="68"/>
      <c r="AD1724" s="68"/>
      <c r="AE1724" s="68"/>
    </row>
    <row r="1725" ht="26.25" customHeight="1">
      <c r="A1725" s="68"/>
      <c r="B1725" s="68"/>
      <c r="C1725" s="61" t="s">
        <v>129</v>
      </c>
      <c r="D1725" s="61" t="s">
        <v>130</v>
      </c>
      <c r="E1725" s="68"/>
      <c r="F1725" s="68"/>
      <c r="G1725" s="68"/>
      <c r="H1725" s="68"/>
      <c r="I1725" s="68"/>
      <c r="J1725" s="78"/>
      <c r="K1725" s="68"/>
      <c r="L1725" s="68"/>
      <c r="M1725" s="68"/>
      <c r="N1725" s="68"/>
      <c r="O1725" s="68"/>
      <c r="P1725" s="68"/>
      <c r="Q1725" s="68"/>
      <c r="R1725" s="68"/>
      <c r="S1725" s="68"/>
      <c r="T1725" s="68"/>
      <c r="U1725" s="68"/>
      <c r="V1725" s="68"/>
      <c r="W1725" s="68"/>
      <c r="X1725" s="68"/>
      <c r="Y1725" s="68"/>
      <c r="Z1725" s="68"/>
      <c r="AA1725" s="68"/>
      <c r="AB1725" s="68"/>
      <c r="AC1725" s="68"/>
      <c r="AD1725" s="68"/>
      <c r="AE1725" s="68"/>
    </row>
    <row r="1726" ht="26.25" customHeight="1">
      <c r="A1726" s="68"/>
      <c r="B1726" s="68"/>
      <c r="C1726" s="61" t="s">
        <v>129</v>
      </c>
      <c r="D1726" s="61" t="s">
        <v>130</v>
      </c>
      <c r="E1726" s="68"/>
      <c r="F1726" s="68"/>
      <c r="G1726" s="68"/>
      <c r="H1726" s="68"/>
      <c r="I1726" s="68"/>
      <c r="J1726" s="78"/>
      <c r="K1726" s="68"/>
      <c r="L1726" s="68"/>
      <c r="M1726" s="68"/>
      <c r="N1726" s="68"/>
      <c r="O1726" s="68"/>
      <c r="P1726" s="68"/>
      <c r="Q1726" s="68"/>
      <c r="R1726" s="68"/>
      <c r="S1726" s="68"/>
      <c r="T1726" s="68"/>
      <c r="U1726" s="68"/>
      <c r="V1726" s="68"/>
      <c r="W1726" s="68"/>
      <c r="X1726" s="68"/>
      <c r="Y1726" s="68"/>
      <c r="Z1726" s="68"/>
      <c r="AA1726" s="68"/>
      <c r="AB1726" s="68"/>
      <c r="AC1726" s="68"/>
      <c r="AD1726" s="68"/>
      <c r="AE1726" s="68"/>
    </row>
    <row r="1727" ht="26.25" customHeight="1">
      <c r="A1727" s="68"/>
      <c r="B1727" s="68"/>
      <c r="C1727" s="61" t="s">
        <v>129</v>
      </c>
      <c r="D1727" s="61" t="s">
        <v>130</v>
      </c>
      <c r="E1727" s="68"/>
      <c r="F1727" s="68"/>
      <c r="G1727" s="68"/>
      <c r="H1727" s="68"/>
      <c r="I1727" s="68"/>
      <c r="J1727" s="78"/>
      <c r="K1727" s="68"/>
      <c r="L1727" s="68"/>
      <c r="M1727" s="68"/>
      <c r="N1727" s="68"/>
      <c r="O1727" s="68"/>
      <c r="P1727" s="68"/>
      <c r="Q1727" s="68"/>
      <c r="R1727" s="68"/>
      <c r="S1727" s="68"/>
      <c r="T1727" s="68"/>
      <c r="U1727" s="68"/>
      <c r="V1727" s="68"/>
      <c r="W1727" s="68"/>
      <c r="X1727" s="68"/>
      <c r="Y1727" s="68"/>
      <c r="Z1727" s="68"/>
      <c r="AA1727" s="68"/>
      <c r="AB1727" s="68"/>
      <c r="AC1727" s="68"/>
      <c r="AD1727" s="68"/>
      <c r="AE1727" s="68"/>
    </row>
    <row r="1728" ht="26.25" customHeight="1">
      <c r="A1728" s="68"/>
      <c r="B1728" s="68"/>
      <c r="C1728" s="61" t="s">
        <v>129</v>
      </c>
      <c r="D1728" s="61" t="s">
        <v>130</v>
      </c>
      <c r="E1728" s="68"/>
      <c r="F1728" s="68"/>
      <c r="G1728" s="68"/>
      <c r="H1728" s="68"/>
      <c r="I1728" s="68"/>
      <c r="J1728" s="78"/>
      <c r="K1728" s="68"/>
      <c r="L1728" s="68"/>
      <c r="M1728" s="68"/>
      <c r="N1728" s="68"/>
      <c r="O1728" s="68"/>
      <c r="P1728" s="68"/>
      <c r="Q1728" s="68"/>
      <c r="R1728" s="68"/>
      <c r="S1728" s="68"/>
      <c r="T1728" s="68"/>
      <c r="U1728" s="68"/>
      <c r="V1728" s="68"/>
      <c r="W1728" s="68"/>
      <c r="X1728" s="68"/>
      <c r="Y1728" s="68"/>
      <c r="Z1728" s="68"/>
      <c r="AA1728" s="68"/>
      <c r="AB1728" s="68"/>
      <c r="AC1728" s="68"/>
      <c r="AD1728" s="68"/>
      <c r="AE1728" s="68"/>
    </row>
    <row r="1729" ht="26.25" customHeight="1">
      <c r="A1729" s="68"/>
      <c r="B1729" s="68"/>
      <c r="C1729" s="61" t="s">
        <v>129</v>
      </c>
      <c r="D1729" s="61" t="s">
        <v>130</v>
      </c>
      <c r="E1729" s="68"/>
      <c r="F1729" s="68"/>
      <c r="G1729" s="68"/>
      <c r="H1729" s="68"/>
      <c r="I1729" s="68"/>
      <c r="J1729" s="78"/>
      <c r="K1729" s="68"/>
      <c r="L1729" s="68"/>
      <c r="M1729" s="68"/>
      <c r="N1729" s="68"/>
      <c r="O1729" s="68"/>
      <c r="P1729" s="68"/>
      <c r="Q1729" s="68"/>
      <c r="R1729" s="68"/>
      <c r="S1729" s="68"/>
      <c r="T1729" s="68"/>
      <c r="U1729" s="68"/>
      <c r="V1729" s="68"/>
      <c r="W1729" s="68"/>
      <c r="X1729" s="68"/>
      <c r="Y1729" s="68"/>
      <c r="Z1729" s="68"/>
      <c r="AA1729" s="68"/>
      <c r="AB1729" s="68"/>
      <c r="AC1729" s="68"/>
      <c r="AD1729" s="68"/>
      <c r="AE1729" s="68"/>
    </row>
    <row r="1730" ht="26.25" customHeight="1">
      <c r="A1730" s="68"/>
      <c r="B1730" s="68"/>
      <c r="C1730" s="61" t="s">
        <v>129</v>
      </c>
      <c r="D1730" s="61" t="s">
        <v>130</v>
      </c>
      <c r="E1730" s="68"/>
      <c r="F1730" s="68"/>
      <c r="G1730" s="68"/>
      <c r="H1730" s="68"/>
      <c r="I1730" s="68"/>
      <c r="J1730" s="78"/>
      <c r="K1730" s="68"/>
      <c r="L1730" s="68"/>
      <c r="M1730" s="68"/>
      <c r="N1730" s="68"/>
      <c r="O1730" s="68"/>
      <c r="P1730" s="68"/>
      <c r="Q1730" s="68"/>
      <c r="R1730" s="68"/>
      <c r="S1730" s="68"/>
      <c r="T1730" s="68"/>
      <c r="U1730" s="68"/>
      <c r="V1730" s="68"/>
      <c r="W1730" s="68"/>
      <c r="X1730" s="68"/>
      <c r="Y1730" s="68"/>
      <c r="Z1730" s="68"/>
      <c r="AA1730" s="68"/>
      <c r="AB1730" s="68"/>
      <c r="AC1730" s="68"/>
      <c r="AD1730" s="68"/>
      <c r="AE1730" s="68"/>
    </row>
    <row r="1731" ht="26.25" customHeight="1">
      <c r="A1731" s="68"/>
      <c r="B1731" s="68"/>
      <c r="C1731" s="61" t="s">
        <v>129</v>
      </c>
      <c r="D1731" s="61" t="s">
        <v>130</v>
      </c>
      <c r="E1731" s="68"/>
      <c r="F1731" s="68"/>
      <c r="G1731" s="68"/>
      <c r="H1731" s="68"/>
      <c r="I1731" s="68"/>
      <c r="J1731" s="78"/>
      <c r="K1731" s="68"/>
      <c r="L1731" s="68"/>
      <c r="M1731" s="68"/>
      <c r="N1731" s="68"/>
      <c r="O1731" s="68"/>
      <c r="P1731" s="68"/>
      <c r="Q1731" s="68"/>
      <c r="R1731" s="68"/>
      <c r="S1731" s="68"/>
      <c r="T1731" s="68"/>
      <c r="U1731" s="68"/>
      <c r="V1731" s="68"/>
      <c r="W1731" s="68"/>
      <c r="X1731" s="68"/>
      <c r="Y1731" s="68"/>
      <c r="Z1731" s="68"/>
      <c r="AA1731" s="68"/>
      <c r="AB1731" s="68"/>
      <c r="AC1731" s="68"/>
      <c r="AD1731" s="68"/>
      <c r="AE1731" s="68"/>
    </row>
    <row r="1732" ht="26.25" customHeight="1">
      <c r="A1732" s="68"/>
      <c r="B1732" s="68"/>
      <c r="C1732" s="61" t="s">
        <v>129</v>
      </c>
      <c r="D1732" s="61" t="s">
        <v>130</v>
      </c>
      <c r="E1732" s="68"/>
      <c r="F1732" s="68"/>
      <c r="G1732" s="68"/>
      <c r="H1732" s="68"/>
      <c r="I1732" s="68"/>
      <c r="J1732" s="78"/>
      <c r="K1732" s="68"/>
      <c r="L1732" s="68"/>
      <c r="M1732" s="68"/>
      <c r="N1732" s="68"/>
      <c r="O1732" s="68"/>
      <c r="P1732" s="68"/>
      <c r="Q1732" s="68"/>
      <c r="R1732" s="68"/>
      <c r="S1732" s="68"/>
      <c r="T1732" s="68"/>
      <c r="U1732" s="68"/>
      <c r="V1732" s="68"/>
      <c r="W1732" s="68"/>
      <c r="X1732" s="68"/>
      <c r="Y1732" s="68"/>
      <c r="Z1732" s="68"/>
      <c r="AA1732" s="68"/>
      <c r="AB1732" s="68"/>
      <c r="AC1732" s="68"/>
      <c r="AD1732" s="68"/>
      <c r="AE1732" s="68"/>
    </row>
    <row r="1733" ht="26.25" customHeight="1">
      <c r="A1733" s="68"/>
      <c r="B1733" s="68"/>
      <c r="C1733" s="61" t="s">
        <v>129</v>
      </c>
      <c r="D1733" s="61" t="s">
        <v>130</v>
      </c>
      <c r="E1733" s="68"/>
      <c r="F1733" s="68"/>
      <c r="G1733" s="68"/>
      <c r="H1733" s="68"/>
      <c r="I1733" s="68"/>
      <c r="J1733" s="78"/>
      <c r="K1733" s="68"/>
      <c r="L1733" s="68"/>
      <c r="M1733" s="68"/>
      <c r="N1733" s="68"/>
      <c r="O1733" s="68"/>
      <c r="P1733" s="68"/>
      <c r="Q1733" s="68"/>
      <c r="R1733" s="68"/>
      <c r="S1733" s="68"/>
      <c r="T1733" s="68"/>
      <c r="U1733" s="68"/>
      <c r="V1733" s="68"/>
      <c r="W1733" s="68"/>
      <c r="X1733" s="68"/>
      <c r="Y1733" s="68"/>
      <c r="Z1733" s="68"/>
      <c r="AA1733" s="68"/>
      <c r="AB1733" s="68"/>
      <c r="AC1733" s="68"/>
      <c r="AD1733" s="68"/>
      <c r="AE1733" s="68"/>
    </row>
    <row r="1734" ht="26.25" customHeight="1">
      <c r="A1734" s="68"/>
      <c r="B1734" s="68"/>
      <c r="C1734" s="61" t="s">
        <v>129</v>
      </c>
      <c r="D1734" s="61" t="s">
        <v>130</v>
      </c>
      <c r="E1734" s="68"/>
      <c r="F1734" s="68"/>
      <c r="G1734" s="68"/>
      <c r="H1734" s="68"/>
      <c r="I1734" s="68"/>
      <c r="J1734" s="78"/>
      <c r="K1734" s="68"/>
      <c r="L1734" s="68"/>
      <c r="M1734" s="68"/>
      <c r="N1734" s="68"/>
      <c r="O1734" s="68"/>
      <c r="P1734" s="68"/>
      <c r="Q1734" s="68"/>
      <c r="R1734" s="68"/>
      <c r="S1734" s="68"/>
      <c r="T1734" s="68"/>
      <c r="U1734" s="68"/>
      <c r="V1734" s="68"/>
      <c r="W1734" s="68"/>
      <c r="X1734" s="68"/>
      <c r="Y1734" s="68"/>
      <c r="Z1734" s="68"/>
      <c r="AA1734" s="68"/>
      <c r="AB1734" s="68"/>
      <c r="AC1734" s="68"/>
      <c r="AD1734" s="68"/>
      <c r="AE1734" s="68"/>
    </row>
    <row r="1735" ht="26.25" customHeight="1">
      <c r="A1735" s="68"/>
      <c r="B1735" s="68"/>
      <c r="C1735" s="61" t="s">
        <v>129</v>
      </c>
      <c r="D1735" s="61" t="s">
        <v>130</v>
      </c>
      <c r="E1735" s="68"/>
      <c r="F1735" s="68"/>
      <c r="G1735" s="68"/>
      <c r="H1735" s="68"/>
      <c r="I1735" s="68"/>
      <c r="J1735" s="78"/>
      <c r="K1735" s="68"/>
      <c r="L1735" s="68"/>
      <c r="M1735" s="68"/>
      <c r="N1735" s="68"/>
      <c r="O1735" s="68"/>
      <c r="P1735" s="68"/>
      <c r="Q1735" s="68"/>
      <c r="R1735" s="68"/>
      <c r="S1735" s="68"/>
      <c r="T1735" s="68"/>
      <c r="U1735" s="68"/>
      <c r="V1735" s="68"/>
      <c r="W1735" s="68"/>
      <c r="X1735" s="68"/>
      <c r="Y1735" s="68"/>
      <c r="Z1735" s="68"/>
      <c r="AA1735" s="68"/>
      <c r="AB1735" s="68"/>
      <c r="AC1735" s="68"/>
      <c r="AD1735" s="68"/>
      <c r="AE1735" s="68"/>
    </row>
    <row r="1736" ht="26.25" customHeight="1">
      <c r="A1736" s="68"/>
      <c r="B1736" s="68"/>
      <c r="C1736" s="61" t="s">
        <v>129</v>
      </c>
      <c r="D1736" s="61" t="s">
        <v>130</v>
      </c>
      <c r="E1736" s="68"/>
      <c r="F1736" s="68"/>
      <c r="G1736" s="68"/>
      <c r="H1736" s="68"/>
      <c r="I1736" s="68"/>
      <c r="J1736" s="78"/>
      <c r="K1736" s="68"/>
      <c r="L1736" s="68"/>
      <c r="M1736" s="68"/>
      <c r="N1736" s="68"/>
      <c r="O1736" s="68"/>
      <c r="P1736" s="68"/>
      <c r="Q1736" s="68"/>
      <c r="R1736" s="68"/>
      <c r="S1736" s="68"/>
      <c r="T1736" s="68"/>
      <c r="U1736" s="68"/>
      <c r="V1736" s="68"/>
      <c r="W1736" s="68"/>
      <c r="X1736" s="68"/>
      <c r="Y1736" s="68"/>
      <c r="Z1736" s="68"/>
      <c r="AA1736" s="68"/>
      <c r="AB1736" s="68"/>
      <c r="AC1736" s="68"/>
      <c r="AD1736" s="68"/>
      <c r="AE1736" s="68"/>
    </row>
    <row r="1737" ht="26.25" customHeight="1">
      <c r="A1737" s="68"/>
      <c r="B1737" s="68"/>
      <c r="C1737" s="61" t="s">
        <v>129</v>
      </c>
      <c r="D1737" s="61" t="s">
        <v>130</v>
      </c>
      <c r="E1737" s="68"/>
      <c r="F1737" s="68"/>
      <c r="G1737" s="68"/>
      <c r="H1737" s="68"/>
      <c r="I1737" s="68"/>
      <c r="J1737" s="78"/>
      <c r="K1737" s="68"/>
      <c r="L1737" s="68"/>
      <c r="M1737" s="68"/>
      <c r="N1737" s="68"/>
      <c r="O1737" s="68"/>
      <c r="P1737" s="68"/>
      <c r="Q1737" s="68"/>
      <c r="R1737" s="68"/>
      <c r="S1737" s="68"/>
      <c r="T1737" s="68"/>
      <c r="U1737" s="68"/>
      <c r="V1737" s="68"/>
      <c r="W1737" s="68"/>
      <c r="X1737" s="68"/>
      <c r="Y1737" s="68"/>
      <c r="Z1737" s="68"/>
      <c r="AA1737" s="68"/>
      <c r="AB1737" s="68"/>
      <c r="AC1737" s="68"/>
      <c r="AD1737" s="68"/>
      <c r="AE1737" s="68"/>
    </row>
    <row r="1738" ht="26.25" customHeight="1">
      <c r="A1738" s="68"/>
      <c r="B1738" s="68"/>
      <c r="C1738" s="61" t="s">
        <v>129</v>
      </c>
      <c r="D1738" s="61" t="s">
        <v>130</v>
      </c>
      <c r="E1738" s="68"/>
      <c r="F1738" s="68"/>
      <c r="G1738" s="68"/>
      <c r="H1738" s="68"/>
      <c r="I1738" s="68"/>
      <c r="J1738" s="78"/>
      <c r="K1738" s="68"/>
      <c r="L1738" s="68"/>
      <c r="M1738" s="68"/>
      <c r="N1738" s="68"/>
      <c r="O1738" s="68"/>
      <c r="P1738" s="68"/>
      <c r="Q1738" s="68"/>
      <c r="R1738" s="68"/>
      <c r="S1738" s="68"/>
      <c r="T1738" s="68"/>
      <c r="U1738" s="68"/>
      <c r="V1738" s="68"/>
      <c r="W1738" s="68"/>
      <c r="X1738" s="68"/>
      <c r="Y1738" s="68"/>
      <c r="Z1738" s="68"/>
      <c r="AA1738" s="68"/>
      <c r="AB1738" s="68"/>
      <c r="AC1738" s="68"/>
      <c r="AD1738" s="68"/>
      <c r="AE1738" s="68"/>
    </row>
    <row r="1739" ht="26.25" customHeight="1">
      <c r="A1739" s="68"/>
      <c r="B1739" s="68"/>
      <c r="C1739" s="61" t="s">
        <v>129</v>
      </c>
      <c r="D1739" s="61" t="s">
        <v>130</v>
      </c>
      <c r="E1739" s="68"/>
      <c r="F1739" s="68"/>
      <c r="G1739" s="68"/>
      <c r="H1739" s="68"/>
      <c r="I1739" s="68"/>
      <c r="J1739" s="78"/>
      <c r="K1739" s="68"/>
      <c r="L1739" s="68"/>
      <c r="M1739" s="68"/>
      <c r="N1739" s="68"/>
      <c r="O1739" s="68"/>
      <c r="P1739" s="68"/>
      <c r="Q1739" s="68"/>
      <c r="R1739" s="68"/>
      <c r="S1739" s="68"/>
      <c r="T1739" s="68"/>
      <c r="U1739" s="68"/>
      <c r="V1739" s="68"/>
      <c r="W1739" s="68"/>
      <c r="X1739" s="68"/>
      <c r="Y1739" s="68"/>
      <c r="Z1739" s="68"/>
      <c r="AA1739" s="68"/>
      <c r="AB1739" s="68"/>
      <c r="AC1739" s="68"/>
      <c r="AD1739" s="68"/>
      <c r="AE1739" s="68"/>
    </row>
    <row r="1740" ht="26.25" customHeight="1">
      <c r="A1740" s="68"/>
      <c r="B1740" s="68"/>
      <c r="C1740" s="61" t="s">
        <v>129</v>
      </c>
      <c r="D1740" s="61" t="s">
        <v>130</v>
      </c>
      <c r="E1740" s="68"/>
      <c r="F1740" s="68"/>
      <c r="G1740" s="68"/>
      <c r="H1740" s="68"/>
      <c r="I1740" s="68"/>
      <c r="J1740" s="78"/>
      <c r="K1740" s="68"/>
      <c r="L1740" s="68"/>
      <c r="M1740" s="68"/>
      <c r="N1740" s="68"/>
      <c r="O1740" s="68"/>
      <c r="P1740" s="68"/>
      <c r="Q1740" s="68"/>
      <c r="R1740" s="68"/>
      <c r="S1740" s="68"/>
      <c r="T1740" s="68"/>
      <c r="U1740" s="68"/>
      <c r="V1740" s="68"/>
      <c r="W1740" s="68"/>
      <c r="X1740" s="68"/>
      <c r="Y1740" s="68"/>
      <c r="Z1740" s="68"/>
      <c r="AA1740" s="68"/>
      <c r="AB1740" s="68"/>
      <c r="AC1740" s="68"/>
      <c r="AD1740" s="68"/>
      <c r="AE1740" s="68"/>
    </row>
    <row r="1741" ht="26.25" customHeight="1">
      <c r="A1741" s="68"/>
      <c r="B1741" s="68"/>
      <c r="C1741" s="61" t="s">
        <v>129</v>
      </c>
      <c r="D1741" s="61" t="s">
        <v>130</v>
      </c>
      <c r="E1741" s="68"/>
      <c r="F1741" s="68"/>
      <c r="G1741" s="68"/>
      <c r="H1741" s="68"/>
      <c r="I1741" s="68"/>
      <c r="J1741" s="78"/>
      <c r="K1741" s="68"/>
      <c r="L1741" s="68"/>
      <c r="M1741" s="68"/>
      <c r="N1741" s="68"/>
      <c r="O1741" s="68"/>
      <c r="P1741" s="68"/>
      <c r="Q1741" s="68"/>
      <c r="R1741" s="68"/>
      <c r="S1741" s="68"/>
      <c r="T1741" s="68"/>
      <c r="U1741" s="68"/>
      <c r="V1741" s="68"/>
      <c r="W1741" s="68"/>
      <c r="X1741" s="68"/>
      <c r="Y1741" s="68"/>
      <c r="Z1741" s="68"/>
      <c r="AA1741" s="68"/>
      <c r="AB1741" s="68"/>
      <c r="AC1741" s="68"/>
      <c r="AD1741" s="68"/>
      <c r="AE1741" s="68"/>
    </row>
    <row r="1742" ht="26.25" customHeight="1">
      <c r="A1742" s="68"/>
      <c r="B1742" s="68"/>
      <c r="C1742" s="61" t="s">
        <v>129</v>
      </c>
      <c r="D1742" s="61" t="s">
        <v>130</v>
      </c>
      <c r="E1742" s="68"/>
      <c r="F1742" s="68"/>
      <c r="G1742" s="68"/>
      <c r="H1742" s="68"/>
      <c r="I1742" s="68"/>
      <c r="J1742" s="78"/>
      <c r="K1742" s="68"/>
      <c r="L1742" s="68"/>
      <c r="M1742" s="68"/>
      <c r="N1742" s="68"/>
      <c r="O1742" s="68"/>
      <c r="P1742" s="68"/>
      <c r="Q1742" s="68"/>
      <c r="R1742" s="68"/>
      <c r="S1742" s="68"/>
      <c r="T1742" s="68"/>
      <c r="U1742" s="68"/>
      <c r="V1742" s="68"/>
      <c r="W1742" s="68"/>
      <c r="X1742" s="68"/>
      <c r="Y1742" s="68"/>
      <c r="Z1742" s="68"/>
      <c r="AA1742" s="68"/>
      <c r="AB1742" s="68"/>
      <c r="AC1742" s="68"/>
      <c r="AD1742" s="68"/>
      <c r="AE1742" s="68"/>
    </row>
    <row r="1743" ht="26.25" customHeight="1">
      <c r="A1743" s="68"/>
      <c r="B1743" s="68"/>
      <c r="C1743" s="61" t="s">
        <v>129</v>
      </c>
      <c r="D1743" s="61" t="s">
        <v>130</v>
      </c>
      <c r="E1743" s="68"/>
      <c r="F1743" s="68"/>
      <c r="G1743" s="68"/>
      <c r="H1743" s="68"/>
      <c r="I1743" s="68"/>
      <c r="J1743" s="78"/>
      <c r="K1743" s="68"/>
      <c r="L1743" s="68"/>
      <c r="M1743" s="68"/>
      <c r="N1743" s="68"/>
      <c r="O1743" s="68"/>
      <c r="P1743" s="68"/>
      <c r="Q1743" s="68"/>
      <c r="R1743" s="68"/>
      <c r="S1743" s="68"/>
      <c r="T1743" s="68"/>
      <c r="U1743" s="68"/>
      <c r="V1743" s="68"/>
      <c r="W1743" s="68"/>
      <c r="X1743" s="68"/>
      <c r="Y1743" s="68"/>
      <c r="Z1743" s="68"/>
      <c r="AA1743" s="68"/>
      <c r="AB1743" s="68"/>
      <c r="AC1743" s="68"/>
      <c r="AD1743" s="68"/>
      <c r="AE1743" s="68"/>
    </row>
    <row r="1744" ht="26.25" customHeight="1">
      <c r="A1744" s="68"/>
      <c r="B1744" s="68"/>
      <c r="C1744" s="61" t="s">
        <v>129</v>
      </c>
      <c r="D1744" s="61" t="s">
        <v>130</v>
      </c>
      <c r="E1744" s="68"/>
      <c r="F1744" s="68"/>
      <c r="G1744" s="68"/>
      <c r="H1744" s="68"/>
      <c r="I1744" s="68"/>
      <c r="J1744" s="78"/>
      <c r="K1744" s="68"/>
      <c r="L1744" s="68"/>
      <c r="M1744" s="68"/>
      <c r="N1744" s="68"/>
      <c r="O1744" s="68"/>
      <c r="P1744" s="68"/>
      <c r="Q1744" s="68"/>
      <c r="R1744" s="68"/>
      <c r="S1744" s="68"/>
      <c r="T1744" s="68"/>
      <c r="U1744" s="68"/>
      <c r="V1744" s="68"/>
      <c r="W1744" s="68"/>
      <c r="X1744" s="68"/>
      <c r="Y1744" s="68"/>
      <c r="Z1744" s="68"/>
      <c r="AA1744" s="68"/>
      <c r="AB1744" s="68"/>
      <c r="AC1744" s="68"/>
      <c r="AD1744" s="68"/>
      <c r="AE1744" s="68"/>
    </row>
    <row r="1745" ht="26.25" customHeight="1">
      <c r="A1745" s="68"/>
      <c r="B1745" s="68"/>
      <c r="C1745" s="61" t="s">
        <v>129</v>
      </c>
      <c r="D1745" s="61" t="s">
        <v>130</v>
      </c>
      <c r="E1745" s="68"/>
      <c r="F1745" s="68"/>
      <c r="G1745" s="68"/>
      <c r="H1745" s="68"/>
      <c r="I1745" s="68"/>
      <c r="J1745" s="78"/>
      <c r="K1745" s="68"/>
      <c r="L1745" s="68"/>
      <c r="M1745" s="68"/>
      <c r="N1745" s="68"/>
      <c r="O1745" s="68"/>
      <c r="P1745" s="68"/>
      <c r="Q1745" s="68"/>
      <c r="R1745" s="68"/>
      <c r="S1745" s="68"/>
      <c r="T1745" s="68"/>
      <c r="U1745" s="68"/>
      <c r="V1745" s="68"/>
      <c r="W1745" s="68"/>
      <c r="X1745" s="68"/>
      <c r="Y1745" s="68"/>
      <c r="Z1745" s="68"/>
      <c r="AA1745" s="68"/>
      <c r="AB1745" s="68"/>
      <c r="AC1745" s="68"/>
      <c r="AD1745" s="68"/>
      <c r="AE1745" s="68"/>
    </row>
    <row r="1746" ht="26.25" customHeight="1">
      <c r="A1746" s="68"/>
      <c r="B1746" s="68"/>
      <c r="C1746" s="61" t="s">
        <v>129</v>
      </c>
      <c r="D1746" s="61" t="s">
        <v>130</v>
      </c>
      <c r="E1746" s="68"/>
      <c r="F1746" s="68"/>
      <c r="G1746" s="68"/>
      <c r="H1746" s="68"/>
      <c r="I1746" s="68"/>
      <c r="J1746" s="78"/>
      <c r="K1746" s="68"/>
      <c r="L1746" s="68"/>
      <c r="M1746" s="68"/>
      <c r="N1746" s="68"/>
      <c r="O1746" s="68"/>
      <c r="P1746" s="68"/>
      <c r="Q1746" s="68"/>
      <c r="R1746" s="68"/>
      <c r="S1746" s="68"/>
      <c r="T1746" s="68"/>
      <c r="U1746" s="68"/>
      <c r="V1746" s="68"/>
      <c r="W1746" s="68"/>
      <c r="X1746" s="68"/>
      <c r="Y1746" s="68"/>
      <c r="Z1746" s="68"/>
      <c r="AA1746" s="68"/>
      <c r="AB1746" s="68"/>
      <c r="AC1746" s="68"/>
      <c r="AD1746" s="68"/>
      <c r="AE1746" s="68"/>
    </row>
    <row r="1747" ht="26.25" customHeight="1">
      <c r="A1747" s="68"/>
      <c r="B1747" s="68"/>
      <c r="C1747" s="61" t="s">
        <v>129</v>
      </c>
      <c r="D1747" s="61" t="s">
        <v>130</v>
      </c>
      <c r="E1747" s="68"/>
      <c r="F1747" s="68"/>
      <c r="G1747" s="68"/>
      <c r="H1747" s="68"/>
      <c r="I1747" s="68"/>
      <c r="J1747" s="78"/>
      <c r="K1747" s="68"/>
      <c r="L1747" s="68"/>
      <c r="M1747" s="68"/>
      <c r="N1747" s="68"/>
      <c r="O1747" s="68"/>
      <c r="P1747" s="68"/>
      <c r="Q1747" s="68"/>
      <c r="R1747" s="68"/>
      <c r="S1747" s="68"/>
      <c r="T1747" s="68"/>
      <c r="U1747" s="68"/>
      <c r="V1747" s="68"/>
      <c r="W1747" s="68"/>
      <c r="X1747" s="68"/>
      <c r="Y1747" s="68"/>
      <c r="Z1747" s="68"/>
      <c r="AA1747" s="68"/>
      <c r="AB1747" s="68"/>
      <c r="AC1747" s="68"/>
      <c r="AD1747" s="68"/>
      <c r="AE1747" s="68"/>
    </row>
    <row r="1748" ht="26.25" customHeight="1">
      <c r="A1748" s="68"/>
      <c r="B1748" s="68"/>
      <c r="C1748" s="61" t="s">
        <v>129</v>
      </c>
      <c r="D1748" s="61" t="s">
        <v>130</v>
      </c>
      <c r="E1748" s="68"/>
      <c r="F1748" s="68"/>
      <c r="G1748" s="68"/>
      <c r="H1748" s="68"/>
      <c r="I1748" s="68"/>
      <c r="J1748" s="78"/>
      <c r="K1748" s="68"/>
      <c r="L1748" s="68"/>
      <c r="M1748" s="68"/>
      <c r="N1748" s="68"/>
      <c r="O1748" s="68"/>
      <c r="P1748" s="68"/>
      <c r="Q1748" s="68"/>
      <c r="R1748" s="68"/>
      <c r="S1748" s="68"/>
      <c r="T1748" s="68"/>
      <c r="U1748" s="68"/>
      <c r="V1748" s="68"/>
      <c r="W1748" s="68"/>
      <c r="X1748" s="68"/>
      <c r="Y1748" s="68"/>
      <c r="Z1748" s="68"/>
      <c r="AA1748" s="68"/>
      <c r="AB1748" s="68"/>
      <c r="AC1748" s="68"/>
      <c r="AD1748" s="68"/>
      <c r="AE1748" s="68"/>
    </row>
    <row r="1749" ht="26.25" customHeight="1">
      <c r="A1749" s="68"/>
      <c r="B1749" s="68"/>
      <c r="C1749" s="61" t="s">
        <v>129</v>
      </c>
      <c r="D1749" s="61" t="s">
        <v>130</v>
      </c>
      <c r="E1749" s="68"/>
      <c r="F1749" s="68"/>
      <c r="G1749" s="68"/>
      <c r="H1749" s="68"/>
      <c r="I1749" s="68"/>
      <c r="J1749" s="78"/>
      <c r="K1749" s="68"/>
      <c r="L1749" s="68"/>
      <c r="M1749" s="68"/>
      <c r="N1749" s="68"/>
      <c r="O1749" s="68"/>
      <c r="P1749" s="68"/>
      <c r="Q1749" s="68"/>
      <c r="R1749" s="68"/>
      <c r="S1749" s="68"/>
      <c r="T1749" s="68"/>
      <c r="U1749" s="68"/>
      <c r="V1749" s="68"/>
      <c r="W1749" s="68"/>
      <c r="X1749" s="68"/>
      <c r="Y1749" s="68"/>
      <c r="Z1749" s="68"/>
      <c r="AA1749" s="68"/>
      <c r="AB1749" s="68"/>
      <c r="AC1749" s="68"/>
      <c r="AD1749" s="68"/>
      <c r="AE1749" s="68"/>
    </row>
    <row r="1750" ht="26.25" customHeight="1">
      <c r="A1750" s="68"/>
      <c r="B1750" s="68"/>
      <c r="C1750" s="61" t="s">
        <v>129</v>
      </c>
      <c r="D1750" s="61" t="s">
        <v>130</v>
      </c>
      <c r="E1750" s="68"/>
      <c r="F1750" s="68"/>
      <c r="G1750" s="68"/>
      <c r="H1750" s="68"/>
      <c r="I1750" s="68"/>
      <c r="J1750" s="78"/>
      <c r="K1750" s="68"/>
      <c r="L1750" s="68"/>
      <c r="M1750" s="68"/>
      <c r="N1750" s="68"/>
      <c r="O1750" s="68"/>
      <c r="P1750" s="68"/>
      <c r="Q1750" s="68"/>
      <c r="R1750" s="68"/>
      <c r="S1750" s="68"/>
      <c r="T1750" s="68"/>
      <c r="U1750" s="68"/>
      <c r="V1750" s="68"/>
      <c r="W1750" s="68"/>
      <c r="X1750" s="68"/>
      <c r="Y1750" s="68"/>
      <c r="Z1750" s="68"/>
      <c r="AA1750" s="68"/>
      <c r="AB1750" s="68"/>
      <c r="AC1750" s="68"/>
      <c r="AD1750" s="68"/>
      <c r="AE1750" s="68"/>
    </row>
    <row r="1751" ht="26.25" customHeight="1">
      <c r="A1751" s="68"/>
      <c r="B1751" s="68"/>
      <c r="C1751" s="61" t="s">
        <v>129</v>
      </c>
      <c r="D1751" s="61" t="s">
        <v>130</v>
      </c>
      <c r="E1751" s="68"/>
      <c r="F1751" s="68"/>
      <c r="G1751" s="68"/>
      <c r="H1751" s="68"/>
      <c r="I1751" s="68"/>
      <c r="J1751" s="78"/>
      <c r="K1751" s="68"/>
      <c r="L1751" s="68"/>
      <c r="M1751" s="68"/>
      <c r="N1751" s="68"/>
      <c r="O1751" s="68"/>
      <c r="P1751" s="68"/>
      <c r="Q1751" s="68"/>
      <c r="R1751" s="68"/>
      <c r="S1751" s="68"/>
      <c r="T1751" s="68"/>
      <c r="U1751" s="68"/>
      <c r="V1751" s="68"/>
      <c r="W1751" s="68"/>
      <c r="X1751" s="68"/>
      <c r="Y1751" s="68"/>
      <c r="Z1751" s="68"/>
      <c r="AA1751" s="68"/>
      <c r="AB1751" s="68"/>
      <c r="AC1751" s="68"/>
      <c r="AD1751" s="68"/>
      <c r="AE1751" s="68"/>
    </row>
    <row r="1752" ht="26.25" customHeight="1">
      <c r="A1752" s="68"/>
      <c r="B1752" s="68"/>
      <c r="C1752" s="61" t="s">
        <v>129</v>
      </c>
      <c r="D1752" s="61" t="s">
        <v>130</v>
      </c>
      <c r="E1752" s="68"/>
      <c r="F1752" s="68"/>
      <c r="G1752" s="68"/>
      <c r="H1752" s="68"/>
      <c r="I1752" s="68"/>
      <c r="J1752" s="78"/>
      <c r="K1752" s="68"/>
      <c r="L1752" s="68"/>
      <c r="M1752" s="68"/>
      <c r="N1752" s="68"/>
      <c r="O1752" s="68"/>
      <c r="P1752" s="68"/>
      <c r="Q1752" s="68"/>
      <c r="R1752" s="68"/>
      <c r="S1752" s="68"/>
      <c r="T1752" s="68"/>
      <c r="U1752" s="68"/>
      <c r="V1752" s="68"/>
      <c r="W1752" s="68"/>
      <c r="X1752" s="68"/>
      <c r="Y1752" s="68"/>
      <c r="Z1752" s="68"/>
      <c r="AA1752" s="68"/>
      <c r="AB1752" s="68"/>
      <c r="AC1752" s="68"/>
      <c r="AD1752" s="68"/>
      <c r="AE1752" s="68"/>
    </row>
    <row r="1753" ht="26.25" customHeight="1">
      <c r="A1753" s="68"/>
      <c r="B1753" s="68"/>
      <c r="C1753" s="61" t="s">
        <v>129</v>
      </c>
      <c r="D1753" s="61" t="s">
        <v>130</v>
      </c>
      <c r="E1753" s="68"/>
      <c r="F1753" s="68"/>
      <c r="G1753" s="68"/>
      <c r="H1753" s="68"/>
      <c r="I1753" s="68"/>
      <c r="J1753" s="78"/>
      <c r="K1753" s="68"/>
      <c r="L1753" s="68"/>
      <c r="M1753" s="68"/>
      <c r="N1753" s="68"/>
      <c r="O1753" s="68"/>
      <c r="P1753" s="68"/>
      <c r="Q1753" s="68"/>
      <c r="R1753" s="68"/>
      <c r="S1753" s="68"/>
      <c r="T1753" s="68"/>
      <c r="U1753" s="68"/>
      <c r="V1753" s="68"/>
      <c r="W1753" s="68"/>
      <c r="X1753" s="68"/>
      <c r="Y1753" s="68"/>
      <c r="Z1753" s="68"/>
      <c r="AA1753" s="68"/>
      <c r="AB1753" s="68"/>
      <c r="AC1753" s="68"/>
      <c r="AD1753" s="68"/>
      <c r="AE1753" s="68"/>
    </row>
    <row r="1754" ht="26.25" customHeight="1">
      <c r="A1754" s="68"/>
      <c r="B1754" s="68"/>
      <c r="C1754" s="61" t="s">
        <v>129</v>
      </c>
      <c r="D1754" s="61" t="s">
        <v>130</v>
      </c>
      <c r="E1754" s="68"/>
      <c r="F1754" s="68"/>
      <c r="G1754" s="68"/>
      <c r="H1754" s="68"/>
      <c r="I1754" s="68"/>
      <c r="J1754" s="78"/>
      <c r="K1754" s="68"/>
      <c r="L1754" s="68"/>
      <c r="M1754" s="68"/>
      <c r="N1754" s="68"/>
      <c r="O1754" s="68"/>
      <c r="P1754" s="68"/>
      <c r="Q1754" s="68"/>
      <c r="R1754" s="68"/>
      <c r="S1754" s="68"/>
      <c r="T1754" s="68"/>
      <c r="U1754" s="68"/>
      <c r="V1754" s="68"/>
      <c r="W1754" s="68"/>
      <c r="X1754" s="68"/>
      <c r="Y1754" s="68"/>
      <c r="Z1754" s="68"/>
      <c r="AA1754" s="68"/>
      <c r="AB1754" s="68"/>
      <c r="AC1754" s="68"/>
      <c r="AD1754" s="68"/>
      <c r="AE1754" s="68"/>
    </row>
    <row r="1755" ht="26.25" customHeight="1">
      <c r="A1755" s="68"/>
      <c r="B1755" s="68"/>
      <c r="C1755" s="61" t="s">
        <v>129</v>
      </c>
      <c r="D1755" s="61" t="s">
        <v>130</v>
      </c>
      <c r="E1755" s="68"/>
      <c r="F1755" s="68"/>
      <c r="G1755" s="68"/>
      <c r="H1755" s="68"/>
      <c r="I1755" s="68"/>
      <c r="J1755" s="78"/>
      <c r="K1755" s="68"/>
      <c r="L1755" s="68"/>
      <c r="M1755" s="68"/>
      <c r="N1755" s="68"/>
      <c r="O1755" s="68"/>
      <c r="P1755" s="68"/>
      <c r="Q1755" s="68"/>
      <c r="R1755" s="68"/>
      <c r="S1755" s="68"/>
      <c r="T1755" s="68"/>
      <c r="U1755" s="68"/>
      <c r="V1755" s="68"/>
      <c r="W1755" s="68"/>
      <c r="X1755" s="68"/>
      <c r="Y1755" s="68"/>
      <c r="Z1755" s="68"/>
      <c r="AA1755" s="68"/>
      <c r="AB1755" s="68"/>
      <c r="AC1755" s="68"/>
      <c r="AD1755" s="68"/>
      <c r="AE1755" s="68"/>
    </row>
    <row r="1756" ht="26.25" customHeight="1">
      <c r="A1756" s="68"/>
      <c r="B1756" s="68"/>
      <c r="C1756" s="61" t="s">
        <v>129</v>
      </c>
      <c r="D1756" s="61" t="s">
        <v>130</v>
      </c>
      <c r="E1756" s="68"/>
      <c r="F1756" s="68"/>
      <c r="G1756" s="68"/>
      <c r="H1756" s="68"/>
      <c r="I1756" s="68"/>
      <c r="J1756" s="78"/>
      <c r="K1756" s="68"/>
      <c r="L1756" s="68"/>
      <c r="M1756" s="68"/>
      <c r="N1756" s="68"/>
      <c r="O1756" s="68"/>
      <c r="P1756" s="68"/>
      <c r="Q1756" s="68"/>
      <c r="R1756" s="68"/>
      <c r="S1756" s="68"/>
      <c r="T1756" s="68"/>
      <c r="U1756" s="68"/>
      <c r="V1756" s="68"/>
      <c r="W1756" s="68"/>
      <c r="X1756" s="68"/>
      <c r="Y1756" s="68"/>
      <c r="Z1756" s="68"/>
      <c r="AA1756" s="68"/>
      <c r="AB1756" s="68"/>
      <c r="AC1756" s="68"/>
      <c r="AD1756" s="68"/>
      <c r="AE1756" s="68"/>
    </row>
    <row r="1757" ht="26.25" customHeight="1">
      <c r="A1757" s="68"/>
      <c r="B1757" s="68"/>
      <c r="C1757" s="61" t="s">
        <v>129</v>
      </c>
      <c r="D1757" s="61" t="s">
        <v>130</v>
      </c>
      <c r="E1757" s="68"/>
      <c r="F1757" s="68"/>
      <c r="G1757" s="68"/>
      <c r="H1757" s="68"/>
      <c r="I1757" s="68"/>
      <c r="J1757" s="78"/>
      <c r="K1757" s="68"/>
      <c r="L1757" s="68"/>
      <c r="M1757" s="68"/>
      <c r="N1757" s="68"/>
      <c r="O1757" s="68"/>
      <c r="P1757" s="68"/>
      <c r="Q1757" s="68"/>
      <c r="R1757" s="68"/>
      <c r="S1757" s="68"/>
      <c r="T1757" s="68"/>
      <c r="U1757" s="68"/>
      <c r="V1757" s="68"/>
      <c r="W1757" s="68"/>
      <c r="X1757" s="68"/>
      <c r="Y1757" s="68"/>
      <c r="Z1757" s="68"/>
      <c r="AA1757" s="68"/>
      <c r="AB1757" s="68"/>
      <c r="AC1757" s="68"/>
      <c r="AD1757" s="68"/>
      <c r="AE1757" s="68"/>
    </row>
    <row r="1758" ht="26.25" customHeight="1">
      <c r="A1758" s="68"/>
      <c r="B1758" s="68"/>
      <c r="C1758" s="61" t="s">
        <v>129</v>
      </c>
      <c r="D1758" s="61" t="s">
        <v>130</v>
      </c>
      <c r="E1758" s="68"/>
      <c r="F1758" s="68"/>
      <c r="G1758" s="68"/>
      <c r="H1758" s="68"/>
      <c r="I1758" s="68"/>
      <c r="J1758" s="78"/>
      <c r="K1758" s="68"/>
      <c r="L1758" s="68"/>
      <c r="M1758" s="68"/>
      <c r="N1758" s="68"/>
      <c r="O1758" s="68"/>
      <c r="P1758" s="68"/>
      <c r="Q1758" s="68"/>
      <c r="R1758" s="68"/>
      <c r="S1758" s="68"/>
      <c r="T1758" s="68"/>
      <c r="U1758" s="68"/>
      <c r="V1758" s="68"/>
      <c r="W1758" s="68"/>
      <c r="X1758" s="68"/>
      <c r="Y1758" s="68"/>
      <c r="Z1758" s="68"/>
      <c r="AA1758" s="68"/>
      <c r="AB1758" s="68"/>
      <c r="AC1758" s="68"/>
      <c r="AD1758" s="68"/>
      <c r="AE1758" s="68"/>
    </row>
    <row r="1759" ht="26.25" customHeight="1">
      <c r="A1759" s="68"/>
      <c r="B1759" s="68"/>
      <c r="C1759" s="61" t="s">
        <v>129</v>
      </c>
      <c r="D1759" s="61" t="s">
        <v>130</v>
      </c>
      <c r="E1759" s="68"/>
      <c r="F1759" s="68"/>
      <c r="G1759" s="68"/>
      <c r="H1759" s="68"/>
      <c r="I1759" s="68"/>
      <c r="J1759" s="78"/>
      <c r="K1759" s="68"/>
      <c r="L1759" s="68"/>
      <c r="M1759" s="68"/>
      <c r="N1759" s="68"/>
      <c r="O1759" s="68"/>
      <c r="P1759" s="68"/>
      <c r="Q1759" s="68"/>
      <c r="R1759" s="68"/>
      <c r="S1759" s="68"/>
      <c r="T1759" s="68"/>
      <c r="U1759" s="68"/>
      <c r="V1759" s="68"/>
      <c r="W1759" s="68"/>
      <c r="X1759" s="68"/>
      <c r="Y1759" s="68"/>
      <c r="Z1759" s="68"/>
      <c r="AA1759" s="68"/>
      <c r="AB1759" s="68"/>
      <c r="AC1759" s="68"/>
      <c r="AD1759" s="68"/>
      <c r="AE1759" s="68"/>
    </row>
    <row r="1760" ht="26.25" customHeight="1">
      <c r="A1760" s="68"/>
      <c r="B1760" s="68"/>
      <c r="C1760" s="61" t="s">
        <v>129</v>
      </c>
      <c r="D1760" s="61" t="s">
        <v>130</v>
      </c>
      <c r="E1760" s="68"/>
      <c r="F1760" s="68"/>
      <c r="G1760" s="68"/>
      <c r="H1760" s="68"/>
      <c r="I1760" s="68"/>
      <c r="J1760" s="78"/>
      <c r="K1760" s="68"/>
      <c r="L1760" s="68"/>
      <c r="M1760" s="68"/>
      <c r="N1760" s="68"/>
      <c r="O1760" s="68"/>
      <c r="P1760" s="68"/>
      <c r="Q1760" s="68"/>
      <c r="R1760" s="68"/>
      <c r="S1760" s="68"/>
      <c r="T1760" s="68"/>
      <c r="U1760" s="68"/>
      <c r="V1760" s="68"/>
      <c r="W1760" s="68"/>
      <c r="X1760" s="68"/>
      <c r="Y1760" s="68"/>
      <c r="Z1760" s="68"/>
      <c r="AA1760" s="68"/>
      <c r="AB1760" s="68"/>
      <c r="AC1760" s="68"/>
      <c r="AD1760" s="68"/>
      <c r="AE1760" s="68"/>
    </row>
    <row r="1761" ht="26.25" customHeight="1">
      <c r="A1761" s="68"/>
      <c r="B1761" s="68"/>
      <c r="C1761" s="61" t="s">
        <v>129</v>
      </c>
      <c r="D1761" s="61" t="s">
        <v>130</v>
      </c>
      <c r="E1761" s="68"/>
      <c r="F1761" s="68"/>
      <c r="G1761" s="68"/>
      <c r="H1761" s="68"/>
      <c r="I1761" s="68"/>
      <c r="J1761" s="78"/>
      <c r="K1761" s="68"/>
      <c r="L1761" s="68"/>
      <c r="M1761" s="68"/>
      <c r="N1761" s="68"/>
      <c r="O1761" s="68"/>
      <c r="P1761" s="68"/>
      <c r="Q1761" s="68"/>
      <c r="R1761" s="68"/>
      <c r="S1761" s="68"/>
      <c r="T1761" s="68"/>
      <c r="U1761" s="68"/>
      <c r="V1761" s="68"/>
      <c r="W1761" s="68"/>
      <c r="X1761" s="68"/>
      <c r="Y1761" s="68"/>
      <c r="Z1761" s="68"/>
      <c r="AA1761" s="68"/>
      <c r="AB1761" s="68"/>
      <c r="AC1761" s="68"/>
      <c r="AD1761" s="68"/>
      <c r="AE1761" s="68"/>
    </row>
    <row r="1762" ht="26.25" customHeight="1">
      <c r="A1762" s="68"/>
      <c r="B1762" s="68"/>
      <c r="C1762" s="61" t="s">
        <v>129</v>
      </c>
      <c r="D1762" s="61" t="s">
        <v>130</v>
      </c>
      <c r="E1762" s="68"/>
      <c r="F1762" s="68"/>
      <c r="G1762" s="68"/>
      <c r="H1762" s="68"/>
      <c r="I1762" s="68"/>
      <c r="J1762" s="78"/>
      <c r="K1762" s="68"/>
      <c r="L1762" s="68"/>
      <c r="M1762" s="68"/>
      <c r="N1762" s="68"/>
      <c r="O1762" s="68"/>
      <c r="P1762" s="68"/>
      <c r="Q1762" s="68"/>
      <c r="R1762" s="68"/>
      <c r="S1762" s="68"/>
      <c r="T1762" s="68"/>
      <c r="U1762" s="68"/>
      <c r="V1762" s="68"/>
      <c r="W1762" s="68"/>
      <c r="X1762" s="68"/>
      <c r="Y1762" s="68"/>
      <c r="Z1762" s="68"/>
      <c r="AA1762" s="68"/>
      <c r="AB1762" s="68"/>
      <c r="AC1762" s="68"/>
      <c r="AD1762" s="68"/>
      <c r="AE1762" s="68"/>
    </row>
    <row r="1763" ht="26.25" customHeight="1">
      <c r="A1763" s="68"/>
      <c r="B1763" s="68"/>
      <c r="C1763" s="61" t="s">
        <v>129</v>
      </c>
      <c r="D1763" s="61" t="s">
        <v>130</v>
      </c>
      <c r="E1763" s="68"/>
      <c r="F1763" s="68"/>
      <c r="G1763" s="68"/>
      <c r="H1763" s="68"/>
      <c r="I1763" s="68"/>
      <c r="J1763" s="78"/>
      <c r="K1763" s="68"/>
      <c r="L1763" s="68"/>
      <c r="M1763" s="68"/>
      <c r="N1763" s="68"/>
      <c r="O1763" s="68"/>
      <c r="P1763" s="68"/>
      <c r="Q1763" s="68"/>
      <c r="R1763" s="68"/>
      <c r="S1763" s="68"/>
      <c r="T1763" s="68"/>
      <c r="U1763" s="68"/>
      <c r="V1763" s="68"/>
      <c r="W1763" s="68"/>
      <c r="X1763" s="68"/>
      <c r="Y1763" s="68"/>
      <c r="Z1763" s="68"/>
      <c r="AA1763" s="68"/>
      <c r="AB1763" s="68"/>
      <c r="AC1763" s="68"/>
      <c r="AD1763" s="68"/>
      <c r="AE1763" s="68"/>
    </row>
    <row r="1764" ht="26.25" customHeight="1">
      <c r="A1764" s="68"/>
      <c r="B1764" s="68"/>
      <c r="C1764" s="61" t="s">
        <v>129</v>
      </c>
      <c r="D1764" s="61" t="s">
        <v>130</v>
      </c>
      <c r="E1764" s="68"/>
      <c r="F1764" s="68"/>
      <c r="G1764" s="68"/>
      <c r="H1764" s="68"/>
      <c r="I1764" s="68"/>
      <c r="J1764" s="78"/>
      <c r="K1764" s="68"/>
      <c r="L1764" s="68"/>
      <c r="M1764" s="68"/>
      <c r="N1764" s="68"/>
      <c r="O1764" s="68"/>
      <c r="P1764" s="68"/>
      <c r="Q1764" s="68"/>
      <c r="R1764" s="68"/>
      <c r="S1764" s="68"/>
      <c r="T1764" s="68"/>
      <c r="U1764" s="68"/>
      <c r="V1764" s="68"/>
      <c r="W1764" s="68"/>
      <c r="X1764" s="68"/>
      <c r="Y1764" s="68"/>
      <c r="Z1764" s="68"/>
      <c r="AA1764" s="68"/>
      <c r="AB1764" s="68"/>
      <c r="AC1764" s="68"/>
      <c r="AD1764" s="68"/>
      <c r="AE1764" s="68"/>
    </row>
    <row r="1765" ht="26.25" customHeight="1">
      <c r="A1765" s="68"/>
      <c r="B1765" s="68"/>
      <c r="C1765" s="61" t="s">
        <v>129</v>
      </c>
      <c r="D1765" s="61" t="s">
        <v>130</v>
      </c>
      <c r="E1765" s="68"/>
      <c r="F1765" s="68"/>
      <c r="G1765" s="68"/>
      <c r="H1765" s="68"/>
      <c r="I1765" s="68"/>
      <c r="J1765" s="78"/>
      <c r="K1765" s="68"/>
      <c r="L1765" s="68"/>
      <c r="M1765" s="68"/>
      <c r="N1765" s="68"/>
      <c r="O1765" s="68"/>
      <c r="P1765" s="68"/>
      <c r="Q1765" s="68"/>
      <c r="R1765" s="68"/>
      <c r="S1765" s="68"/>
      <c r="T1765" s="68"/>
      <c r="U1765" s="68"/>
      <c r="V1765" s="68"/>
      <c r="W1765" s="68"/>
      <c r="X1765" s="68"/>
      <c r="Y1765" s="68"/>
      <c r="Z1765" s="68"/>
      <c r="AA1765" s="68"/>
      <c r="AB1765" s="68"/>
      <c r="AC1765" s="68"/>
      <c r="AD1765" s="68"/>
      <c r="AE1765" s="68"/>
    </row>
    <row r="1766" ht="26.25" customHeight="1">
      <c r="A1766" s="68"/>
      <c r="B1766" s="68"/>
      <c r="C1766" s="61" t="s">
        <v>129</v>
      </c>
      <c r="D1766" s="61" t="s">
        <v>130</v>
      </c>
      <c r="E1766" s="68"/>
      <c r="F1766" s="68"/>
      <c r="G1766" s="68"/>
      <c r="H1766" s="68"/>
      <c r="I1766" s="68"/>
      <c r="J1766" s="78"/>
      <c r="K1766" s="68"/>
      <c r="L1766" s="68"/>
      <c r="M1766" s="68"/>
      <c r="N1766" s="68"/>
      <c r="O1766" s="68"/>
      <c r="P1766" s="68"/>
      <c r="Q1766" s="68"/>
      <c r="R1766" s="68"/>
      <c r="S1766" s="68"/>
      <c r="T1766" s="68"/>
      <c r="U1766" s="68"/>
      <c r="V1766" s="68"/>
      <c r="W1766" s="68"/>
      <c r="X1766" s="68"/>
      <c r="Y1766" s="68"/>
      <c r="Z1766" s="68"/>
      <c r="AA1766" s="68"/>
      <c r="AB1766" s="68"/>
      <c r="AC1766" s="68"/>
      <c r="AD1766" s="68"/>
      <c r="AE1766" s="68"/>
    </row>
    <row r="1767" ht="26.25" customHeight="1">
      <c r="A1767" s="68"/>
      <c r="B1767" s="68"/>
      <c r="C1767" s="61" t="s">
        <v>129</v>
      </c>
      <c r="D1767" s="61" t="s">
        <v>130</v>
      </c>
      <c r="E1767" s="68"/>
      <c r="F1767" s="68"/>
      <c r="G1767" s="68"/>
      <c r="H1767" s="68"/>
      <c r="I1767" s="68"/>
      <c r="J1767" s="78"/>
      <c r="K1767" s="68"/>
      <c r="L1767" s="68"/>
      <c r="M1767" s="68"/>
      <c r="N1767" s="68"/>
      <c r="O1767" s="68"/>
      <c r="P1767" s="68"/>
      <c r="Q1767" s="68"/>
      <c r="R1767" s="68"/>
      <c r="S1767" s="68"/>
      <c r="T1767" s="68"/>
      <c r="U1767" s="68"/>
      <c r="V1767" s="68"/>
      <c r="W1767" s="68"/>
      <c r="X1767" s="68"/>
      <c r="Y1767" s="68"/>
      <c r="Z1767" s="68"/>
      <c r="AA1767" s="68"/>
      <c r="AB1767" s="68"/>
      <c r="AC1767" s="68"/>
      <c r="AD1767" s="68"/>
      <c r="AE1767" s="68"/>
    </row>
    <row r="1768" ht="26.25" customHeight="1">
      <c r="A1768" s="68"/>
      <c r="B1768" s="68"/>
      <c r="C1768" s="61" t="s">
        <v>129</v>
      </c>
      <c r="D1768" s="61" t="s">
        <v>130</v>
      </c>
      <c r="E1768" s="68"/>
      <c r="F1768" s="68"/>
      <c r="G1768" s="68"/>
      <c r="H1768" s="68"/>
      <c r="I1768" s="68"/>
      <c r="J1768" s="78"/>
      <c r="K1768" s="68"/>
      <c r="L1768" s="68"/>
      <c r="M1768" s="68"/>
      <c r="N1768" s="68"/>
      <c r="O1768" s="68"/>
      <c r="P1768" s="68"/>
      <c r="Q1768" s="68"/>
      <c r="R1768" s="68"/>
      <c r="S1768" s="68"/>
      <c r="T1768" s="68"/>
      <c r="U1768" s="68"/>
      <c r="V1768" s="68"/>
      <c r="W1768" s="68"/>
      <c r="X1768" s="68"/>
      <c r="Y1768" s="68"/>
      <c r="Z1768" s="68"/>
      <c r="AA1768" s="68"/>
      <c r="AB1768" s="68"/>
      <c r="AC1768" s="68"/>
      <c r="AD1768" s="68"/>
      <c r="AE1768" s="68"/>
    </row>
    <row r="1769" ht="26.25" customHeight="1">
      <c r="A1769" s="68"/>
      <c r="B1769" s="68"/>
      <c r="C1769" s="61" t="s">
        <v>129</v>
      </c>
      <c r="D1769" s="61" t="s">
        <v>130</v>
      </c>
      <c r="E1769" s="68"/>
      <c r="F1769" s="68"/>
      <c r="G1769" s="68"/>
      <c r="H1769" s="68"/>
      <c r="I1769" s="68"/>
      <c r="J1769" s="78"/>
      <c r="K1769" s="68"/>
      <c r="L1769" s="68"/>
      <c r="M1769" s="68"/>
      <c r="N1769" s="68"/>
      <c r="O1769" s="68"/>
      <c r="P1769" s="68"/>
      <c r="Q1769" s="68"/>
      <c r="R1769" s="68"/>
      <c r="S1769" s="68"/>
      <c r="T1769" s="68"/>
      <c r="U1769" s="68"/>
      <c r="V1769" s="68"/>
      <c r="W1769" s="68"/>
      <c r="X1769" s="68"/>
      <c r="Y1769" s="68"/>
      <c r="Z1769" s="68"/>
      <c r="AA1769" s="68"/>
      <c r="AB1769" s="68"/>
      <c r="AC1769" s="68"/>
      <c r="AD1769" s="68"/>
      <c r="AE1769" s="68"/>
    </row>
    <row r="1770" ht="26.25" customHeight="1">
      <c r="A1770" s="68"/>
      <c r="B1770" s="68"/>
      <c r="C1770" s="61" t="s">
        <v>129</v>
      </c>
      <c r="D1770" s="61" t="s">
        <v>130</v>
      </c>
      <c r="E1770" s="68"/>
      <c r="F1770" s="68"/>
      <c r="G1770" s="68"/>
      <c r="H1770" s="68"/>
      <c r="I1770" s="68"/>
      <c r="J1770" s="78"/>
      <c r="K1770" s="68"/>
      <c r="L1770" s="68"/>
      <c r="M1770" s="68"/>
      <c r="N1770" s="68"/>
      <c r="O1770" s="68"/>
      <c r="P1770" s="68"/>
      <c r="Q1770" s="68"/>
      <c r="R1770" s="68"/>
      <c r="S1770" s="68"/>
      <c r="T1770" s="68"/>
      <c r="U1770" s="68"/>
      <c r="V1770" s="68"/>
      <c r="W1770" s="68"/>
      <c r="X1770" s="68"/>
      <c r="Y1770" s="68"/>
      <c r="Z1770" s="68"/>
      <c r="AA1770" s="68"/>
      <c r="AB1770" s="68"/>
      <c r="AC1770" s="68"/>
      <c r="AD1770" s="68"/>
      <c r="AE1770" s="68"/>
    </row>
    <row r="1771" ht="26.25" customHeight="1">
      <c r="A1771" s="68"/>
      <c r="B1771" s="68"/>
      <c r="C1771" s="61" t="s">
        <v>129</v>
      </c>
      <c r="D1771" s="61" t="s">
        <v>130</v>
      </c>
      <c r="E1771" s="68"/>
      <c r="F1771" s="68"/>
      <c r="G1771" s="68"/>
      <c r="H1771" s="68"/>
      <c r="I1771" s="68"/>
      <c r="J1771" s="78"/>
      <c r="K1771" s="68"/>
      <c r="L1771" s="68"/>
      <c r="M1771" s="68"/>
      <c r="N1771" s="68"/>
      <c r="O1771" s="68"/>
      <c r="P1771" s="68"/>
      <c r="Q1771" s="68"/>
      <c r="R1771" s="68"/>
      <c r="S1771" s="68"/>
      <c r="T1771" s="68"/>
      <c r="U1771" s="68"/>
      <c r="V1771" s="68"/>
      <c r="W1771" s="68"/>
      <c r="X1771" s="68"/>
      <c r="Y1771" s="68"/>
      <c r="Z1771" s="68"/>
      <c r="AA1771" s="68"/>
      <c r="AB1771" s="68"/>
      <c r="AC1771" s="68"/>
      <c r="AD1771" s="68"/>
      <c r="AE1771" s="68"/>
    </row>
    <row r="1772" ht="26.25" customHeight="1">
      <c r="A1772" s="68"/>
      <c r="B1772" s="68"/>
      <c r="C1772" s="61" t="s">
        <v>129</v>
      </c>
      <c r="D1772" s="61" t="s">
        <v>130</v>
      </c>
      <c r="E1772" s="68"/>
      <c r="F1772" s="68"/>
      <c r="G1772" s="68"/>
      <c r="H1772" s="68"/>
      <c r="I1772" s="68"/>
      <c r="J1772" s="78"/>
      <c r="K1772" s="68"/>
      <c r="L1772" s="68"/>
      <c r="M1772" s="68"/>
      <c r="N1772" s="68"/>
      <c r="O1772" s="68"/>
      <c r="P1772" s="68"/>
      <c r="Q1772" s="68"/>
      <c r="R1772" s="68"/>
      <c r="S1772" s="68"/>
      <c r="T1772" s="68"/>
      <c r="U1772" s="68"/>
      <c r="V1772" s="68"/>
      <c r="W1772" s="68"/>
      <c r="X1772" s="68"/>
      <c r="Y1772" s="68"/>
      <c r="Z1772" s="68"/>
      <c r="AA1772" s="68"/>
      <c r="AB1772" s="68"/>
      <c r="AC1772" s="68"/>
      <c r="AD1772" s="68"/>
      <c r="AE1772" s="68"/>
    </row>
    <row r="1773" ht="26.25" customHeight="1">
      <c r="A1773" s="68"/>
      <c r="B1773" s="68"/>
      <c r="C1773" s="61" t="s">
        <v>129</v>
      </c>
      <c r="D1773" s="61" t="s">
        <v>130</v>
      </c>
      <c r="E1773" s="68"/>
      <c r="F1773" s="68"/>
      <c r="G1773" s="68"/>
      <c r="H1773" s="68"/>
      <c r="I1773" s="68"/>
      <c r="J1773" s="78"/>
      <c r="K1773" s="68"/>
      <c r="L1773" s="68"/>
      <c r="M1773" s="68"/>
      <c r="N1773" s="68"/>
      <c r="O1773" s="68"/>
      <c r="P1773" s="68"/>
      <c r="Q1773" s="68"/>
      <c r="R1773" s="68"/>
      <c r="S1773" s="68"/>
      <c r="T1773" s="68"/>
      <c r="U1773" s="68"/>
      <c r="V1773" s="68"/>
      <c r="W1773" s="68"/>
      <c r="X1773" s="68"/>
      <c r="Y1773" s="68"/>
      <c r="Z1773" s="68"/>
      <c r="AA1773" s="68"/>
      <c r="AB1773" s="68"/>
      <c r="AC1773" s="68"/>
      <c r="AD1773" s="68"/>
      <c r="AE1773" s="68"/>
    </row>
    <row r="1774" ht="26.25" customHeight="1">
      <c r="A1774" s="68"/>
      <c r="B1774" s="68"/>
      <c r="C1774" s="61" t="s">
        <v>129</v>
      </c>
      <c r="D1774" s="61" t="s">
        <v>130</v>
      </c>
      <c r="E1774" s="68"/>
      <c r="F1774" s="68"/>
      <c r="G1774" s="68"/>
      <c r="H1774" s="68"/>
      <c r="I1774" s="68"/>
      <c r="J1774" s="78"/>
      <c r="K1774" s="68"/>
      <c r="L1774" s="68"/>
      <c r="M1774" s="68"/>
      <c r="N1774" s="68"/>
      <c r="O1774" s="68"/>
      <c r="P1774" s="68"/>
      <c r="Q1774" s="68"/>
      <c r="R1774" s="68"/>
      <c r="S1774" s="68"/>
      <c r="T1774" s="68"/>
      <c r="U1774" s="68"/>
      <c r="V1774" s="68"/>
      <c r="W1774" s="68"/>
      <c r="X1774" s="68"/>
      <c r="Y1774" s="68"/>
      <c r="Z1774" s="68"/>
      <c r="AA1774" s="68"/>
      <c r="AB1774" s="68"/>
      <c r="AC1774" s="68"/>
      <c r="AD1774" s="68"/>
      <c r="AE1774" s="68"/>
    </row>
    <row r="1775" ht="26.25" customHeight="1">
      <c r="A1775" s="68"/>
      <c r="B1775" s="68"/>
      <c r="C1775" s="61" t="s">
        <v>129</v>
      </c>
      <c r="D1775" s="61" t="s">
        <v>130</v>
      </c>
      <c r="E1775" s="68"/>
      <c r="F1775" s="68"/>
      <c r="G1775" s="68"/>
      <c r="H1775" s="68"/>
      <c r="I1775" s="68"/>
      <c r="J1775" s="78"/>
      <c r="K1775" s="68"/>
      <c r="L1775" s="68"/>
      <c r="M1775" s="68"/>
      <c r="N1775" s="68"/>
      <c r="O1775" s="68"/>
      <c r="P1775" s="68"/>
      <c r="Q1775" s="68"/>
      <c r="R1775" s="68"/>
      <c r="S1775" s="68"/>
      <c r="T1775" s="68"/>
      <c r="U1775" s="68"/>
      <c r="V1775" s="68"/>
      <c r="W1775" s="68"/>
      <c r="X1775" s="68"/>
      <c r="Y1775" s="68"/>
      <c r="Z1775" s="68"/>
      <c r="AA1775" s="68"/>
      <c r="AB1775" s="68"/>
      <c r="AC1775" s="68"/>
      <c r="AD1775" s="68"/>
      <c r="AE1775" s="68"/>
    </row>
    <row r="1776" ht="26.25" customHeight="1">
      <c r="A1776" s="68"/>
      <c r="B1776" s="68"/>
      <c r="C1776" s="61" t="s">
        <v>129</v>
      </c>
      <c r="D1776" s="61" t="s">
        <v>130</v>
      </c>
      <c r="E1776" s="68"/>
      <c r="F1776" s="68"/>
      <c r="G1776" s="68"/>
      <c r="H1776" s="68"/>
      <c r="I1776" s="68"/>
      <c r="J1776" s="78"/>
      <c r="K1776" s="68"/>
      <c r="L1776" s="68"/>
      <c r="M1776" s="68"/>
      <c r="N1776" s="68"/>
      <c r="O1776" s="68"/>
      <c r="P1776" s="68"/>
      <c r="Q1776" s="68"/>
      <c r="R1776" s="68"/>
      <c r="S1776" s="68"/>
      <c r="T1776" s="68"/>
      <c r="U1776" s="68"/>
      <c r="V1776" s="68"/>
      <c r="W1776" s="68"/>
      <c r="X1776" s="68"/>
      <c r="Y1776" s="68"/>
      <c r="Z1776" s="68"/>
      <c r="AA1776" s="68"/>
      <c r="AB1776" s="68"/>
      <c r="AC1776" s="68"/>
      <c r="AD1776" s="68"/>
      <c r="AE1776" s="68"/>
    </row>
    <row r="1777" ht="26.25" customHeight="1">
      <c r="A1777" s="68"/>
      <c r="B1777" s="68"/>
      <c r="C1777" s="61" t="s">
        <v>129</v>
      </c>
      <c r="D1777" s="61" t="s">
        <v>130</v>
      </c>
      <c r="E1777" s="68"/>
      <c r="F1777" s="68"/>
      <c r="G1777" s="68"/>
      <c r="H1777" s="68"/>
      <c r="I1777" s="68"/>
      <c r="J1777" s="78"/>
      <c r="K1777" s="68"/>
      <c r="L1777" s="68"/>
      <c r="M1777" s="68"/>
      <c r="N1777" s="68"/>
      <c r="O1777" s="68"/>
      <c r="P1777" s="68"/>
      <c r="Q1777" s="68"/>
      <c r="R1777" s="68"/>
      <c r="S1777" s="68"/>
      <c r="T1777" s="68"/>
      <c r="U1777" s="68"/>
      <c r="V1777" s="68"/>
      <c r="W1777" s="68"/>
      <c r="X1777" s="68"/>
      <c r="Y1777" s="68"/>
      <c r="Z1777" s="68"/>
      <c r="AA1777" s="68"/>
      <c r="AB1777" s="68"/>
      <c r="AC1777" s="68"/>
      <c r="AD1777" s="68"/>
      <c r="AE1777" s="68"/>
    </row>
    <row r="1778" ht="26.25" customHeight="1">
      <c r="A1778" s="68"/>
      <c r="B1778" s="68"/>
      <c r="C1778" s="61" t="s">
        <v>129</v>
      </c>
      <c r="D1778" s="61" t="s">
        <v>130</v>
      </c>
      <c r="E1778" s="68"/>
      <c r="F1778" s="68"/>
      <c r="G1778" s="68"/>
      <c r="H1778" s="68"/>
      <c r="I1778" s="68"/>
      <c r="J1778" s="78"/>
      <c r="K1778" s="68"/>
      <c r="L1778" s="68"/>
      <c r="M1778" s="68"/>
      <c r="N1778" s="68"/>
      <c r="O1778" s="68"/>
      <c r="P1778" s="68"/>
      <c r="Q1778" s="68"/>
      <c r="R1778" s="68"/>
      <c r="S1778" s="68"/>
      <c r="T1778" s="68"/>
      <c r="U1778" s="68"/>
      <c r="V1778" s="68"/>
      <c r="W1778" s="68"/>
      <c r="X1778" s="68"/>
      <c r="Y1778" s="68"/>
      <c r="Z1778" s="68"/>
      <c r="AA1778" s="68"/>
      <c r="AB1778" s="68"/>
      <c r="AC1778" s="68"/>
      <c r="AD1778" s="68"/>
      <c r="AE1778" s="68"/>
    </row>
    <row r="1779" ht="26.25" customHeight="1">
      <c r="A1779" s="68"/>
      <c r="B1779" s="68"/>
      <c r="C1779" s="61" t="s">
        <v>129</v>
      </c>
      <c r="D1779" s="61" t="s">
        <v>130</v>
      </c>
      <c r="E1779" s="68"/>
      <c r="F1779" s="68"/>
      <c r="G1779" s="68"/>
      <c r="H1779" s="68"/>
      <c r="I1779" s="68"/>
      <c r="J1779" s="78"/>
      <c r="K1779" s="68"/>
      <c r="L1779" s="68"/>
      <c r="M1779" s="68"/>
      <c r="N1779" s="68"/>
      <c r="O1779" s="68"/>
      <c r="P1779" s="68"/>
      <c r="Q1779" s="68"/>
      <c r="R1779" s="68"/>
      <c r="S1779" s="68"/>
      <c r="T1779" s="68"/>
      <c r="U1779" s="68"/>
      <c r="V1779" s="68"/>
      <c r="W1779" s="68"/>
      <c r="X1779" s="68"/>
      <c r="Y1779" s="68"/>
      <c r="Z1779" s="68"/>
      <c r="AA1779" s="68"/>
      <c r="AB1779" s="68"/>
      <c r="AC1779" s="68"/>
      <c r="AD1779" s="68"/>
      <c r="AE1779" s="68"/>
    </row>
    <row r="1780" ht="26.25" customHeight="1">
      <c r="A1780" s="68"/>
      <c r="B1780" s="68"/>
      <c r="C1780" s="61" t="s">
        <v>129</v>
      </c>
      <c r="D1780" s="61" t="s">
        <v>130</v>
      </c>
      <c r="E1780" s="68"/>
      <c r="F1780" s="68"/>
      <c r="G1780" s="68"/>
      <c r="H1780" s="68"/>
      <c r="I1780" s="68"/>
      <c r="J1780" s="78"/>
      <c r="K1780" s="68"/>
      <c r="L1780" s="68"/>
      <c r="M1780" s="68"/>
      <c r="N1780" s="68"/>
      <c r="O1780" s="68"/>
      <c r="P1780" s="68"/>
      <c r="Q1780" s="68"/>
      <c r="R1780" s="68"/>
      <c r="S1780" s="68"/>
      <c r="T1780" s="68"/>
      <c r="U1780" s="68"/>
      <c r="V1780" s="68"/>
      <c r="W1780" s="68"/>
      <c r="X1780" s="68"/>
      <c r="Y1780" s="68"/>
      <c r="Z1780" s="68"/>
      <c r="AA1780" s="68"/>
      <c r="AB1780" s="68"/>
      <c r="AC1780" s="68"/>
      <c r="AD1780" s="68"/>
      <c r="AE1780" s="68"/>
    </row>
    <row r="1781" ht="26.25" customHeight="1">
      <c r="A1781" s="68"/>
      <c r="B1781" s="68"/>
      <c r="C1781" s="61" t="s">
        <v>129</v>
      </c>
      <c r="D1781" s="61" t="s">
        <v>130</v>
      </c>
      <c r="E1781" s="68"/>
      <c r="F1781" s="68"/>
      <c r="G1781" s="68"/>
      <c r="H1781" s="68"/>
      <c r="I1781" s="68"/>
      <c r="J1781" s="78"/>
      <c r="K1781" s="68"/>
      <c r="L1781" s="68"/>
      <c r="M1781" s="68"/>
      <c r="N1781" s="68"/>
      <c r="O1781" s="68"/>
      <c r="P1781" s="68"/>
      <c r="Q1781" s="68"/>
      <c r="R1781" s="68"/>
      <c r="S1781" s="68"/>
      <c r="T1781" s="68"/>
      <c r="U1781" s="68"/>
      <c r="V1781" s="68"/>
      <c r="W1781" s="68"/>
      <c r="X1781" s="68"/>
      <c r="Y1781" s="68"/>
      <c r="Z1781" s="68"/>
      <c r="AA1781" s="68"/>
      <c r="AB1781" s="68"/>
      <c r="AC1781" s="68"/>
      <c r="AD1781" s="68"/>
      <c r="AE1781" s="68"/>
    </row>
    <row r="1782" ht="26.25" customHeight="1">
      <c r="A1782" s="68"/>
      <c r="B1782" s="68"/>
      <c r="C1782" s="61" t="s">
        <v>129</v>
      </c>
      <c r="D1782" s="61" t="s">
        <v>130</v>
      </c>
      <c r="E1782" s="68"/>
      <c r="F1782" s="68"/>
      <c r="G1782" s="68"/>
      <c r="H1782" s="68"/>
      <c r="I1782" s="68"/>
      <c r="J1782" s="78"/>
      <c r="K1782" s="68"/>
      <c r="L1782" s="68"/>
      <c r="M1782" s="68"/>
      <c r="N1782" s="68"/>
      <c r="O1782" s="68"/>
      <c r="P1782" s="68"/>
      <c r="Q1782" s="68"/>
      <c r="R1782" s="68"/>
      <c r="S1782" s="68"/>
      <c r="T1782" s="68"/>
      <c r="U1782" s="68"/>
      <c r="V1782" s="68"/>
      <c r="W1782" s="68"/>
      <c r="X1782" s="68"/>
      <c r="Y1782" s="68"/>
      <c r="Z1782" s="68"/>
      <c r="AA1782" s="68"/>
      <c r="AB1782" s="68"/>
      <c r="AC1782" s="68"/>
      <c r="AD1782" s="68"/>
      <c r="AE1782" s="68"/>
    </row>
    <row r="1783" ht="26.25" customHeight="1">
      <c r="A1783" s="68"/>
      <c r="B1783" s="68"/>
      <c r="C1783" s="61" t="s">
        <v>129</v>
      </c>
      <c r="D1783" s="61" t="s">
        <v>130</v>
      </c>
      <c r="E1783" s="68"/>
      <c r="F1783" s="68"/>
      <c r="G1783" s="68"/>
      <c r="H1783" s="68"/>
      <c r="I1783" s="68"/>
      <c r="J1783" s="78"/>
      <c r="K1783" s="68"/>
      <c r="L1783" s="68"/>
      <c r="M1783" s="68"/>
      <c r="N1783" s="68"/>
      <c r="O1783" s="68"/>
      <c r="P1783" s="68"/>
      <c r="Q1783" s="68"/>
      <c r="R1783" s="68"/>
      <c r="S1783" s="68"/>
      <c r="T1783" s="68"/>
      <c r="U1783" s="68"/>
      <c r="V1783" s="68"/>
      <c r="W1783" s="68"/>
      <c r="X1783" s="68"/>
      <c r="Y1783" s="68"/>
      <c r="Z1783" s="68"/>
      <c r="AA1783" s="68"/>
      <c r="AB1783" s="68"/>
      <c r="AC1783" s="68"/>
      <c r="AD1783" s="68"/>
      <c r="AE1783" s="68"/>
    </row>
    <row r="1784" ht="26.25" customHeight="1">
      <c r="A1784" s="68"/>
      <c r="B1784" s="68"/>
      <c r="C1784" s="61" t="s">
        <v>129</v>
      </c>
      <c r="D1784" s="61" t="s">
        <v>130</v>
      </c>
      <c r="E1784" s="68"/>
      <c r="F1784" s="68"/>
      <c r="G1784" s="68"/>
      <c r="H1784" s="68"/>
      <c r="I1784" s="68"/>
      <c r="J1784" s="78"/>
      <c r="K1784" s="68"/>
      <c r="L1784" s="68"/>
      <c r="M1784" s="68"/>
      <c r="N1784" s="68"/>
      <c r="O1784" s="68"/>
      <c r="P1784" s="68"/>
      <c r="Q1784" s="68"/>
      <c r="R1784" s="68"/>
      <c r="S1784" s="68"/>
      <c r="T1784" s="68"/>
      <c r="U1784" s="68"/>
      <c r="V1784" s="68"/>
      <c r="W1784" s="68"/>
      <c r="X1784" s="68"/>
      <c r="Y1784" s="68"/>
      <c r="Z1784" s="68"/>
      <c r="AA1784" s="68"/>
      <c r="AB1784" s="68"/>
      <c r="AC1784" s="68"/>
      <c r="AD1784" s="68"/>
      <c r="AE1784" s="68"/>
    </row>
    <row r="1785" ht="26.25" customHeight="1">
      <c r="A1785" s="68"/>
      <c r="B1785" s="68"/>
      <c r="C1785" s="61" t="s">
        <v>129</v>
      </c>
      <c r="D1785" s="61" t="s">
        <v>130</v>
      </c>
      <c r="E1785" s="68"/>
      <c r="F1785" s="68"/>
      <c r="G1785" s="68"/>
      <c r="H1785" s="68"/>
      <c r="I1785" s="68"/>
      <c r="J1785" s="78"/>
      <c r="K1785" s="68"/>
      <c r="L1785" s="68"/>
      <c r="M1785" s="68"/>
      <c r="N1785" s="68"/>
      <c r="O1785" s="68"/>
      <c r="P1785" s="68"/>
      <c r="Q1785" s="68"/>
      <c r="R1785" s="68"/>
      <c r="S1785" s="68"/>
      <c r="T1785" s="68"/>
      <c r="U1785" s="68"/>
      <c r="V1785" s="68"/>
      <c r="W1785" s="68"/>
      <c r="X1785" s="68"/>
      <c r="Y1785" s="68"/>
      <c r="Z1785" s="68"/>
      <c r="AA1785" s="68"/>
      <c r="AB1785" s="68"/>
      <c r="AC1785" s="68"/>
      <c r="AD1785" s="68"/>
      <c r="AE1785" s="68"/>
    </row>
    <row r="1786" ht="26.25" customHeight="1">
      <c r="A1786" s="68"/>
      <c r="B1786" s="68"/>
      <c r="C1786" s="61" t="s">
        <v>129</v>
      </c>
      <c r="D1786" s="61" t="s">
        <v>130</v>
      </c>
      <c r="E1786" s="68"/>
      <c r="F1786" s="68"/>
      <c r="G1786" s="68"/>
      <c r="H1786" s="68"/>
      <c r="I1786" s="68"/>
      <c r="J1786" s="78"/>
      <c r="K1786" s="68"/>
      <c r="L1786" s="68"/>
      <c r="M1786" s="68"/>
      <c r="N1786" s="68"/>
      <c r="O1786" s="68"/>
      <c r="P1786" s="68"/>
      <c r="Q1786" s="68"/>
      <c r="R1786" s="68"/>
      <c r="S1786" s="68"/>
      <c r="T1786" s="68"/>
      <c r="U1786" s="68"/>
      <c r="V1786" s="68"/>
      <c r="W1786" s="68"/>
      <c r="X1786" s="68"/>
      <c r="Y1786" s="68"/>
      <c r="Z1786" s="68"/>
      <c r="AA1786" s="68"/>
      <c r="AB1786" s="68"/>
      <c r="AC1786" s="68"/>
      <c r="AD1786" s="68"/>
      <c r="AE1786" s="68"/>
    </row>
    <row r="1787" ht="26.25" customHeight="1">
      <c r="A1787" s="68"/>
      <c r="B1787" s="68"/>
      <c r="C1787" s="61" t="s">
        <v>129</v>
      </c>
      <c r="D1787" s="61" t="s">
        <v>130</v>
      </c>
      <c r="E1787" s="68"/>
      <c r="F1787" s="68"/>
      <c r="G1787" s="68"/>
      <c r="H1787" s="68"/>
      <c r="I1787" s="68"/>
      <c r="J1787" s="78"/>
      <c r="K1787" s="68"/>
      <c r="L1787" s="68"/>
      <c r="M1787" s="68"/>
      <c r="N1787" s="68"/>
      <c r="O1787" s="68"/>
      <c r="P1787" s="68"/>
      <c r="Q1787" s="68"/>
      <c r="R1787" s="68"/>
      <c r="S1787" s="68"/>
      <c r="T1787" s="68"/>
      <c r="U1787" s="68"/>
      <c r="V1787" s="68"/>
      <c r="W1787" s="68"/>
      <c r="X1787" s="68"/>
      <c r="Y1787" s="68"/>
      <c r="Z1787" s="68"/>
      <c r="AA1787" s="68"/>
      <c r="AB1787" s="68"/>
      <c r="AC1787" s="68"/>
      <c r="AD1787" s="68"/>
      <c r="AE1787" s="68"/>
    </row>
    <row r="1788" ht="26.25" customHeight="1">
      <c r="A1788" s="68"/>
      <c r="B1788" s="68"/>
      <c r="C1788" s="61" t="s">
        <v>129</v>
      </c>
      <c r="D1788" s="61" t="s">
        <v>130</v>
      </c>
      <c r="E1788" s="68"/>
      <c r="F1788" s="68"/>
      <c r="G1788" s="68"/>
      <c r="H1788" s="68"/>
      <c r="I1788" s="68"/>
      <c r="J1788" s="78"/>
      <c r="K1788" s="68"/>
      <c r="L1788" s="68"/>
      <c r="M1788" s="68"/>
      <c r="N1788" s="68"/>
      <c r="O1788" s="68"/>
      <c r="P1788" s="68"/>
      <c r="Q1788" s="68"/>
      <c r="R1788" s="68"/>
      <c r="S1788" s="68"/>
      <c r="T1788" s="68"/>
      <c r="U1788" s="68"/>
      <c r="V1788" s="68"/>
      <c r="W1788" s="68"/>
      <c r="X1788" s="68"/>
      <c r="Y1788" s="68"/>
      <c r="Z1788" s="68"/>
      <c r="AA1788" s="68"/>
      <c r="AB1788" s="68"/>
      <c r="AC1788" s="68"/>
      <c r="AD1788" s="68"/>
      <c r="AE1788" s="68"/>
    </row>
    <row r="1789" ht="26.25" customHeight="1">
      <c r="A1789" s="68"/>
      <c r="B1789" s="68"/>
      <c r="C1789" s="61" t="s">
        <v>129</v>
      </c>
      <c r="D1789" s="61" t="s">
        <v>130</v>
      </c>
      <c r="E1789" s="68"/>
      <c r="F1789" s="68"/>
      <c r="G1789" s="68"/>
      <c r="H1789" s="68"/>
      <c r="I1789" s="68"/>
      <c r="J1789" s="78"/>
      <c r="K1789" s="68"/>
      <c r="L1789" s="68"/>
      <c r="M1789" s="68"/>
      <c r="N1789" s="68"/>
      <c r="O1789" s="68"/>
      <c r="P1789" s="68"/>
      <c r="Q1789" s="68"/>
      <c r="R1789" s="68"/>
      <c r="S1789" s="68"/>
      <c r="T1789" s="68"/>
      <c r="U1789" s="68"/>
      <c r="V1789" s="68"/>
      <c r="W1789" s="68"/>
      <c r="X1789" s="68"/>
      <c r="Y1789" s="68"/>
      <c r="Z1789" s="68"/>
      <c r="AA1789" s="68"/>
      <c r="AB1789" s="68"/>
      <c r="AC1789" s="68"/>
      <c r="AD1789" s="68"/>
      <c r="AE1789" s="68"/>
    </row>
    <row r="1790" ht="26.25" customHeight="1">
      <c r="A1790" s="68"/>
      <c r="B1790" s="68"/>
      <c r="C1790" s="61" t="s">
        <v>129</v>
      </c>
      <c r="D1790" s="61" t="s">
        <v>130</v>
      </c>
      <c r="E1790" s="68"/>
      <c r="F1790" s="68"/>
      <c r="G1790" s="68"/>
      <c r="H1790" s="68"/>
      <c r="I1790" s="68"/>
      <c r="J1790" s="78"/>
      <c r="K1790" s="68"/>
      <c r="L1790" s="68"/>
      <c r="M1790" s="68"/>
      <c r="N1790" s="68"/>
      <c r="O1790" s="68"/>
      <c r="P1790" s="68"/>
      <c r="Q1790" s="68"/>
      <c r="R1790" s="68"/>
      <c r="S1790" s="68"/>
      <c r="T1790" s="68"/>
      <c r="U1790" s="68"/>
      <c r="V1790" s="68"/>
      <c r="W1790" s="68"/>
      <c r="X1790" s="68"/>
      <c r="Y1790" s="68"/>
      <c r="Z1790" s="68"/>
      <c r="AA1790" s="68"/>
      <c r="AB1790" s="68"/>
      <c r="AC1790" s="68"/>
      <c r="AD1790" s="68"/>
      <c r="AE1790" s="68"/>
    </row>
    <row r="1791" ht="26.25" customHeight="1">
      <c r="A1791" s="68"/>
      <c r="B1791" s="68"/>
      <c r="C1791" s="61" t="s">
        <v>129</v>
      </c>
      <c r="D1791" s="61" t="s">
        <v>130</v>
      </c>
      <c r="E1791" s="68"/>
      <c r="F1791" s="68"/>
      <c r="G1791" s="68"/>
      <c r="H1791" s="68"/>
      <c r="I1791" s="68"/>
      <c r="J1791" s="78"/>
      <c r="K1791" s="68"/>
      <c r="L1791" s="68"/>
      <c r="M1791" s="68"/>
      <c r="N1791" s="68"/>
      <c r="O1791" s="68"/>
      <c r="P1791" s="68"/>
      <c r="Q1791" s="68"/>
      <c r="R1791" s="68"/>
      <c r="S1791" s="68"/>
      <c r="T1791" s="68"/>
      <c r="U1791" s="68"/>
      <c r="V1791" s="68"/>
      <c r="W1791" s="68"/>
      <c r="X1791" s="68"/>
      <c r="Y1791" s="68"/>
      <c r="Z1791" s="68"/>
      <c r="AA1791" s="68"/>
      <c r="AB1791" s="68"/>
      <c r="AC1791" s="68"/>
      <c r="AD1791" s="68"/>
      <c r="AE1791" s="68"/>
    </row>
    <row r="1792" ht="26.25" customHeight="1">
      <c r="A1792" s="68"/>
      <c r="B1792" s="68"/>
      <c r="C1792" s="61" t="s">
        <v>129</v>
      </c>
      <c r="D1792" s="61" t="s">
        <v>130</v>
      </c>
      <c r="E1792" s="68"/>
      <c r="F1792" s="68"/>
      <c r="G1792" s="68"/>
      <c r="H1792" s="68"/>
      <c r="I1792" s="68"/>
      <c r="J1792" s="78"/>
      <c r="K1792" s="68"/>
      <c r="L1792" s="68"/>
      <c r="M1792" s="68"/>
      <c r="N1792" s="68"/>
      <c r="O1792" s="68"/>
      <c r="P1792" s="68"/>
      <c r="Q1792" s="68"/>
      <c r="R1792" s="68"/>
      <c r="S1792" s="68"/>
      <c r="T1792" s="68"/>
      <c r="U1792" s="68"/>
      <c r="V1792" s="68"/>
      <c r="W1792" s="68"/>
      <c r="X1792" s="68"/>
      <c r="Y1792" s="68"/>
      <c r="Z1792" s="68"/>
      <c r="AA1792" s="68"/>
      <c r="AB1792" s="68"/>
      <c r="AC1792" s="68"/>
      <c r="AD1792" s="68"/>
      <c r="AE1792" s="68"/>
    </row>
    <row r="1793" ht="26.25" customHeight="1">
      <c r="A1793" s="68"/>
      <c r="B1793" s="68"/>
      <c r="C1793" s="61" t="s">
        <v>129</v>
      </c>
      <c r="D1793" s="61" t="s">
        <v>130</v>
      </c>
      <c r="E1793" s="68"/>
      <c r="F1793" s="68"/>
      <c r="G1793" s="68"/>
      <c r="H1793" s="68"/>
      <c r="I1793" s="68"/>
      <c r="J1793" s="78"/>
      <c r="K1793" s="68"/>
      <c r="L1793" s="68"/>
      <c r="M1793" s="68"/>
      <c r="N1793" s="68"/>
      <c r="O1793" s="68"/>
      <c r="P1793" s="68"/>
      <c r="Q1793" s="68"/>
      <c r="R1793" s="68"/>
      <c r="S1793" s="68"/>
      <c r="T1793" s="68"/>
      <c r="U1793" s="68"/>
      <c r="V1793" s="68"/>
      <c r="W1793" s="68"/>
      <c r="X1793" s="68"/>
      <c r="Y1793" s="68"/>
      <c r="Z1793" s="68"/>
      <c r="AA1793" s="68"/>
      <c r="AB1793" s="68"/>
      <c r="AC1793" s="68"/>
      <c r="AD1793" s="68"/>
      <c r="AE1793" s="68"/>
    </row>
    <row r="1794" ht="26.25" customHeight="1">
      <c r="A1794" s="68"/>
      <c r="B1794" s="68"/>
      <c r="C1794" s="61" t="s">
        <v>129</v>
      </c>
      <c r="D1794" s="61" t="s">
        <v>130</v>
      </c>
      <c r="E1794" s="68"/>
      <c r="F1794" s="68"/>
      <c r="G1794" s="68"/>
      <c r="H1794" s="68"/>
      <c r="I1794" s="68"/>
      <c r="J1794" s="78"/>
      <c r="K1794" s="68"/>
      <c r="L1794" s="68"/>
      <c r="M1794" s="68"/>
      <c r="N1794" s="68"/>
      <c r="O1794" s="68"/>
      <c r="P1794" s="68"/>
      <c r="Q1794" s="68"/>
      <c r="R1794" s="68"/>
      <c r="S1794" s="68"/>
      <c r="T1794" s="68"/>
      <c r="U1794" s="68"/>
      <c r="V1794" s="68"/>
      <c r="W1794" s="68"/>
      <c r="X1794" s="68"/>
      <c r="Y1794" s="68"/>
      <c r="Z1794" s="68"/>
      <c r="AA1794" s="68"/>
      <c r="AB1794" s="68"/>
      <c r="AC1794" s="68"/>
      <c r="AD1794" s="68"/>
      <c r="AE1794" s="68"/>
    </row>
    <row r="1795" ht="26.25" customHeight="1">
      <c r="A1795" s="68"/>
      <c r="B1795" s="68"/>
      <c r="C1795" s="61" t="s">
        <v>129</v>
      </c>
      <c r="D1795" s="61" t="s">
        <v>130</v>
      </c>
      <c r="E1795" s="68"/>
      <c r="F1795" s="68"/>
      <c r="G1795" s="68"/>
      <c r="H1795" s="68"/>
      <c r="I1795" s="68"/>
      <c r="J1795" s="78"/>
      <c r="K1795" s="68"/>
      <c r="L1795" s="68"/>
      <c r="M1795" s="68"/>
      <c r="N1795" s="68"/>
      <c r="O1795" s="68"/>
      <c r="P1795" s="68"/>
      <c r="Q1795" s="68"/>
      <c r="R1795" s="68"/>
      <c r="S1795" s="68"/>
      <c r="T1795" s="68"/>
      <c r="U1795" s="68"/>
      <c r="V1795" s="68"/>
      <c r="W1795" s="68"/>
      <c r="X1795" s="68"/>
      <c r="Y1795" s="68"/>
      <c r="Z1795" s="68"/>
      <c r="AA1795" s="68"/>
      <c r="AB1795" s="68"/>
      <c r="AC1795" s="68"/>
      <c r="AD1795" s="68"/>
      <c r="AE1795" s="68"/>
    </row>
    <row r="1796" ht="26.25" customHeight="1">
      <c r="A1796" s="68"/>
      <c r="B1796" s="68"/>
      <c r="C1796" s="61" t="s">
        <v>129</v>
      </c>
      <c r="D1796" s="61" t="s">
        <v>130</v>
      </c>
      <c r="E1796" s="68"/>
      <c r="F1796" s="68"/>
      <c r="G1796" s="68"/>
      <c r="H1796" s="68"/>
      <c r="I1796" s="68"/>
      <c r="J1796" s="78"/>
      <c r="K1796" s="68"/>
      <c r="L1796" s="68"/>
      <c r="M1796" s="68"/>
      <c r="N1796" s="68"/>
      <c r="O1796" s="68"/>
      <c r="P1796" s="68"/>
      <c r="Q1796" s="68"/>
      <c r="R1796" s="68"/>
      <c r="S1796" s="68"/>
      <c r="T1796" s="68"/>
      <c r="U1796" s="68"/>
      <c r="V1796" s="68"/>
      <c r="W1796" s="68"/>
      <c r="X1796" s="68"/>
      <c r="Y1796" s="68"/>
      <c r="Z1796" s="68"/>
      <c r="AA1796" s="68"/>
      <c r="AB1796" s="68"/>
      <c r="AC1796" s="68"/>
      <c r="AD1796" s="68"/>
      <c r="AE1796" s="68"/>
    </row>
    <row r="1797" ht="26.25" customHeight="1">
      <c r="A1797" s="68"/>
      <c r="B1797" s="68"/>
      <c r="C1797" s="61" t="s">
        <v>129</v>
      </c>
      <c r="D1797" s="61" t="s">
        <v>130</v>
      </c>
      <c r="E1797" s="68"/>
      <c r="F1797" s="68"/>
      <c r="G1797" s="68"/>
      <c r="H1797" s="68"/>
      <c r="I1797" s="68"/>
      <c r="J1797" s="78"/>
      <c r="K1797" s="68"/>
      <c r="L1797" s="68"/>
      <c r="M1797" s="68"/>
      <c r="N1797" s="68"/>
      <c r="O1797" s="68"/>
      <c r="P1797" s="68"/>
      <c r="Q1797" s="68"/>
      <c r="R1797" s="68"/>
      <c r="S1797" s="68"/>
      <c r="T1797" s="68"/>
      <c r="U1797" s="68"/>
      <c r="V1797" s="68"/>
      <c r="W1797" s="68"/>
      <c r="X1797" s="68"/>
      <c r="Y1797" s="68"/>
      <c r="Z1797" s="68"/>
      <c r="AA1797" s="68"/>
      <c r="AB1797" s="68"/>
      <c r="AC1797" s="68"/>
      <c r="AD1797" s="68"/>
      <c r="AE1797" s="68"/>
    </row>
    <row r="1798" ht="26.25" customHeight="1">
      <c r="A1798" s="68"/>
      <c r="B1798" s="68"/>
      <c r="C1798" s="61" t="s">
        <v>129</v>
      </c>
      <c r="D1798" s="61" t="s">
        <v>130</v>
      </c>
      <c r="E1798" s="68"/>
      <c r="F1798" s="68"/>
      <c r="G1798" s="68"/>
      <c r="H1798" s="68"/>
      <c r="I1798" s="68"/>
      <c r="J1798" s="78"/>
      <c r="K1798" s="68"/>
      <c r="L1798" s="68"/>
      <c r="M1798" s="68"/>
      <c r="N1798" s="68"/>
      <c r="O1798" s="68"/>
      <c r="P1798" s="68"/>
      <c r="Q1798" s="68"/>
      <c r="R1798" s="68"/>
      <c r="S1798" s="68"/>
      <c r="T1798" s="68"/>
      <c r="U1798" s="68"/>
      <c r="V1798" s="68"/>
      <c r="W1798" s="68"/>
      <c r="X1798" s="68"/>
      <c r="Y1798" s="68"/>
      <c r="Z1798" s="68"/>
      <c r="AA1798" s="68"/>
      <c r="AB1798" s="68"/>
      <c r="AC1798" s="68"/>
      <c r="AD1798" s="68"/>
      <c r="AE1798" s="68"/>
    </row>
    <row r="1799" ht="26.25" customHeight="1">
      <c r="A1799" s="68"/>
      <c r="B1799" s="68"/>
      <c r="C1799" s="61" t="s">
        <v>129</v>
      </c>
      <c r="D1799" s="61" t="s">
        <v>130</v>
      </c>
      <c r="E1799" s="68"/>
      <c r="F1799" s="68"/>
      <c r="G1799" s="68"/>
      <c r="H1799" s="68"/>
      <c r="I1799" s="68"/>
      <c r="J1799" s="78"/>
      <c r="K1799" s="68"/>
      <c r="L1799" s="68"/>
      <c r="M1799" s="68"/>
      <c r="N1799" s="68"/>
      <c r="O1799" s="68"/>
      <c r="P1799" s="68"/>
      <c r="Q1799" s="68"/>
      <c r="R1799" s="68"/>
      <c r="S1799" s="68"/>
      <c r="T1799" s="68"/>
      <c r="U1799" s="68"/>
      <c r="V1799" s="68"/>
      <c r="W1799" s="68"/>
      <c r="X1799" s="68"/>
      <c r="Y1799" s="68"/>
      <c r="Z1799" s="68"/>
      <c r="AA1799" s="68"/>
      <c r="AB1799" s="68"/>
      <c r="AC1799" s="68"/>
      <c r="AD1799" s="68"/>
      <c r="AE1799" s="68"/>
    </row>
    <row r="1800" ht="26.25" customHeight="1">
      <c r="A1800" s="68"/>
      <c r="B1800" s="68"/>
      <c r="C1800" s="61" t="s">
        <v>129</v>
      </c>
      <c r="D1800" s="61" t="s">
        <v>130</v>
      </c>
      <c r="E1800" s="68"/>
      <c r="F1800" s="68"/>
      <c r="G1800" s="68"/>
      <c r="H1800" s="68"/>
      <c r="I1800" s="68"/>
      <c r="J1800" s="78"/>
      <c r="K1800" s="68"/>
      <c r="L1800" s="68"/>
      <c r="M1800" s="68"/>
      <c r="N1800" s="68"/>
      <c r="O1800" s="68"/>
      <c r="P1800" s="68"/>
      <c r="Q1800" s="68"/>
      <c r="R1800" s="68"/>
      <c r="S1800" s="68"/>
      <c r="T1800" s="68"/>
      <c r="U1800" s="68"/>
      <c r="V1800" s="68"/>
      <c r="W1800" s="68"/>
      <c r="X1800" s="68"/>
      <c r="Y1800" s="68"/>
      <c r="Z1800" s="68"/>
      <c r="AA1800" s="68"/>
      <c r="AB1800" s="68"/>
      <c r="AC1800" s="68"/>
      <c r="AD1800" s="68"/>
      <c r="AE1800" s="68"/>
    </row>
    <row r="1801" ht="26.25" customHeight="1">
      <c r="A1801" s="68"/>
      <c r="B1801" s="68"/>
      <c r="C1801" s="61" t="s">
        <v>129</v>
      </c>
      <c r="D1801" s="61" t="s">
        <v>130</v>
      </c>
      <c r="E1801" s="68"/>
      <c r="F1801" s="68"/>
      <c r="G1801" s="68"/>
      <c r="H1801" s="68"/>
      <c r="I1801" s="68"/>
      <c r="J1801" s="78"/>
      <c r="K1801" s="68"/>
      <c r="L1801" s="68"/>
      <c r="M1801" s="68"/>
      <c r="N1801" s="68"/>
      <c r="O1801" s="68"/>
      <c r="P1801" s="68"/>
      <c r="Q1801" s="68"/>
      <c r="R1801" s="68"/>
      <c r="S1801" s="68"/>
      <c r="T1801" s="68"/>
      <c r="U1801" s="68"/>
      <c r="V1801" s="68"/>
      <c r="W1801" s="68"/>
      <c r="X1801" s="68"/>
      <c r="Y1801" s="68"/>
      <c r="Z1801" s="68"/>
      <c r="AA1801" s="68"/>
      <c r="AB1801" s="68"/>
      <c r="AC1801" s="68"/>
      <c r="AD1801" s="68"/>
      <c r="AE1801" s="68"/>
    </row>
    <row r="1802" ht="26.25" customHeight="1">
      <c r="A1802" s="68"/>
      <c r="B1802" s="68"/>
      <c r="C1802" s="61" t="s">
        <v>129</v>
      </c>
      <c r="D1802" s="61" t="s">
        <v>130</v>
      </c>
      <c r="E1802" s="68"/>
      <c r="F1802" s="68"/>
      <c r="G1802" s="68"/>
      <c r="H1802" s="68"/>
      <c r="I1802" s="68"/>
      <c r="J1802" s="78"/>
      <c r="K1802" s="68"/>
      <c r="L1802" s="68"/>
      <c r="M1802" s="68"/>
      <c r="N1802" s="68"/>
      <c r="O1802" s="68"/>
      <c r="P1802" s="68"/>
      <c r="Q1802" s="68"/>
      <c r="R1802" s="68"/>
      <c r="S1802" s="68"/>
      <c r="T1802" s="68"/>
      <c r="U1802" s="68"/>
      <c r="V1802" s="68"/>
      <c r="W1802" s="68"/>
      <c r="X1802" s="68"/>
      <c r="Y1802" s="68"/>
      <c r="Z1802" s="68"/>
      <c r="AA1802" s="68"/>
      <c r="AB1802" s="68"/>
      <c r="AC1802" s="68"/>
      <c r="AD1802" s="68"/>
      <c r="AE1802" s="68"/>
    </row>
    <row r="1803" ht="26.25" customHeight="1">
      <c r="A1803" s="68"/>
      <c r="B1803" s="68"/>
      <c r="C1803" s="61" t="s">
        <v>129</v>
      </c>
      <c r="D1803" s="61" t="s">
        <v>130</v>
      </c>
      <c r="E1803" s="68"/>
      <c r="F1803" s="68"/>
      <c r="G1803" s="68"/>
      <c r="H1803" s="68"/>
      <c r="I1803" s="68"/>
      <c r="J1803" s="78"/>
      <c r="K1803" s="68"/>
      <c r="L1803" s="68"/>
      <c r="M1803" s="68"/>
      <c r="N1803" s="68"/>
      <c r="O1803" s="68"/>
      <c r="P1803" s="68"/>
      <c r="Q1803" s="68"/>
      <c r="R1803" s="68"/>
      <c r="S1803" s="68"/>
      <c r="T1803" s="68"/>
      <c r="U1803" s="68"/>
      <c r="V1803" s="68"/>
      <c r="W1803" s="68"/>
      <c r="X1803" s="68"/>
      <c r="Y1803" s="68"/>
      <c r="Z1803" s="68"/>
      <c r="AA1803" s="68"/>
      <c r="AB1803" s="68"/>
      <c r="AC1803" s="68"/>
      <c r="AD1803" s="68"/>
      <c r="AE1803" s="68"/>
    </row>
    <row r="1804" ht="26.25" customHeight="1">
      <c r="A1804" s="68"/>
      <c r="B1804" s="68"/>
      <c r="C1804" s="61" t="s">
        <v>129</v>
      </c>
      <c r="D1804" s="61" t="s">
        <v>130</v>
      </c>
      <c r="E1804" s="68"/>
      <c r="F1804" s="68"/>
      <c r="G1804" s="68"/>
      <c r="H1804" s="68"/>
      <c r="I1804" s="68"/>
      <c r="J1804" s="78"/>
      <c r="K1804" s="68"/>
      <c r="L1804" s="68"/>
      <c r="M1804" s="68"/>
      <c r="N1804" s="68"/>
      <c r="O1804" s="68"/>
      <c r="P1804" s="68"/>
      <c r="Q1804" s="68"/>
      <c r="R1804" s="68"/>
      <c r="S1804" s="68"/>
      <c r="T1804" s="68"/>
      <c r="U1804" s="68"/>
      <c r="V1804" s="68"/>
      <c r="W1804" s="68"/>
      <c r="X1804" s="68"/>
      <c r="Y1804" s="68"/>
      <c r="Z1804" s="68"/>
      <c r="AA1804" s="68"/>
      <c r="AB1804" s="68"/>
      <c r="AC1804" s="68"/>
      <c r="AD1804" s="68"/>
      <c r="AE1804" s="68"/>
    </row>
    <row r="1805" ht="26.25" customHeight="1">
      <c r="A1805" s="68"/>
      <c r="B1805" s="68"/>
      <c r="C1805" s="61" t="s">
        <v>129</v>
      </c>
      <c r="D1805" s="61" t="s">
        <v>130</v>
      </c>
      <c r="E1805" s="68"/>
      <c r="F1805" s="68"/>
      <c r="G1805" s="68"/>
      <c r="H1805" s="68"/>
      <c r="I1805" s="68"/>
      <c r="J1805" s="78"/>
      <c r="K1805" s="68"/>
      <c r="L1805" s="68"/>
      <c r="M1805" s="68"/>
      <c r="N1805" s="68"/>
      <c r="O1805" s="68"/>
      <c r="P1805" s="68"/>
      <c r="Q1805" s="68"/>
      <c r="R1805" s="68"/>
      <c r="S1805" s="68"/>
      <c r="T1805" s="68"/>
      <c r="U1805" s="68"/>
      <c r="V1805" s="68"/>
      <c r="W1805" s="68"/>
      <c r="X1805" s="68"/>
      <c r="Y1805" s="68"/>
      <c r="Z1805" s="68"/>
      <c r="AA1805" s="68"/>
      <c r="AB1805" s="68"/>
      <c r="AC1805" s="68"/>
      <c r="AD1805" s="68"/>
      <c r="AE1805" s="68"/>
    </row>
    <row r="1806" ht="26.25" customHeight="1">
      <c r="A1806" s="68"/>
      <c r="B1806" s="68"/>
      <c r="C1806" s="61" t="s">
        <v>129</v>
      </c>
      <c r="D1806" s="61" t="s">
        <v>130</v>
      </c>
      <c r="E1806" s="68"/>
      <c r="F1806" s="68"/>
      <c r="G1806" s="68"/>
      <c r="H1806" s="68"/>
      <c r="I1806" s="68"/>
      <c r="J1806" s="78"/>
      <c r="K1806" s="68"/>
      <c r="L1806" s="68"/>
      <c r="M1806" s="68"/>
      <c r="N1806" s="68"/>
      <c r="O1806" s="68"/>
      <c r="P1806" s="68"/>
      <c r="Q1806" s="68"/>
      <c r="R1806" s="68"/>
      <c r="S1806" s="68"/>
      <c r="T1806" s="68"/>
      <c r="U1806" s="68"/>
      <c r="V1806" s="68"/>
      <c r="W1806" s="68"/>
      <c r="X1806" s="68"/>
      <c r="Y1806" s="68"/>
      <c r="Z1806" s="68"/>
      <c r="AA1806" s="68"/>
      <c r="AB1806" s="68"/>
      <c r="AC1806" s="68"/>
      <c r="AD1806" s="68"/>
      <c r="AE1806" s="68"/>
    </row>
    <row r="1807" ht="26.25" customHeight="1">
      <c r="A1807" s="68"/>
      <c r="B1807" s="68"/>
      <c r="C1807" s="61" t="s">
        <v>129</v>
      </c>
      <c r="D1807" s="61" t="s">
        <v>130</v>
      </c>
      <c r="E1807" s="68"/>
      <c r="F1807" s="68"/>
      <c r="G1807" s="68"/>
      <c r="H1807" s="68"/>
      <c r="I1807" s="68"/>
      <c r="J1807" s="78"/>
      <c r="K1807" s="68"/>
      <c r="L1807" s="68"/>
      <c r="M1807" s="68"/>
      <c r="N1807" s="68"/>
      <c r="O1807" s="68"/>
      <c r="P1807" s="68"/>
      <c r="Q1807" s="68"/>
      <c r="R1807" s="68"/>
      <c r="S1807" s="68"/>
      <c r="T1807" s="68"/>
      <c r="U1807" s="68"/>
      <c r="V1807" s="68"/>
      <c r="W1807" s="68"/>
      <c r="X1807" s="68"/>
      <c r="Y1807" s="68"/>
      <c r="Z1807" s="68"/>
      <c r="AA1807" s="68"/>
      <c r="AB1807" s="68"/>
      <c r="AC1807" s="68"/>
      <c r="AD1807" s="68"/>
      <c r="AE1807" s="68"/>
    </row>
    <row r="1808" ht="26.25" customHeight="1">
      <c r="A1808" s="68"/>
      <c r="B1808" s="68"/>
      <c r="C1808" s="61" t="s">
        <v>129</v>
      </c>
      <c r="D1808" s="61" t="s">
        <v>130</v>
      </c>
      <c r="E1808" s="68"/>
      <c r="F1808" s="68"/>
      <c r="G1808" s="68"/>
      <c r="H1808" s="68"/>
      <c r="I1808" s="68"/>
      <c r="J1808" s="78"/>
      <c r="K1808" s="68"/>
      <c r="L1808" s="68"/>
      <c r="M1808" s="68"/>
      <c r="N1808" s="68"/>
      <c r="O1808" s="68"/>
      <c r="P1808" s="68"/>
      <c r="Q1808" s="68"/>
      <c r="R1808" s="68"/>
      <c r="S1808" s="68"/>
      <c r="T1808" s="68"/>
      <c r="U1808" s="68"/>
      <c r="V1808" s="68"/>
      <c r="W1808" s="68"/>
      <c r="X1808" s="68"/>
      <c r="Y1808" s="68"/>
      <c r="Z1808" s="68"/>
      <c r="AA1808" s="68"/>
      <c r="AB1808" s="68"/>
      <c r="AC1808" s="68"/>
      <c r="AD1808" s="68"/>
      <c r="AE1808" s="68"/>
    </row>
    <row r="1809" ht="26.25" customHeight="1">
      <c r="A1809" s="68"/>
      <c r="B1809" s="68"/>
      <c r="C1809" s="61" t="s">
        <v>129</v>
      </c>
      <c r="D1809" s="61" t="s">
        <v>130</v>
      </c>
      <c r="E1809" s="68"/>
      <c r="F1809" s="68"/>
      <c r="G1809" s="68"/>
      <c r="H1809" s="68"/>
      <c r="I1809" s="68"/>
      <c r="J1809" s="78"/>
      <c r="K1809" s="68"/>
      <c r="L1809" s="68"/>
      <c r="M1809" s="68"/>
      <c r="N1809" s="68"/>
      <c r="O1809" s="68"/>
      <c r="P1809" s="68"/>
      <c r="Q1809" s="68"/>
      <c r="R1809" s="68"/>
      <c r="S1809" s="68"/>
      <c r="T1809" s="68"/>
      <c r="U1809" s="68"/>
      <c r="V1809" s="68"/>
      <c r="W1809" s="68"/>
      <c r="X1809" s="68"/>
      <c r="Y1809" s="68"/>
      <c r="Z1809" s="68"/>
      <c r="AA1809" s="68"/>
      <c r="AB1809" s="68"/>
      <c r="AC1809" s="68"/>
      <c r="AD1809" s="68"/>
      <c r="AE1809" s="68"/>
    </row>
    <row r="1810" ht="26.25" customHeight="1">
      <c r="A1810" s="68"/>
      <c r="B1810" s="68"/>
      <c r="C1810" s="61" t="s">
        <v>129</v>
      </c>
      <c r="D1810" s="61" t="s">
        <v>130</v>
      </c>
      <c r="E1810" s="68"/>
      <c r="F1810" s="68"/>
      <c r="G1810" s="68"/>
      <c r="H1810" s="68"/>
      <c r="I1810" s="68"/>
      <c r="J1810" s="78"/>
      <c r="K1810" s="68"/>
      <c r="L1810" s="68"/>
      <c r="M1810" s="68"/>
      <c r="N1810" s="68"/>
      <c r="O1810" s="68"/>
      <c r="P1810" s="68"/>
      <c r="Q1810" s="68"/>
      <c r="R1810" s="68"/>
      <c r="S1810" s="68"/>
      <c r="T1810" s="68"/>
      <c r="U1810" s="68"/>
      <c r="V1810" s="68"/>
      <c r="W1810" s="68"/>
      <c r="X1810" s="68"/>
      <c r="Y1810" s="68"/>
      <c r="Z1810" s="68"/>
      <c r="AA1810" s="68"/>
      <c r="AB1810" s="68"/>
      <c r="AC1810" s="68"/>
      <c r="AD1810" s="68"/>
      <c r="AE1810" s="68"/>
    </row>
    <row r="1811" ht="26.25" customHeight="1">
      <c r="A1811" s="68"/>
      <c r="B1811" s="68"/>
      <c r="C1811" s="61" t="s">
        <v>129</v>
      </c>
      <c r="D1811" s="61" t="s">
        <v>130</v>
      </c>
      <c r="E1811" s="68"/>
      <c r="F1811" s="68"/>
      <c r="G1811" s="68"/>
      <c r="H1811" s="68"/>
      <c r="I1811" s="68"/>
      <c r="J1811" s="78"/>
      <c r="K1811" s="68"/>
      <c r="L1811" s="68"/>
      <c r="M1811" s="68"/>
      <c r="N1811" s="68"/>
      <c r="O1811" s="68"/>
      <c r="P1811" s="68"/>
      <c r="Q1811" s="68"/>
      <c r="R1811" s="68"/>
      <c r="S1811" s="68"/>
      <c r="T1811" s="68"/>
      <c r="U1811" s="68"/>
      <c r="V1811" s="68"/>
      <c r="W1811" s="68"/>
      <c r="X1811" s="68"/>
      <c r="Y1811" s="68"/>
      <c r="Z1811" s="68"/>
      <c r="AA1811" s="68"/>
      <c r="AB1811" s="68"/>
      <c r="AC1811" s="68"/>
      <c r="AD1811" s="68"/>
      <c r="AE1811" s="68"/>
    </row>
    <row r="1812" ht="26.25" customHeight="1">
      <c r="A1812" s="68"/>
      <c r="B1812" s="68"/>
      <c r="C1812" s="61" t="s">
        <v>129</v>
      </c>
      <c r="D1812" s="61" t="s">
        <v>130</v>
      </c>
      <c r="E1812" s="68"/>
      <c r="F1812" s="68"/>
      <c r="G1812" s="68"/>
      <c r="H1812" s="68"/>
      <c r="I1812" s="68"/>
      <c r="J1812" s="78"/>
      <c r="K1812" s="68"/>
      <c r="L1812" s="68"/>
      <c r="M1812" s="68"/>
      <c r="N1812" s="68"/>
      <c r="O1812" s="68"/>
      <c r="P1812" s="68"/>
      <c r="Q1812" s="68"/>
      <c r="R1812" s="68"/>
      <c r="S1812" s="68"/>
      <c r="T1812" s="68"/>
      <c r="U1812" s="68"/>
      <c r="V1812" s="68"/>
      <c r="W1812" s="68"/>
      <c r="X1812" s="68"/>
      <c r="Y1812" s="68"/>
      <c r="Z1812" s="68"/>
      <c r="AA1812" s="68"/>
      <c r="AB1812" s="68"/>
      <c r="AC1812" s="68"/>
      <c r="AD1812" s="68"/>
      <c r="AE1812" s="68"/>
    </row>
    <row r="1813" ht="26.25" customHeight="1">
      <c r="A1813" s="68"/>
      <c r="B1813" s="68"/>
      <c r="C1813" s="61" t="s">
        <v>129</v>
      </c>
      <c r="D1813" s="61" t="s">
        <v>130</v>
      </c>
      <c r="E1813" s="68"/>
      <c r="F1813" s="68"/>
      <c r="G1813" s="68"/>
      <c r="H1813" s="68"/>
      <c r="I1813" s="68"/>
      <c r="J1813" s="78"/>
      <c r="K1813" s="68"/>
      <c r="L1813" s="68"/>
      <c r="M1813" s="68"/>
      <c r="N1813" s="68"/>
      <c r="O1813" s="68"/>
      <c r="P1813" s="68"/>
      <c r="Q1813" s="68"/>
      <c r="R1813" s="68"/>
      <c r="S1813" s="68"/>
      <c r="T1813" s="68"/>
      <c r="U1813" s="68"/>
      <c r="V1813" s="68"/>
      <c r="W1813" s="68"/>
      <c r="X1813" s="68"/>
      <c r="Y1813" s="68"/>
      <c r="Z1813" s="68"/>
      <c r="AA1813" s="68"/>
      <c r="AB1813" s="68"/>
      <c r="AC1813" s="68"/>
      <c r="AD1813" s="68"/>
      <c r="AE1813" s="68"/>
    </row>
    <row r="1814" ht="26.25" customHeight="1">
      <c r="A1814" s="68"/>
      <c r="B1814" s="68"/>
      <c r="C1814" s="61" t="s">
        <v>129</v>
      </c>
      <c r="D1814" s="61" t="s">
        <v>130</v>
      </c>
      <c r="E1814" s="68"/>
      <c r="F1814" s="68"/>
      <c r="G1814" s="68"/>
      <c r="H1814" s="68"/>
      <c r="I1814" s="68"/>
      <c r="J1814" s="78"/>
      <c r="K1814" s="68"/>
      <c r="L1814" s="68"/>
      <c r="M1814" s="68"/>
      <c r="N1814" s="68"/>
      <c r="O1814" s="68"/>
      <c r="P1814" s="68"/>
      <c r="Q1814" s="68"/>
      <c r="R1814" s="68"/>
      <c r="S1814" s="68"/>
      <c r="T1814" s="68"/>
      <c r="U1814" s="68"/>
      <c r="V1814" s="68"/>
      <c r="W1814" s="68"/>
      <c r="X1814" s="68"/>
      <c r="Y1814" s="68"/>
      <c r="Z1814" s="68"/>
      <c r="AA1814" s="68"/>
      <c r="AB1814" s="68"/>
      <c r="AC1814" s="68"/>
      <c r="AD1814" s="68"/>
      <c r="AE1814" s="68"/>
    </row>
    <row r="1815" ht="26.25" customHeight="1">
      <c r="A1815" s="68"/>
      <c r="B1815" s="68"/>
      <c r="C1815" s="61" t="s">
        <v>129</v>
      </c>
      <c r="D1815" s="61" t="s">
        <v>130</v>
      </c>
      <c r="E1815" s="68"/>
      <c r="F1815" s="68"/>
      <c r="G1815" s="68"/>
      <c r="H1815" s="68"/>
      <c r="I1815" s="68"/>
      <c r="J1815" s="78"/>
      <c r="K1815" s="68"/>
      <c r="L1815" s="68"/>
      <c r="M1815" s="68"/>
      <c r="N1815" s="68"/>
      <c r="O1815" s="68"/>
      <c r="P1815" s="68"/>
      <c r="Q1815" s="68"/>
      <c r="R1815" s="68"/>
      <c r="S1815" s="68"/>
      <c r="T1815" s="68"/>
      <c r="U1815" s="68"/>
      <c r="V1815" s="68"/>
      <c r="W1815" s="68"/>
      <c r="X1815" s="68"/>
      <c r="Y1815" s="68"/>
      <c r="Z1815" s="68"/>
      <c r="AA1815" s="68"/>
      <c r="AB1815" s="68"/>
      <c r="AC1815" s="68"/>
      <c r="AD1815" s="68"/>
      <c r="AE1815" s="68"/>
    </row>
    <row r="1816" ht="26.25" customHeight="1">
      <c r="A1816" s="68"/>
      <c r="B1816" s="68"/>
      <c r="C1816" s="61" t="s">
        <v>129</v>
      </c>
      <c r="D1816" s="61" t="s">
        <v>130</v>
      </c>
      <c r="E1816" s="68"/>
      <c r="F1816" s="68"/>
      <c r="G1816" s="68"/>
      <c r="H1816" s="68"/>
      <c r="I1816" s="68"/>
      <c r="J1816" s="78"/>
      <c r="K1816" s="68"/>
      <c r="L1816" s="68"/>
      <c r="M1816" s="68"/>
      <c r="N1816" s="68"/>
      <c r="O1816" s="68"/>
      <c r="P1816" s="68"/>
      <c r="Q1816" s="68"/>
      <c r="R1816" s="68"/>
      <c r="S1816" s="68"/>
      <c r="T1816" s="68"/>
      <c r="U1816" s="68"/>
      <c r="V1816" s="68"/>
      <c r="W1816" s="68"/>
      <c r="X1816" s="68"/>
      <c r="Y1816" s="68"/>
      <c r="Z1816" s="68"/>
      <c r="AA1816" s="68"/>
      <c r="AB1816" s="68"/>
      <c r="AC1816" s="68"/>
      <c r="AD1816" s="68"/>
      <c r="AE1816" s="68"/>
    </row>
    <row r="1817" ht="26.25" customHeight="1">
      <c r="A1817" s="68"/>
      <c r="B1817" s="68"/>
      <c r="C1817" s="61" t="s">
        <v>129</v>
      </c>
      <c r="D1817" s="61" t="s">
        <v>130</v>
      </c>
      <c r="E1817" s="68"/>
      <c r="F1817" s="68"/>
      <c r="G1817" s="68"/>
      <c r="H1817" s="68"/>
      <c r="I1817" s="68"/>
      <c r="J1817" s="78"/>
      <c r="K1817" s="68"/>
      <c r="L1817" s="68"/>
      <c r="M1817" s="68"/>
      <c r="N1817" s="68"/>
      <c r="O1817" s="68"/>
      <c r="P1817" s="68"/>
      <c r="Q1817" s="68"/>
      <c r="R1817" s="68"/>
      <c r="S1817" s="68"/>
      <c r="T1817" s="68"/>
      <c r="U1817" s="68"/>
      <c r="V1817" s="68"/>
      <c r="W1817" s="68"/>
      <c r="X1817" s="68"/>
      <c r="Y1817" s="68"/>
      <c r="Z1817" s="68"/>
      <c r="AA1817" s="68"/>
      <c r="AB1817" s="68"/>
      <c r="AC1817" s="68"/>
      <c r="AD1817" s="68"/>
      <c r="AE1817" s="68"/>
    </row>
    <row r="1818" ht="26.25" customHeight="1">
      <c r="A1818" s="68"/>
      <c r="B1818" s="68"/>
      <c r="C1818" s="61" t="s">
        <v>129</v>
      </c>
      <c r="D1818" s="61" t="s">
        <v>130</v>
      </c>
      <c r="E1818" s="68"/>
      <c r="F1818" s="68"/>
      <c r="G1818" s="68"/>
      <c r="H1818" s="68"/>
      <c r="I1818" s="68"/>
      <c r="J1818" s="78"/>
      <c r="K1818" s="68"/>
      <c r="L1818" s="68"/>
      <c r="M1818" s="68"/>
      <c r="N1818" s="68"/>
      <c r="O1818" s="68"/>
      <c r="P1818" s="68"/>
      <c r="Q1818" s="68"/>
      <c r="R1818" s="68"/>
      <c r="S1818" s="68"/>
      <c r="T1818" s="68"/>
      <c r="U1818" s="68"/>
      <c r="V1818" s="68"/>
      <c r="W1818" s="68"/>
      <c r="X1818" s="68"/>
      <c r="Y1818" s="68"/>
      <c r="Z1818" s="68"/>
      <c r="AA1818" s="68"/>
      <c r="AB1818" s="68"/>
      <c r="AC1818" s="68"/>
      <c r="AD1818" s="68"/>
      <c r="AE1818" s="68"/>
    </row>
    <row r="1819" ht="26.25" customHeight="1">
      <c r="A1819" s="68"/>
      <c r="B1819" s="68"/>
      <c r="C1819" s="61" t="s">
        <v>129</v>
      </c>
      <c r="D1819" s="61" t="s">
        <v>130</v>
      </c>
      <c r="E1819" s="68"/>
      <c r="F1819" s="68"/>
      <c r="G1819" s="68"/>
      <c r="H1819" s="68"/>
      <c r="I1819" s="68"/>
      <c r="J1819" s="78"/>
      <c r="K1819" s="68"/>
      <c r="L1819" s="68"/>
      <c r="M1819" s="68"/>
      <c r="N1819" s="68"/>
      <c r="O1819" s="68"/>
      <c r="P1819" s="68"/>
      <c r="Q1819" s="68"/>
      <c r="R1819" s="68"/>
      <c r="S1819" s="68"/>
      <c r="T1819" s="68"/>
      <c r="U1819" s="68"/>
      <c r="V1819" s="68"/>
      <c r="W1819" s="68"/>
      <c r="X1819" s="68"/>
      <c r="Y1819" s="68"/>
      <c r="Z1819" s="68"/>
      <c r="AA1819" s="68"/>
      <c r="AB1819" s="68"/>
      <c r="AC1819" s="68"/>
      <c r="AD1819" s="68"/>
      <c r="AE1819" s="68"/>
    </row>
    <row r="1820" ht="26.25" customHeight="1">
      <c r="A1820" s="68"/>
      <c r="B1820" s="68"/>
      <c r="C1820" s="61" t="s">
        <v>129</v>
      </c>
      <c r="D1820" s="61" t="s">
        <v>130</v>
      </c>
      <c r="E1820" s="68"/>
      <c r="F1820" s="68"/>
      <c r="G1820" s="68"/>
      <c r="H1820" s="68"/>
      <c r="I1820" s="68"/>
      <c r="J1820" s="78"/>
      <c r="K1820" s="68"/>
      <c r="L1820" s="68"/>
      <c r="M1820" s="68"/>
      <c r="N1820" s="68"/>
      <c r="O1820" s="68"/>
      <c r="P1820" s="68"/>
      <c r="Q1820" s="68"/>
      <c r="R1820" s="68"/>
      <c r="S1820" s="68"/>
      <c r="T1820" s="68"/>
      <c r="U1820" s="68"/>
      <c r="V1820" s="68"/>
      <c r="W1820" s="68"/>
      <c r="X1820" s="68"/>
      <c r="Y1820" s="68"/>
      <c r="Z1820" s="68"/>
      <c r="AA1820" s="68"/>
      <c r="AB1820" s="68"/>
      <c r="AC1820" s="68"/>
      <c r="AD1820" s="68"/>
      <c r="AE1820" s="68"/>
    </row>
    <row r="1821" ht="26.25" customHeight="1">
      <c r="A1821" s="68"/>
      <c r="B1821" s="68"/>
      <c r="C1821" s="61" t="s">
        <v>129</v>
      </c>
      <c r="D1821" s="61" t="s">
        <v>130</v>
      </c>
      <c r="E1821" s="68"/>
      <c r="F1821" s="68"/>
      <c r="G1821" s="68"/>
      <c r="H1821" s="68"/>
      <c r="I1821" s="68"/>
      <c r="J1821" s="78"/>
      <c r="K1821" s="68"/>
      <c r="L1821" s="68"/>
      <c r="M1821" s="68"/>
      <c r="N1821" s="68"/>
      <c r="O1821" s="68"/>
      <c r="P1821" s="68"/>
      <c r="Q1821" s="68"/>
      <c r="R1821" s="68"/>
      <c r="S1821" s="68"/>
      <c r="T1821" s="68"/>
      <c r="U1821" s="68"/>
      <c r="V1821" s="68"/>
      <c r="W1821" s="68"/>
      <c r="X1821" s="68"/>
      <c r="Y1821" s="68"/>
      <c r="Z1821" s="68"/>
      <c r="AA1821" s="68"/>
      <c r="AB1821" s="68"/>
      <c r="AC1821" s="68"/>
      <c r="AD1821" s="68"/>
      <c r="AE1821" s="68"/>
    </row>
    <row r="1822" ht="26.25" customHeight="1">
      <c r="A1822" s="68"/>
      <c r="B1822" s="68"/>
      <c r="C1822" s="61" t="s">
        <v>129</v>
      </c>
      <c r="D1822" s="61" t="s">
        <v>130</v>
      </c>
      <c r="E1822" s="68"/>
      <c r="F1822" s="68"/>
      <c r="G1822" s="68"/>
      <c r="H1822" s="68"/>
      <c r="I1822" s="68"/>
      <c r="J1822" s="78"/>
      <c r="K1822" s="68"/>
      <c r="L1822" s="68"/>
      <c r="M1822" s="68"/>
      <c r="N1822" s="68"/>
      <c r="O1822" s="68"/>
      <c r="P1822" s="68"/>
      <c r="Q1822" s="68"/>
      <c r="R1822" s="68"/>
      <c r="S1822" s="68"/>
      <c r="T1822" s="68"/>
      <c r="U1822" s="68"/>
      <c r="V1822" s="68"/>
      <c r="W1822" s="68"/>
      <c r="X1822" s="68"/>
      <c r="Y1822" s="68"/>
      <c r="Z1822" s="68"/>
      <c r="AA1822" s="68"/>
      <c r="AB1822" s="68"/>
      <c r="AC1822" s="68"/>
      <c r="AD1822" s="68"/>
      <c r="AE1822" s="68"/>
    </row>
    <row r="1823" ht="26.25" customHeight="1">
      <c r="A1823" s="68"/>
      <c r="B1823" s="68"/>
      <c r="C1823" s="61" t="s">
        <v>129</v>
      </c>
      <c r="D1823" s="61" t="s">
        <v>130</v>
      </c>
      <c r="E1823" s="68"/>
      <c r="F1823" s="68"/>
      <c r="G1823" s="68"/>
      <c r="H1823" s="68"/>
      <c r="I1823" s="68"/>
      <c r="J1823" s="78"/>
      <c r="K1823" s="68"/>
      <c r="L1823" s="68"/>
      <c r="M1823" s="68"/>
      <c r="N1823" s="68"/>
      <c r="O1823" s="68"/>
      <c r="P1823" s="68"/>
      <c r="Q1823" s="68"/>
      <c r="R1823" s="68"/>
      <c r="S1823" s="68"/>
      <c r="T1823" s="68"/>
      <c r="U1823" s="68"/>
      <c r="V1823" s="68"/>
      <c r="W1823" s="68"/>
      <c r="X1823" s="68"/>
      <c r="Y1823" s="68"/>
      <c r="Z1823" s="68"/>
      <c r="AA1823" s="68"/>
      <c r="AB1823" s="68"/>
      <c r="AC1823" s="68"/>
      <c r="AD1823" s="68"/>
      <c r="AE1823" s="68"/>
    </row>
    <row r="1824" ht="26.25" customHeight="1">
      <c r="A1824" s="68"/>
      <c r="B1824" s="68"/>
      <c r="C1824" s="61" t="s">
        <v>129</v>
      </c>
      <c r="D1824" s="61" t="s">
        <v>130</v>
      </c>
      <c r="E1824" s="68"/>
      <c r="F1824" s="68"/>
      <c r="G1824" s="68"/>
      <c r="H1824" s="68"/>
      <c r="I1824" s="68"/>
      <c r="J1824" s="78"/>
      <c r="K1824" s="68"/>
      <c r="L1824" s="68"/>
      <c r="M1824" s="68"/>
      <c r="N1824" s="68"/>
      <c r="O1824" s="68"/>
      <c r="P1824" s="68"/>
      <c r="Q1824" s="68"/>
      <c r="R1824" s="68"/>
      <c r="S1824" s="68"/>
      <c r="T1824" s="68"/>
      <c r="U1824" s="68"/>
      <c r="V1824" s="68"/>
      <c r="W1824" s="68"/>
      <c r="X1824" s="68"/>
      <c r="Y1824" s="68"/>
      <c r="Z1824" s="68"/>
      <c r="AA1824" s="68"/>
      <c r="AB1824" s="68"/>
      <c r="AC1824" s="68"/>
      <c r="AD1824" s="68"/>
      <c r="AE1824" s="68"/>
    </row>
    <row r="1825" ht="26.25" customHeight="1">
      <c r="A1825" s="68"/>
      <c r="B1825" s="68"/>
      <c r="C1825" s="61" t="s">
        <v>129</v>
      </c>
      <c r="D1825" s="61" t="s">
        <v>130</v>
      </c>
      <c r="E1825" s="68"/>
      <c r="F1825" s="68"/>
      <c r="G1825" s="68"/>
      <c r="H1825" s="68"/>
      <c r="I1825" s="68"/>
      <c r="J1825" s="78"/>
      <c r="K1825" s="68"/>
      <c r="L1825" s="68"/>
      <c r="M1825" s="68"/>
      <c r="N1825" s="68"/>
      <c r="O1825" s="68"/>
      <c r="P1825" s="68"/>
      <c r="Q1825" s="68"/>
      <c r="R1825" s="68"/>
      <c r="S1825" s="68"/>
      <c r="T1825" s="68"/>
      <c r="U1825" s="68"/>
      <c r="V1825" s="68"/>
      <c r="W1825" s="68"/>
      <c r="X1825" s="68"/>
      <c r="Y1825" s="68"/>
      <c r="Z1825" s="68"/>
      <c r="AA1825" s="68"/>
      <c r="AB1825" s="68"/>
      <c r="AC1825" s="68"/>
      <c r="AD1825" s="68"/>
      <c r="AE1825" s="68"/>
    </row>
    <row r="1826" ht="26.25" customHeight="1">
      <c r="A1826" s="68"/>
      <c r="B1826" s="68"/>
      <c r="C1826" s="61" t="s">
        <v>129</v>
      </c>
      <c r="D1826" s="61" t="s">
        <v>130</v>
      </c>
      <c r="E1826" s="68"/>
      <c r="F1826" s="68"/>
      <c r="G1826" s="68"/>
      <c r="H1826" s="68"/>
      <c r="I1826" s="68"/>
      <c r="J1826" s="78"/>
      <c r="K1826" s="68"/>
      <c r="L1826" s="68"/>
      <c r="M1826" s="68"/>
      <c r="N1826" s="68"/>
      <c r="O1826" s="68"/>
      <c r="P1826" s="68"/>
      <c r="Q1826" s="68"/>
      <c r="R1826" s="68"/>
      <c r="S1826" s="68"/>
      <c r="T1826" s="68"/>
      <c r="U1826" s="68"/>
      <c r="V1826" s="68"/>
      <c r="W1826" s="68"/>
      <c r="X1826" s="68"/>
      <c r="Y1826" s="68"/>
      <c r="Z1826" s="68"/>
      <c r="AA1826" s="68"/>
      <c r="AB1826" s="68"/>
      <c r="AC1826" s="68"/>
      <c r="AD1826" s="68"/>
      <c r="AE1826" s="68"/>
    </row>
    <row r="1827" ht="26.25" customHeight="1">
      <c r="A1827" s="68"/>
      <c r="B1827" s="68"/>
      <c r="C1827" s="61" t="s">
        <v>129</v>
      </c>
      <c r="D1827" s="61" t="s">
        <v>130</v>
      </c>
      <c r="E1827" s="68"/>
      <c r="F1827" s="68"/>
      <c r="G1827" s="68"/>
      <c r="H1827" s="68"/>
      <c r="I1827" s="68"/>
      <c r="J1827" s="78"/>
      <c r="K1827" s="68"/>
      <c r="L1827" s="68"/>
      <c r="M1827" s="68"/>
      <c r="N1827" s="68"/>
      <c r="O1827" s="68"/>
      <c r="P1827" s="68"/>
      <c r="Q1827" s="68"/>
      <c r="R1827" s="68"/>
      <c r="S1827" s="68"/>
      <c r="T1827" s="68"/>
      <c r="U1827" s="68"/>
      <c r="V1827" s="68"/>
      <c r="W1827" s="68"/>
      <c r="X1827" s="68"/>
      <c r="Y1827" s="68"/>
      <c r="Z1827" s="68"/>
      <c r="AA1827" s="68"/>
      <c r="AB1827" s="68"/>
      <c r="AC1827" s="68"/>
      <c r="AD1827" s="68"/>
      <c r="AE1827" s="68"/>
    </row>
    <row r="1828" ht="26.25" customHeight="1">
      <c r="A1828" s="68"/>
      <c r="B1828" s="68"/>
      <c r="C1828" s="61" t="s">
        <v>129</v>
      </c>
      <c r="D1828" s="61" t="s">
        <v>130</v>
      </c>
      <c r="E1828" s="68"/>
      <c r="F1828" s="68"/>
      <c r="G1828" s="68"/>
      <c r="H1828" s="68"/>
      <c r="I1828" s="68"/>
      <c r="J1828" s="78"/>
      <c r="K1828" s="68"/>
      <c r="L1828" s="68"/>
      <c r="M1828" s="68"/>
      <c r="N1828" s="68"/>
      <c r="O1828" s="68"/>
      <c r="P1828" s="68"/>
      <c r="Q1828" s="68"/>
      <c r="R1828" s="68"/>
      <c r="S1828" s="68"/>
      <c r="T1828" s="68"/>
      <c r="U1828" s="68"/>
      <c r="V1828" s="68"/>
      <c r="W1828" s="68"/>
      <c r="X1828" s="68"/>
      <c r="Y1828" s="68"/>
      <c r="Z1828" s="68"/>
      <c r="AA1828" s="68"/>
      <c r="AB1828" s="68"/>
      <c r="AC1828" s="68"/>
      <c r="AD1828" s="68"/>
      <c r="AE1828" s="68"/>
    </row>
    <row r="1829" ht="26.25" customHeight="1">
      <c r="A1829" s="68"/>
      <c r="B1829" s="68"/>
      <c r="C1829" s="61" t="s">
        <v>129</v>
      </c>
      <c r="D1829" s="61" t="s">
        <v>130</v>
      </c>
      <c r="E1829" s="68"/>
      <c r="F1829" s="68"/>
      <c r="G1829" s="68"/>
      <c r="H1829" s="68"/>
      <c r="I1829" s="68"/>
      <c r="J1829" s="78"/>
      <c r="K1829" s="68"/>
      <c r="L1829" s="68"/>
      <c r="M1829" s="68"/>
      <c r="N1829" s="68"/>
      <c r="O1829" s="68"/>
      <c r="P1829" s="68"/>
      <c r="Q1829" s="68"/>
      <c r="R1829" s="68"/>
      <c r="S1829" s="68"/>
      <c r="T1829" s="68"/>
      <c r="U1829" s="68"/>
      <c r="V1829" s="68"/>
      <c r="W1829" s="68"/>
      <c r="X1829" s="68"/>
      <c r="Y1829" s="68"/>
      <c r="Z1829" s="68"/>
      <c r="AA1829" s="68"/>
      <c r="AB1829" s="68"/>
      <c r="AC1829" s="68"/>
      <c r="AD1829" s="68"/>
      <c r="AE1829" s="68"/>
    </row>
    <row r="1830" ht="26.25" customHeight="1">
      <c r="A1830" s="68"/>
      <c r="B1830" s="68"/>
      <c r="C1830" s="61" t="s">
        <v>129</v>
      </c>
      <c r="D1830" s="61" t="s">
        <v>130</v>
      </c>
      <c r="E1830" s="68"/>
      <c r="F1830" s="68"/>
      <c r="G1830" s="68"/>
      <c r="H1830" s="68"/>
      <c r="I1830" s="68"/>
      <c r="J1830" s="78"/>
      <c r="K1830" s="68"/>
      <c r="L1830" s="68"/>
      <c r="M1830" s="68"/>
      <c r="N1830" s="68"/>
      <c r="O1830" s="68"/>
      <c r="P1830" s="68"/>
      <c r="Q1830" s="68"/>
      <c r="R1830" s="68"/>
      <c r="S1830" s="68"/>
      <c r="T1830" s="68"/>
      <c r="U1830" s="68"/>
      <c r="V1830" s="68"/>
      <c r="W1830" s="68"/>
      <c r="X1830" s="68"/>
      <c r="Y1830" s="68"/>
      <c r="Z1830" s="68"/>
      <c r="AA1830" s="68"/>
      <c r="AB1830" s="68"/>
      <c r="AC1830" s="68"/>
      <c r="AD1830" s="68"/>
      <c r="AE1830" s="68"/>
    </row>
    <row r="1831" ht="26.25" customHeight="1">
      <c r="A1831" s="68"/>
      <c r="B1831" s="68"/>
      <c r="C1831" s="61" t="s">
        <v>129</v>
      </c>
      <c r="D1831" s="61" t="s">
        <v>130</v>
      </c>
      <c r="E1831" s="68"/>
      <c r="F1831" s="68"/>
      <c r="G1831" s="68"/>
      <c r="H1831" s="68"/>
      <c r="I1831" s="68"/>
      <c r="J1831" s="78"/>
      <c r="K1831" s="68"/>
      <c r="L1831" s="68"/>
      <c r="M1831" s="68"/>
      <c r="N1831" s="68"/>
      <c r="O1831" s="68"/>
      <c r="P1831" s="68"/>
      <c r="Q1831" s="68"/>
      <c r="R1831" s="68"/>
      <c r="S1831" s="68"/>
      <c r="T1831" s="68"/>
      <c r="U1831" s="68"/>
      <c r="V1831" s="68"/>
      <c r="W1831" s="68"/>
      <c r="X1831" s="68"/>
      <c r="Y1831" s="68"/>
      <c r="Z1831" s="68"/>
      <c r="AA1831" s="68"/>
      <c r="AB1831" s="68"/>
      <c r="AC1831" s="68"/>
      <c r="AD1831" s="68"/>
      <c r="AE1831" s="68"/>
    </row>
    <row r="1832" ht="26.25" customHeight="1">
      <c r="A1832" s="68"/>
      <c r="B1832" s="68"/>
      <c r="C1832" s="61" t="s">
        <v>129</v>
      </c>
      <c r="D1832" s="61" t="s">
        <v>130</v>
      </c>
      <c r="E1832" s="68"/>
      <c r="F1832" s="68"/>
      <c r="G1832" s="68"/>
      <c r="H1832" s="68"/>
      <c r="I1832" s="68"/>
      <c r="J1832" s="78"/>
      <c r="K1832" s="68"/>
      <c r="L1832" s="68"/>
      <c r="M1832" s="68"/>
      <c r="N1832" s="68"/>
      <c r="O1832" s="68"/>
      <c r="P1832" s="68"/>
      <c r="Q1832" s="68"/>
      <c r="R1832" s="68"/>
      <c r="S1832" s="68"/>
      <c r="T1832" s="68"/>
      <c r="U1832" s="68"/>
      <c r="V1832" s="68"/>
      <c r="W1832" s="68"/>
      <c r="X1832" s="68"/>
      <c r="Y1832" s="68"/>
      <c r="Z1832" s="68"/>
      <c r="AA1832" s="68"/>
      <c r="AB1832" s="68"/>
      <c r="AC1832" s="68"/>
      <c r="AD1832" s="68"/>
      <c r="AE1832" s="68"/>
    </row>
    <row r="1833" ht="26.25" customHeight="1">
      <c r="A1833" s="68"/>
      <c r="B1833" s="68"/>
      <c r="C1833" s="61" t="s">
        <v>129</v>
      </c>
      <c r="D1833" s="61" t="s">
        <v>130</v>
      </c>
      <c r="E1833" s="68"/>
      <c r="F1833" s="68"/>
      <c r="G1833" s="68"/>
      <c r="H1833" s="68"/>
      <c r="I1833" s="68"/>
      <c r="J1833" s="78"/>
      <c r="K1833" s="68"/>
      <c r="L1833" s="68"/>
      <c r="M1833" s="68"/>
      <c r="N1833" s="68"/>
      <c r="O1833" s="68"/>
      <c r="P1833" s="68"/>
      <c r="Q1833" s="68"/>
      <c r="R1833" s="68"/>
      <c r="S1833" s="68"/>
      <c r="T1833" s="68"/>
      <c r="U1833" s="68"/>
      <c r="V1833" s="68"/>
      <c r="W1833" s="68"/>
      <c r="X1833" s="68"/>
      <c r="Y1833" s="68"/>
      <c r="Z1833" s="68"/>
      <c r="AA1833" s="68"/>
      <c r="AB1833" s="68"/>
      <c r="AC1833" s="68"/>
      <c r="AD1833" s="68"/>
      <c r="AE1833" s="68"/>
    </row>
    <row r="1834" ht="26.25" customHeight="1">
      <c r="A1834" s="68"/>
      <c r="B1834" s="68"/>
      <c r="C1834" s="61" t="s">
        <v>129</v>
      </c>
      <c r="D1834" s="61" t="s">
        <v>130</v>
      </c>
      <c r="E1834" s="68"/>
      <c r="F1834" s="68"/>
      <c r="G1834" s="68"/>
      <c r="H1834" s="68"/>
      <c r="I1834" s="68"/>
      <c r="J1834" s="78"/>
      <c r="K1834" s="68"/>
      <c r="L1834" s="68"/>
      <c r="M1834" s="68"/>
      <c r="N1834" s="68"/>
      <c r="O1834" s="68"/>
      <c r="P1834" s="68"/>
      <c r="Q1834" s="68"/>
      <c r="R1834" s="68"/>
      <c r="S1834" s="68"/>
      <c r="T1834" s="68"/>
      <c r="U1834" s="68"/>
      <c r="V1834" s="68"/>
      <c r="W1834" s="68"/>
      <c r="X1834" s="68"/>
      <c r="Y1834" s="68"/>
      <c r="Z1834" s="68"/>
      <c r="AA1834" s="68"/>
      <c r="AB1834" s="68"/>
      <c r="AC1834" s="68"/>
      <c r="AD1834" s="68"/>
      <c r="AE1834" s="68"/>
    </row>
    <row r="1835" ht="26.25" customHeight="1">
      <c r="A1835" s="68"/>
      <c r="B1835" s="68"/>
      <c r="C1835" s="61" t="s">
        <v>129</v>
      </c>
      <c r="D1835" s="61" t="s">
        <v>130</v>
      </c>
      <c r="E1835" s="68"/>
      <c r="F1835" s="68"/>
      <c r="G1835" s="68"/>
      <c r="H1835" s="68"/>
      <c r="I1835" s="68"/>
      <c r="J1835" s="78"/>
      <c r="K1835" s="68"/>
      <c r="L1835" s="68"/>
      <c r="M1835" s="68"/>
      <c r="N1835" s="68"/>
      <c r="O1835" s="68"/>
      <c r="P1835" s="68"/>
      <c r="Q1835" s="68"/>
      <c r="R1835" s="68"/>
      <c r="S1835" s="68"/>
      <c r="T1835" s="68"/>
      <c r="U1835" s="68"/>
      <c r="V1835" s="68"/>
      <c r="W1835" s="68"/>
      <c r="X1835" s="68"/>
      <c r="Y1835" s="68"/>
      <c r="Z1835" s="68"/>
      <c r="AA1835" s="68"/>
      <c r="AB1835" s="68"/>
      <c r="AC1835" s="68"/>
      <c r="AD1835" s="68"/>
      <c r="AE1835" s="68"/>
    </row>
    <row r="1836" ht="26.25" customHeight="1">
      <c r="A1836" s="68"/>
      <c r="B1836" s="68"/>
      <c r="C1836" s="61" t="s">
        <v>129</v>
      </c>
      <c r="D1836" s="61" t="s">
        <v>130</v>
      </c>
      <c r="E1836" s="68"/>
      <c r="F1836" s="68"/>
      <c r="G1836" s="68"/>
      <c r="H1836" s="68"/>
      <c r="I1836" s="68"/>
      <c r="J1836" s="78"/>
      <c r="K1836" s="68"/>
      <c r="L1836" s="68"/>
      <c r="M1836" s="68"/>
      <c r="N1836" s="68"/>
      <c r="O1836" s="68"/>
      <c r="P1836" s="68"/>
      <c r="Q1836" s="68"/>
      <c r="R1836" s="68"/>
      <c r="S1836" s="68"/>
      <c r="T1836" s="68"/>
      <c r="U1836" s="68"/>
      <c r="V1836" s="68"/>
      <c r="W1836" s="68"/>
      <c r="X1836" s="68"/>
      <c r="Y1836" s="68"/>
      <c r="Z1836" s="68"/>
      <c r="AA1836" s="68"/>
      <c r="AB1836" s="68"/>
      <c r="AC1836" s="68"/>
      <c r="AD1836" s="68"/>
      <c r="AE1836" s="68"/>
    </row>
    <row r="1837" ht="26.25" customHeight="1">
      <c r="A1837" s="68"/>
      <c r="B1837" s="68"/>
      <c r="C1837" s="61" t="s">
        <v>129</v>
      </c>
      <c r="D1837" s="61" t="s">
        <v>130</v>
      </c>
      <c r="E1837" s="68"/>
      <c r="F1837" s="68"/>
      <c r="G1837" s="68"/>
      <c r="H1837" s="68"/>
      <c r="I1837" s="68"/>
      <c r="J1837" s="78"/>
      <c r="K1837" s="68"/>
      <c r="L1837" s="68"/>
      <c r="M1837" s="68"/>
      <c r="N1837" s="68"/>
      <c r="O1837" s="68"/>
      <c r="P1837" s="68"/>
      <c r="Q1837" s="68"/>
      <c r="R1837" s="68"/>
      <c r="S1837" s="68"/>
      <c r="T1837" s="68"/>
      <c r="U1837" s="68"/>
      <c r="V1837" s="68"/>
      <c r="W1837" s="68"/>
      <c r="X1837" s="68"/>
      <c r="Y1837" s="68"/>
      <c r="Z1837" s="68"/>
      <c r="AA1837" s="68"/>
      <c r="AB1837" s="68"/>
      <c r="AC1837" s="68"/>
      <c r="AD1837" s="68"/>
      <c r="AE1837" s="68"/>
    </row>
    <row r="1838" ht="26.25" customHeight="1">
      <c r="A1838" s="68"/>
      <c r="B1838" s="68"/>
      <c r="C1838" s="61" t="s">
        <v>129</v>
      </c>
      <c r="D1838" s="61" t="s">
        <v>130</v>
      </c>
      <c r="E1838" s="68"/>
      <c r="F1838" s="68"/>
      <c r="G1838" s="68"/>
      <c r="H1838" s="68"/>
      <c r="I1838" s="68"/>
      <c r="J1838" s="78"/>
      <c r="K1838" s="68"/>
      <c r="L1838" s="68"/>
      <c r="M1838" s="68"/>
      <c r="N1838" s="68"/>
      <c r="O1838" s="68"/>
      <c r="P1838" s="68"/>
      <c r="Q1838" s="68"/>
      <c r="R1838" s="68"/>
      <c r="S1838" s="68"/>
      <c r="T1838" s="68"/>
      <c r="U1838" s="68"/>
      <c r="V1838" s="68"/>
      <c r="W1838" s="68"/>
      <c r="X1838" s="68"/>
      <c r="Y1838" s="68"/>
      <c r="Z1838" s="68"/>
      <c r="AA1838" s="68"/>
      <c r="AB1838" s="68"/>
      <c r="AC1838" s="68"/>
      <c r="AD1838" s="68"/>
      <c r="AE1838" s="68"/>
    </row>
    <row r="1839" ht="26.25" customHeight="1">
      <c r="A1839" s="68"/>
      <c r="B1839" s="68"/>
      <c r="C1839" s="61" t="s">
        <v>129</v>
      </c>
      <c r="D1839" s="61" t="s">
        <v>130</v>
      </c>
      <c r="E1839" s="68"/>
      <c r="F1839" s="68"/>
      <c r="G1839" s="68"/>
      <c r="H1839" s="68"/>
      <c r="I1839" s="68"/>
      <c r="J1839" s="78"/>
      <c r="K1839" s="68"/>
      <c r="L1839" s="68"/>
      <c r="M1839" s="68"/>
      <c r="N1839" s="68"/>
      <c r="O1839" s="68"/>
      <c r="P1839" s="68"/>
      <c r="Q1839" s="68"/>
      <c r="R1839" s="68"/>
      <c r="S1839" s="68"/>
      <c r="T1839" s="68"/>
      <c r="U1839" s="68"/>
      <c r="V1839" s="68"/>
      <c r="W1839" s="68"/>
      <c r="X1839" s="68"/>
      <c r="Y1839" s="68"/>
      <c r="Z1839" s="68"/>
      <c r="AA1839" s="68"/>
      <c r="AB1839" s="68"/>
      <c r="AC1839" s="68"/>
      <c r="AD1839" s="68"/>
      <c r="AE1839" s="68"/>
    </row>
    <row r="1840" ht="26.25" customHeight="1">
      <c r="A1840" s="68"/>
      <c r="B1840" s="68"/>
      <c r="C1840" s="61" t="s">
        <v>129</v>
      </c>
      <c r="D1840" s="61" t="s">
        <v>130</v>
      </c>
      <c r="E1840" s="68"/>
      <c r="F1840" s="68"/>
      <c r="G1840" s="68"/>
      <c r="H1840" s="68"/>
      <c r="I1840" s="68"/>
      <c r="J1840" s="78"/>
      <c r="K1840" s="68"/>
      <c r="L1840" s="68"/>
      <c r="M1840" s="68"/>
      <c r="N1840" s="68"/>
      <c r="O1840" s="68"/>
      <c r="P1840" s="68"/>
      <c r="Q1840" s="68"/>
      <c r="R1840" s="68"/>
      <c r="S1840" s="68"/>
      <c r="T1840" s="68"/>
      <c r="U1840" s="68"/>
      <c r="V1840" s="68"/>
      <c r="W1840" s="68"/>
      <c r="X1840" s="68"/>
      <c r="Y1840" s="68"/>
      <c r="Z1840" s="68"/>
      <c r="AA1840" s="68"/>
      <c r="AB1840" s="68"/>
      <c r="AC1840" s="68"/>
      <c r="AD1840" s="68"/>
      <c r="AE1840" s="68"/>
    </row>
    <row r="1841" ht="26.25" customHeight="1">
      <c r="A1841" s="68"/>
      <c r="B1841" s="68"/>
      <c r="C1841" s="61" t="s">
        <v>129</v>
      </c>
      <c r="D1841" s="61" t="s">
        <v>130</v>
      </c>
      <c r="E1841" s="68"/>
      <c r="F1841" s="68"/>
      <c r="G1841" s="68"/>
      <c r="H1841" s="68"/>
      <c r="I1841" s="68"/>
      <c r="J1841" s="78"/>
      <c r="K1841" s="68"/>
      <c r="L1841" s="68"/>
      <c r="M1841" s="68"/>
      <c r="N1841" s="68"/>
      <c r="O1841" s="68"/>
      <c r="P1841" s="68"/>
      <c r="Q1841" s="68"/>
      <c r="R1841" s="68"/>
      <c r="S1841" s="68"/>
      <c r="T1841" s="68"/>
      <c r="U1841" s="68"/>
      <c r="V1841" s="68"/>
      <c r="W1841" s="68"/>
      <c r="X1841" s="68"/>
      <c r="Y1841" s="68"/>
      <c r="Z1841" s="68"/>
      <c r="AA1841" s="68"/>
      <c r="AB1841" s="68"/>
      <c r="AC1841" s="68"/>
      <c r="AD1841" s="68"/>
      <c r="AE1841" s="68"/>
    </row>
    <row r="1842" ht="26.25" customHeight="1">
      <c r="A1842" s="68"/>
      <c r="B1842" s="68"/>
      <c r="C1842" s="61" t="s">
        <v>129</v>
      </c>
      <c r="D1842" s="61" t="s">
        <v>130</v>
      </c>
      <c r="E1842" s="68"/>
      <c r="F1842" s="68"/>
      <c r="G1842" s="68"/>
      <c r="H1842" s="68"/>
      <c r="I1842" s="68"/>
      <c r="J1842" s="78"/>
      <c r="K1842" s="68"/>
      <c r="L1842" s="68"/>
      <c r="M1842" s="68"/>
      <c r="N1842" s="68"/>
      <c r="O1842" s="68"/>
      <c r="P1842" s="68"/>
      <c r="Q1842" s="68"/>
      <c r="R1842" s="68"/>
      <c r="S1842" s="68"/>
      <c r="T1842" s="68"/>
      <c r="U1842" s="68"/>
      <c r="V1842" s="68"/>
      <c r="W1842" s="68"/>
      <c r="X1842" s="68"/>
      <c r="Y1842" s="68"/>
      <c r="Z1842" s="68"/>
      <c r="AA1842" s="68"/>
      <c r="AB1842" s="68"/>
      <c r="AC1842" s="68"/>
      <c r="AD1842" s="68"/>
      <c r="AE1842" s="68"/>
    </row>
    <row r="1843" ht="26.25" customHeight="1">
      <c r="A1843" s="68"/>
      <c r="B1843" s="68"/>
      <c r="C1843" s="61" t="s">
        <v>129</v>
      </c>
      <c r="D1843" s="61" t="s">
        <v>130</v>
      </c>
      <c r="E1843" s="68"/>
      <c r="F1843" s="68"/>
      <c r="G1843" s="68"/>
      <c r="H1843" s="68"/>
      <c r="I1843" s="68"/>
      <c r="J1843" s="78"/>
      <c r="K1843" s="68"/>
      <c r="L1843" s="68"/>
      <c r="M1843" s="68"/>
      <c r="N1843" s="68"/>
      <c r="O1843" s="68"/>
      <c r="P1843" s="68"/>
      <c r="Q1843" s="68"/>
      <c r="R1843" s="68"/>
      <c r="S1843" s="68"/>
      <c r="T1843" s="68"/>
      <c r="U1843" s="68"/>
      <c r="V1843" s="68"/>
      <c r="W1843" s="68"/>
      <c r="X1843" s="68"/>
      <c r="Y1843" s="68"/>
      <c r="Z1843" s="68"/>
      <c r="AA1843" s="68"/>
      <c r="AB1843" s="68"/>
      <c r="AC1843" s="68"/>
      <c r="AD1843" s="68"/>
      <c r="AE1843" s="68"/>
    </row>
    <row r="1844" ht="26.25" customHeight="1">
      <c r="A1844" s="68"/>
      <c r="B1844" s="68"/>
      <c r="C1844" s="61" t="s">
        <v>129</v>
      </c>
      <c r="D1844" s="61" t="s">
        <v>130</v>
      </c>
      <c r="E1844" s="68"/>
      <c r="F1844" s="68"/>
      <c r="G1844" s="68"/>
      <c r="H1844" s="68"/>
      <c r="I1844" s="68"/>
      <c r="J1844" s="78"/>
      <c r="K1844" s="68"/>
      <c r="L1844" s="68"/>
      <c r="M1844" s="68"/>
      <c r="N1844" s="68"/>
      <c r="O1844" s="68"/>
      <c r="P1844" s="68"/>
      <c r="Q1844" s="68"/>
      <c r="R1844" s="68"/>
      <c r="S1844" s="68"/>
      <c r="T1844" s="68"/>
      <c r="U1844" s="68"/>
      <c r="V1844" s="68"/>
      <c r="W1844" s="68"/>
      <c r="X1844" s="68"/>
      <c r="Y1844" s="68"/>
      <c r="Z1844" s="68"/>
      <c r="AA1844" s="68"/>
      <c r="AB1844" s="68"/>
      <c r="AC1844" s="68"/>
      <c r="AD1844" s="68"/>
      <c r="AE1844" s="68"/>
    </row>
    <row r="1845" ht="26.25" customHeight="1">
      <c r="A1845" s="68"/>
      <c r="B1845" s="68"/>
      <c r="C1845" s="61" t="s">
        <v>129</v>
      </c>
      <c r="D1845" s="61" t="s">
        <v>130</v>
      </c>
      <c r="E1845" s="68"/>
      <c r="F1845" s="68"/>
      <c r="G1845" s="68"/>
      <c r="H1845" s="68"/>
      <c r="I1845" s="68"/>
      <c r="J1845" s="78"/>
      <c r="K1845" s="68"/>
      <c r="L1845" s="68"/>
      <c r="M1845" s="68"/>
      <c r="N1845" s="68"/>
      <c r="O1845" s="68"/>
      <c r="P1845" s="68"/>
      <c r="Q1845" s="68"/>
      <c r="R1845" s="68"/>
      <c r="S1845" s="68"/>
      <c r="T1845" s="68"/>
      <c r="U1845" s="68"/>
      <c r="V1845" s="68"/>
      <c r="W1845" s="68"/>
      <c r="X1845" s="68"/>
      <c r="Y1845" s="68"/>
      <c r="Z1845" s="68"/>
      <c r="AA1845" s="68"/>
      <c r="AB1845" s="68"/>
      <c r="AC1845" s="68"/>
      <c r="AD1845" s="68"/>
      <c r="AE1845" s="68"/>
    </row>
    <row r="1846" ht="26.25" customHeight="1">
      <c r="A1846" s="68"/>
      <c r="B1846" s="68"/>
      <c r="C1846" s="61" t="s">
        <v>129</v>
      </c>
      <c r="D1846" s="61" t="s">
        <v>130</v>
      </c>
      <c r="E1846" s="68"/>
      <c r="F1846" s="68"/>
      <c r="G1846" s="68"/>
      <c r="H1846" s="68"/>
      <c r="I1846" s="68"/>
      <c r="J1846" s="78"/>
      <c r="K1846" s="68"/>
      <c r="L1846" s="68"/>
      <c r="M1846" s="68"/>
      <c r="N1846" s="68"/>
      <c r="O1846" s="68"/>
      <c r="P1846" s="68"/>
      <c r="Q1846" s="68"/>
      <c r="R1846" s="68"/>
      <c r="S1846" s="68"/>
      <c r="T1846" s="68"/>
      <c r="U1846" s="68"/>
      <c r="V1846" s="68"/>
      <c r="W1846" s="68"/>
      <c r="X1846" s="68"/>
      <c r="Y1846" s="68"/>
      <c r="Z1846" s="68"/>
      <c r="AA1846" s="68"/>
      <c r="AB1846" s="68"/>
      <c r="AC1846" s="68"/>
      <c r="AD1846" s="68"/>
      <c r="AE1846" s="68"/>
    </row>
    <row r="1847" ht="26.25" customHeight="1">
      <c r="A1847" s="68"/>
      <c r="B1847" s="68"/>
      <c r="C1847" s="61" t="s">
        <v>129</v>
      </c>
      <c r="D1847" s="61" t="s">
        <v>130</v>
      </c>
      <c r="E1847" s="68"/>
      <c r="F1847" s="68"/>
      <c r="G1847" s="68"/>
      <c r="H1847" s="68"/>
      <c r="I1847" s="68"/>
      <c r="J1847" s="78"/>
      <c r="K1847" s="68"/>
      <c r="L1847" s="68"/>
      <c r="M1847" s="68"/>
      <c r="N1847" s="68"/>
      <c r="O1847" s="68"/>
      <c r="P1847" s="68"/>
      <c r="Q1847" s="68"/>
      <c r="R1847" s="68"/>
      <c r="S1847" s="68"/>
      <c r="T1847" s="68"/>
      <c r="U1847" s="68"/>
      <c r="V1847" s="68"/>
      <c r="W1847" s="68"/>
      <c r="X1847" s="68"/>
      <c r="Y1847" s="68"/>
      <c r="Z1847" s="68"/>
      <c r="AA1847" s="68"/>
      <c r="AB1847" s="68"/>
      <c r="AC1847" s="68"/>
      <c r="AD1847" s="68"/>
      <c r="AE1847" s="68"/>
    </row>
    <row r="1848" ht="26.25" customHeight="1">
      <c r="A1848" s="68"/>
      <c r="B1848" s="68"/>
      <c r="C1848" s="61" t="s">
        <v>129</v>
      </c>
      <c r="D1848" s="61" t="s">
        <v>130</v>
      </c>
      <c r="E1848" s="68"/>
      <c r="F1848" s="68"/>
      <c r="G1848" s="68"/>
      <c r="H1848" s="68"/>
      <c r="I1848" s="68"/>
      <c r="J1848" s="78"/>
      <c r="K1848" s="68"/>
      <c r="L1848" s="68"/>
      <c r="M1848" s="68"/>
      <c r="N1848" s="68"/>
      <c r="O1848" s="68"/>
      <c r="P1848" s="68"/>
      <c r="Q1848" s="68"/>
      <c r="R1848" s="68"/>
      <c r="S1848" s="68"/>
      <c r="T1848" s="68"/>
      <c r="U1848" s="68"/>
      <c r="V1848" s="68"/>
      <c r="W1848" s="68"/>
      <c r="X1848" s="68"/>
      <c r="Y1848" s="68"/>
      <c r="Z1848" s="68"/>
      <c r="AA1848" s="68"/>
      <c r="AB1848" s="68"/>
      <c r="AC1848" s="68"/>
      <c r="AD1848" s="68"/>
      <c r="AE1848" s="68"/>
    </row>
    <row r="1849" ht="26.25" customHeight="1">
      <c r="A1849" s="68"/>
      <c r="B1849" s="68"/>
      <c r="C1849" s="61" t="s">
        <v>129</v>
      </c>
      <c r="D1849" s="61" t="s">
        <v>130</v>
      </c>
      <c r="E1849" s="68"/>
      <c r="F1849" s="68"/>
      <c r="G1849" s="68"/>
      <c r="H1849" s="68"/>
      <c r="I1849" s="68"/>
      <c r="J1849" s="78"/>
      <c r="K1849" s="68"/>
      <c r="L1849" s="68"/>
      <c r="M1849" s="68"/>
      <c r="N1849" s="68"/>
      <c r="O1849" s="68"/>
      <c r="P1849" s="68"/>
      <c r="Q1849" s="68"/>
      <c r="R1849" s="68"/>
      <c r="S1849" s="68"/>
      <c r="T1849" s="68"/>
      <c r="U1849" s="68"/>
      <c r="V1849" s="68"/>
      <c r="W1849" s="68"/>
      <c r="X1849" s="68"/>
      <c r="Y1849" s="68"/>
      <c r="Z1849" s="68"/>
      <c r="AA1849" s="68"/>
      <c r="AB1849" s="68"/>
      <c r="AC1849" s="68"/>
      <c r="AD1849" s="68"/>
      <c r="AE1849" s="68"/>
    </row>
    <row r="1850" ht="26.25" customHeight="1">
      <c r="A1850" s="68"/>
      <c r="B1850" s="68"/>
      <c r="C1850" s="61" t="s">
        <v>129</v>
      </c>
      <c r="D1850" s="61" t="s">
        <v>130</v>
      </c>
      <c r="E1850" s="68"/>
      <c r="F1850" s="68"/>
      <c r="G1850" s="68"/>
      <c r="H1850" s="68"/>
      <c r="I1850" s="68"/>
      <c r="J1850" s="78"/>
      <c r="K1850" s="68"/>
      <c r="L1850" s="68"/>
      <c r="M1850" s="68"/>
      <c r="N1850" s="68"/>
      <c r="O1850" s="68"/>
      <c r="P1850" s="68"/>
      <c r="Q1850" s="68"/>
      <c r="R1850" s="68"/>
      <c r="S1850" s="68"/>
      <c r="T1850" s="68"/>
      <c r="U1850" s="68"/>
      <c r="V1850" s="68"/>
      <c r="W1850" s="68"/>
      <c r="X1850" s="68"/>
      <c r="Y1850" s="68"/>
      <c r="Z1850" s="68"/>
      <c r="AA1850" s="68"/>
      <c r="AB1850" s="68"/>
      <c r="AC1850" s="68"/>
      <c r="AD1850" s="68"/>
      <c r="AE1850" s="68"/>
    </row>
    <row r="1851" ht="26.25" customHeight="1">
      <c r="A1851" s="68"/>
      <c r="B1851" s="68"/>
      <c r="C1851" s="61" t="s">
        <v>129</v>
      </c>
      <c r="D1851" s="61" t="s">
        <v>130</v>
      </c>
      <c r="E1851" s="68"/>
      <c r="F1851" s="68"/>
      <c r="G1851" s="68"/>
      <c r="H1851" s="68"/>
      <c r="I1851" s="68"/>
      <c r="J1851" s="78"/>
      <c r="K1851" s="68"/>
      <c r="L1851" s="68"/>
      <c r="M1851" s="68"/>
      <c r="N1851" s="68"/>
      <c r="O1851" s="68"/>
      <c r="P1851" s="68"/>
      <c r="Q1851" s="68"/>
      <c r="R1851" s="68"/>
      <c r="S1851" s="68"/>
      <c r="T1851" s="68"/>
      <c r="U1851" s="68"/>
      <c r="V1851" s="68"/>
      <c r="W1851" s="68"/>
      <c r="X1851" s="68"/>
      <c r="Y1851" s="68"/>
      <c r="Z1851" s="68"/>
      <c r="AA1851" s="68"/>
      <c r="AB1851" s="68"/>
      <c r="AC1851" s="68"/>
      <c r="AD1851" s="68"/>
      <c r="AE1851" s="68"/>
    </row>
    <row r="1852" ht="26.25" customHeight="1">
      <c r="A1852" s="68"/>
      <c r="B1852" s="68"/>
      <c r="C1852" s="61" t="s">
        <v>129</v>
      </c>
      <c r="D1852" s="61" t="s">
        <v>130</v>
      </c>
      <c r="E1852" s="68"/>
      <c r="F1852" s="68"/>
      <c r="G1852" s="68"/>
      <c r="H1852" s="68"/>
      <c r="I1852" s="68"/>
      <c r="J1852" s="78"/>
      <c r="K1852" s="68"/>
      <c r="L1852" s="68"/>
      <c r="M1852" s="68"/>
      <c r="N1852" s="68"/>
      <c r="O1852" s="68"/>
      <c r="P1852" s="68"/>
      <c r="Q1852" s="68"/>
      <c r="R1852" s="68"/>
      <c r="S1852" s="68"/>
      <c r="T1852" s="68"/>
      <c r="U1852" s="68"/>
      <c r="V1852" s="68"/>
      <c r="W1852" s="68"/>
      <c r="X1852" s="68"/>
      <c r="Y1852" s="68"/>
      <c r="Z1852" s="68"/>
      <c r="AA1852" s="68"/>
      <c r="AB1852" s="68"/>
      <c r="AC1852" s="68"/>
      <c r="AD1852" s="68"/>
      <c r="AE1852" s="68"/>
    </row>
    <row r="1853" ht="26.25" customHeight="1">
      <c r="A1853" s="68"/>
      <c r="B1853" s="68"/>
      <c r="C1853" s="61" t="s">
        <v>129</v>
      </c>
      <c r="D1853" s="61" t="s">
        <v>130</v>
      </c>
      <c r="E1853" s="68"/>
      <c r="F1853" s="68"/>
      <c r="G1853" s="68"/>
      <c r="H1853" s="68"/>
      <c r="I1853" s="68"/>
      <c r="J1853" s="78"/>
      <c r="K1853" s="68"/>
      <c r="L1853" s="68"/>
      <c r="M1853" s="68"/>
      <c r="N1853" s="68"/>
      <c r="O1853" s="68"/>
      <c r="P1853" s="68"/>
      <c r="Q1853" s="68"/>
      <c r="R1853" s="68"/>
      <c r="S1853" s="68"/>
      <c r="T1853" s="68"/>
      <c r="U1853" s="68"/>
      <c r="V1853" s="68"/>
      <c r="W1853" s="68"/>
      <c r="X1853" s="68"/>
      <c r="Y1853" s="68"/>
      <c r="Z1853" s="68"/>
      <c r="AA1853" s="68"/>
      <c r="AB1853" s="68"/>
      <c r="AC1853" s="68"/>
      <c r="AD1853" s="68"/>
      <c r="AE1853" s="68"/>
    </row>
    <row r="1854" ht="26.25" customHeight="1">
      <c r="A1854" s="68"/>
      <c r="B1854" s="68"/>
      <c r="C1854" s="61" t="s">
        <v>129</v>
      </c>
      <c r="D1854" s="61" t="s">
        <v>130</v>
      </c>
      <c r="E1854" s="68"/>
      <c r="F1854" s="68"/>
      <c r="G1854" s="68"/>
      <c r="H1854" s="68"/>
      <c r="I1854" s="68"/>
      <c r="J1854" s="78"/>
      <c r="K1854" s="68"/>
      <c r="L1854" s="68"/>
      <c r="M1854" s="68"/>
      <c r="N1854" s="68"/>
      <c r="O1854" s="68"/>
      <c r="P1854" s="68"/>
      <c r="Q1854" s="68"/>
      <c r="R1854" s="68"/>
      <c r="S1854" s="68"/>
      <c r="T1854" s="68"/>
      <c r="U1854" s="68"/>
      <c r="V1854" s="68"/>
      <c r="W1854" s="68"/>
      <c r="X1854" s="68"/>
      <c r="Y1854" s="68"/>
      <c r="Z1854" s="68"/>
      <c r="AA1854" s="68"/>
      <c r="AB1854" s="68"/>
      <c r="AC1854" s="68"/>
      <c r="AD1854" s="68"/>
      <c r="AE1854" s="68"/>
    </row>
    <row r="1855" ht="26.25" customHeight="1">
      <c r="A1855" s="68"/>
      <c r="B1855" s="68"/>
      <c r="C1855" s="61" t="s">
        <v>129</v>
      </c>
      <c r="D1855" s="61" t="s">
        <v>130</v>
      </c>
      <c r="E1855" s="68"/>
      <c r="F1855" s="68"/>
      <c r="G1855" s="68"/>
      <c r="H1855" s="68"/>
      <c r="I1855" s="68"/>
      <c r="J1855" s="78"/>
      <c r="K1855" s="68"/>
      <c r="L1855" s="68"/>
      <c r="M1855" s="68"/>
      <c r="N1855" s="68"/>
      <c r="O1855" s="68"/>
      <c r="P1855" s="68"/>
      <c r="Q1855" s="68"/>
      <c r="R1855" s="68"/>
      <c r="S1855" s="68"/>
      <c r="T1855" s="68"/>
      <c r="U1855" s="68"/>
      <c r="V1855" s="68"/>
      <c r="W1855" s="68"/>
      <c r="X1855" s="68"/>
      <c r="Y1855" s="68"/>
      <c r="Z1855" s="68"/>
      <c r="AA1855" s="68"/>
      <c r="AB1855" s="68"/>
      <c r="AC1855" s="68"/>
      <c r="AD1855" s="68"/>
      <c r="AE1855" s="68"/>
    </row>
    <row r="1856" ht="26.25" customHeight="1">
      <c r="A1856" s="68"/>
      <c r="B1856" s="68"/>
      <c r="C1856" s="61" t="s">
        <v>129</v>
      </c>
      <c r="D1856" s="61" t="s">
        <v>130</v>
      </c>
      <c r="E1856" s="68"/>
      <c r="F1856" s="68"/>
      <c r="G1856" s="68"/>
      <c r="H1856" s="68"/>
      <c r="I1856" s="68"/>
      <c r="J1856" s="78"/>
      <c r="K1856" s="68"/>
      <c r="L1856" s="68"/>
      <c r="M1856" s="68"/>
      <c r="N1856" s="68"/>
      <c r="O1856" s="68"/>
      <c r="P1856" s="68"/>
      <c r="Q1856" s="68"/>
      <c r="R1856" s="68"/>
      <c r="S1856" s="68"/>
      <c r="T1856" s="68"/>
      <c r="U1856" s="68"/>
      <c r="V1856" s="68"/>
      <c r="W1856" s="68"/>
      <c r="X1856" s="68"/>
      <c r="Y1856" s="68"/>
      <c r="Z1856" s="68"/>
      <c r="AA1856" s="68"/>
      <c r="AB1856" s="68"/>
      <c r="AC1856" s="68"/>
      <c r="AD1856" s="68"/>
      <c r="AE1856" s="68"/>
    </row>
    <row r="1857" ht="26.25" customHeight="1">
      <c r="A1857" s="68"/>
      <c r="B1857" s="68"/>
      <c r="C1857" s="61" t="s">
        <v>129</v>
      </c>
      <c r="D1857" s="61" t="s">
        <v>130</v>
      </c>
      <c r="E1857" s="68"/>
      <c r="F1857" s="68"/>
      <c r="G1857" s="68"/>
      <c r="H1857" s="68"/>
      <c r="I1857" s="68"/>
      <c r="J1857" s="78"/>
      <c r="K1857" s="68"/>
      <c r="L1857" s="68"/>
      <c r="M1857" s="68"/>
      <c r="N1857" s="68"/>
      <c r="O1857" s="68"/>
      <c r="P1857" s="68"/>
      <c r="Q1857" s="68"/>
      <c r="R1857" s="68"/>
      <c r="S1857" s="68"/>
      <c r="T1857" s="68"/>
      <c r="U1857" s="68"/>
      <c r="V1857" s="68"/>
      <c r="W1857" s="68"/>
      <c r="X1857" s="68"/>
      <c r="Y1857" s="68"/>
      <c r="Z1857" s="68"/>
      <c r="AA1857" s="68"/>
      <c r="AB1857" s="68"/>
      <c r="AC1857" s="68"/>
      <c r="AD1857" s="68"/>
      <c r="AE1857" s="68"/>
    </row>
    <row r="1858" ht="26.25" customHeight="1">
      <c r="A1858" s="68"/>
      <c r="B1858" s="68"/>
      <c r="C1858" s="61" t="s">
        <v>129</v>
      </c>
      <c r="D1858" s="61" t="s">
        <v>130</v>
      </c>
      <c r="E1858" s="68"/>
      <c r="F1858" s="68"/>
      <c r="G1858" s="68"/>
      <c r="H1858" s="68"/>
      <c r="I1858" s="68"/>
      <c r="J1858" s="78"/>
      <c r="K1858" s="68"/>
      <c r="L1858" s="68"/>
      <c r="M1858" s="68"/>
      <c r="N1858" s="68"/>
      <c r="O1858" s="68"/>
      <c r="P1858" s="68"/>
      <c r="Q1858" s="68"/>
      <c r="R1858" s="68"/>
      <c r="S1858" s="68"/>
      <c r="T1858" s="68"/>
      <c r="U1858" s="68"/>
      <c r="V1858" s="68"/>
      <c r="W1858" s="68"/>
      <c r="X1858" s="68"/>
      <c r="Y1858" s="68"/>
      <c r="Z1858" s="68"/>
      <c r="AA1858" s="68"/>
      <c r="AB1858" s="68"/>
      <c r="AC1858" s="68"/>
      <c r="AD1858" s="68"/>
      <c r="AE1858" s="68"/>
    </row>
    <row r="1859" ht="26.25" customHeight="1">
      <c r="A1859" s="68"/>
      <c r="B1859" s="68"/>
      <c r="C1859" s="61" t="s">
        <v>129</v>
      </c>
      <c r="D1859" s="61" t="s">
        <v>130</v>
      </c>
      <c r="E1859" s="68"/>
      <c r="F1859" s="68"/>
      <c r="G1859" s="68"/>
      <c r="H1859" s="68"/>
      <c r="I1859" s="68"/>
      <c r="J1859" s="78"/>
      <c r="K1859" s="68"/>
      <c r="L1859" s="68"/>
      <c r="M1859" s="68"/>
      <c r="N1859" s="68"/>
      <c r="O1859" s="68"/>
      <c r="P1859" s="68"/>
      <c r="Q1859" s="68"/>
      <c r="R1859" s="68"/>
      <c r="S1859" s="68"/>
      <c r="T1859" s="68"/>
      <c r="U1859" s="68"/>
      <c r="V1859" s="68"/>
      <c r="W1859" s="68"/>
      <c r="X1859" s="68"/>
      <c r="Y1859" s="68"/>
      <c r="Z1859" s="68"/>
      <c r="AA1859" s="68"/>
      <c r="AB1859" s="68"/>
      <c r="AC1859" s="68"/>
      <c r="AD1859" s="68"/>
      <c r="AE1859" s="68"/>
    </row>
    <row r="1860" ht="26.25" customHeight="1">
      <c r="A1860" s="68"/>
      <c r="B1860" s="68"/>
      <c r="C1860" s="61" t="s">
        <v>129</v>
      </c>
      <c r="D1860" s="61" t="s">
        <v>130</v>
      </c>
      <c r="E1860" s="68"/>
      <c r="F1860" s="68"/>
      <c r="G1860" s="68"/>
      <c r="H1860" s="68"/>
      <c r="I1860" s="68"/>
      <c r="J1860" s="78"/>
      <c r="K1860" s="68"/>
      <c r="L1860" s="68"/>
      <c r="M1860" s="68"/>
      <c r="N1860" s="68"/>
      <c r="O1860" s="68"/>
      <c r="P1860" s="68"/>
      <c r="Q1860" s="68"/>
      <c r="R1860" s="68"/>
      <c r="S1860" s="68"/>
      <c r="T1860" s="68"/>
      <c r="U1860" s="68"/>
      <c r="V1860" s="68"/>
      <c r="W1860" s="68"/>
      <c r="X1860" s="68"/>
      <c r="Y1860" s="68"/>
      <c r="Z1860" s="68"/>
      <c r="AA1860" s="68"/>
      <c r="AB1860" s="68"/>
      <c r="AC1860" s="68"/>
      <c r="AD1860" s="68"/>
      <c r="AE1860" s="68"/>
    </row>
    <row r="1861" ht="26.25" customHeight="1">
      <c r="A1861" s="68"/>
      <c r="B1861" s="68"/>
      <c r="C1861" s="61" t="s">
        <v>129</v>
      </c>
      <c r="D1861" s="61" t="s">
        <v>130</v>
      </c>
      <c r="E1861" s="68"/>
      <c r="F1861" s="68"/>
      <c r="G1861" s="68"/>
      <c r="H1861" s="68"/>
      <c r="I1861" s="68"/>
      <c r="J1861" s="78"/>
      <c r="K1861" s="68"/>
      <c r="L1861" s="68"/>
      <c r="M1861" s="68"/>
      <c r="N1861" s="68"/>
      <c r="O1861" s="68"/>
      <c r="P1861" s="68"/>
      <c r="Q1861" s="68"/>
      <c r="R1861" s="68"/>
      <c r="S1861" s="68"/>
      <c r="T1861" s="68"/>
      <c r="U1861" s="68"/>
      <c r="V1861" s="68"/>
      <c r="W1861" s="68"/>
      <c r="X1861" s="68"/>
      <c r="Y1861" s="68"/>
      <c r="Z1861" s="68"/>
      <c r="AA1861" s="68"/>
      <c r="AB1861" s="68"/>
      <c r="AC1861" s="68"/>
      <c r="AD1861" s="68"/>
      <c r="AE1861" s="68"/>
    </row>
    <row r="1862" ht="26.25" customHeight="1">
      <c r="A1862" s="68"/>
      <c r="B1862" s="68"/>
      <c r="C1862" s="61" t="s">
        <v>129</v>
      </c>
      <c r="D1862" s="61" t="s">
        <v>130</v>
      </c>
      <c r="E1862" s="68"/>
      <c r="F1862" s="68"/>
      <c r="G1862" s="68"/>
      <c r="H1862" s="68"/>
      <c r="I1862" s="68"/>
      <c r="J1862" s="78"/>
      <c r="K1862" s="68"/>
      <c r="L1862" s="68"/>
      <c r="M1862" s="68"/>
      <c r="N1862" s="68"/>
      <c r="O1862" s="68"/>
      <c r="P1862" s="68"/>
      <c r="Q1862" s="68"/>
      <c r="R1862" s="68"/>
      <c r="S1862" s="68"/>
      <c r="T1862" s="68"/>
      <c r="U1862" s="68"/>
      <c r="V1862" s="68"/>
      <c r="W1862" s="68"/>
      <c r="X1862" s="68"/>
      <c r="Y1862" s="68"/>
      <c r="Z1862" s="68"/>
      <c r="AA1862" s="68"/>
      <c r="AB1862" s="68"/>
      <c r="AC1862" s="68"/>
      <c r="AD1862" s="68"/>
      <c r="AE1862" s="68"/>
    </row>
    <row r="1863" ht="26.25" customHeight="1">
      <c r="A1863" s="68"/>
      <c r="B1863" s="68"/>
      <c r="C1863" s="61" t="s">
        <v>129</v>
      </c>
      <c r="D1863" s="61" t="s">
        <v>130</v>
      </c>
      <c r="E1863" s="68"/>
      <c r="F1863" s="68"/>
      <c r="G1863" s="68"/>
      <c r="H1863" s="68"/>
      <c r="I1863" s="68"/>
      <c r="J1863" s="78"/>
      <c r="K1863" s="68"/>
      <c r="L1863" s="68"/>
      <c r="M1863" s="68"/>
      <c r="N1863" s="68"/>
      <c r="O1863" s="68"/>
      <c r="P1863" s="68"/>
      <c r="Q1863" s="68"/>
      <c r="R1863" s="68"/>
      <c r="S1863" s="68"/>
      <c r="T1863" s="68"/>
      <c r="U1863" s="68"/>
      <c r="V1863" s="68"/>
      <c r="W1863" s="68"/>
      <c r="X1863" s="68"/>
      <c r="Y1863" s="68"/>
      <c r="Z1863" s="68"/>
      <c r="AA1863" s="68"/>
      <c r="AB1863" s="68"/>
      <c r="AC1863" s="68"/>
      <c r="AD1863" s="68"/>
      <c r="AE1863" s="68"/>
    </row>
    <row r="1864" ht="26.25" customHeight="1">
      <c r="A1864" s="68"/>
      <c r="B1864" s="68"/>
      <c r="C1864" s="61" t="s">
        <v>129</v>
      </c>
      <c r="D1864" s="61" t="s">
        <v>130</v>
      </c>
      <c r="E1864" s="68"/>
      <c r="F1864" s="68"/>
      <c r="G1864" s="68"/>
      <c r="H1864" s="68"/>
      <c r="I1864" s="68"/>
      <c r="J1864" s="78"/>
      <c r="K1864" s="68"/>
      <c r="L1864" s="68"/>
      <c r="M1864" s="68"/>
      <c r="N1864" s="68"/>
      <c r="O1864" s="68"/>
      <c r="P1864" s="68"/>
      <c r="Q1864" s="68"/>
      <c r="R1864" s="68"/>
      <c r="S1864" s="68"/>
      <c r="T1864" s="68"/>
      <c r="U1864" s="68"/>
      <c r="V1864" s="68"/>
      <c r="W1864" s="68"/>
      <c r="X1864" s="68"/>
      <c r="Y1864" s="68"/>
      <c r="Z1864" s="68"/>
      <c r="AA1864" s="68"/>
      <c r="AB1864" s="68"/>
      <c r="AC1864" s="68"/>
      <c r="AD1864" s="68"/>
      <c r="AE1864" s="68"/>
    </row>
    <row r="1865" ht="26.25" customHeight="1">
      <c r="A1865" s="68"/>
      <c r="B1865" s="68"/>
      <c r="C1865" s="61" t="s">
        <v>129</v>
      </c>
      <c r="D1865" s="61" t="s">
        <v>130</v>
      </c>
      <c r="E1865" s="68"/>
      <c r="F1865" s="68"/>
      <c r="G1865" s="68"/>
      <c r="H1865" s="68"/>
      <c r="I1865" s="68"/>
      <c r="J1865" s="78"/>
      <c r="K1865" s="68"/>
      <c r="L1865" s="68"/>
      <c r="M1865" s="68"/>
      <c r="N1865" s="68"/>
      <c r="O1865" s="68"/>
      <c r="P1865" s="68"/>
      <c r="Q1865" s="68"/>
      <c r="R1865" s="68"/>
      <c r="S1865" s="68"/>
      <c r="T1865" s="68"/>
      <c r="U1865" s="68"/>
      <c r="V1865" s="68"/>
      <c r="W1865" s="68"/>
      <c r="X1865" s="68"/>
      <c r="Y1865" s="68"/>
      <c r="Z1865" s="68"/>
      <c r="AA1865" s="68"/>
      <c r="AB1865" s="68"/>
      <c r="AC1865" s="68"/>
      <c r="AD1865" s="68"/>
      <c r="AE1865" s="68"/>
    </row>
    <row r="1866" ht="26.25" customHeight="1">
      <c r="A1866" s="68"/>
      <c r="B1866" s="68"/>
      <c r="C1866" s="61" t="s">
        <v>129</v>
      </c>
      <c r="D1866" s="61" t="s">
        <v>130</v>
      </c>
      <c r="E1866" s="68"/>
      <c r="F1866" s="68"/>
      <c r="G1866" s="68"/>
      <c r="H1866" s="68"/>
      <c r="I1866" s="68"/>
      <c r="J1866" s="78"/>
      <c r="K1866" s="68"/>
      <c r="L1866" s="68"/>
      <c r="M1866" s="68"/>
      <c r="N1866" s="68"/>
      <c r="O1866" s="68"/>
      <c r="P1866" s="68"/>
      <c r="Q1866" s="68"/>
      <c r="R1866" s="68"/>
      <c r="S1866" s="68"/>
      <c r="T1866" s="68"/>
      <c r="U1866" s="68"/>
      <c r="V1866" s="68"/>
      <c r="W1866" s="68"/>
      <c r="X1866" s="68"/>
      <c r="Y1866" s="68"/>
      <c r="Z1866" s="68"/>
      <c r="AA1866" s="68"/>
      <c r="AB1866" s="68"/>
      <c r="AC1866" s="68"/>
      <c r="AD1866" s="68"/>
      <c r="AE1866" s="68"/>
    </row>
    <row r="1867" ht="26.25" customHeight="1">
      <c r="A1867" s="68"/>
      <c r="B1867" s="68"/>
      <c r="C1867" s="61" t="s">
        <v>129</v>
      </c>
      <c r="D1867" s="61" t="s">
        <v>130</v>
      </c>
      <c r="E1867" s="68"/>
      <c r="F1867" s="68"/>
      <c r="G1867" s="68"/>
      <c r="H1867" s="68"/>
      <c r="I1867" s="68"/>
      <c r="J1867" s="78"/>
      <c r="K1867" s="68"/>
      <c r="L1867" s="68"/>
      <c r="M1867" s="68"/>
      <c r="N1867" s="68"/>
      <c r="O1867" s="68"/>
      <c r="P1867" s="68"/>
      <c r="Q1867" s="68"/>
      <c r="R1867" s="68"/>
      <c r="S1867" s="68"/>
      <c r="T1867" s="68"/>
      <c r="U1867" s="68"/>
      <c r="V1867" s="68"/>
      <c r="W1867" s="68"/>
      <c r="X1867" s="68"/>
      <c r="Y1867" s="68"/>
      <c r="Z1867" s="68"/>
      <c r="AA1867" s="68"/>
      <c r="AB1867" s="68"/>
      <c r="AC1867" s="68"/>
      <c r="AD1867" s="68"/>
      <c r="AE1867" s="68"/>
    </row>
    <row r="1868" ht="26.25" customHeight="1">
      <c r="A1868" s="68"/>
      <c r="B1868" s="68"/>
      <c r="C1868" s="61" t="s">
        <v>129</v>
      </c>
      <c r="D1868" s="61" t="s">
        <v>130</v>
      </c>
      <c r="E1868" s="68"/>
      <c r="F1868" s="68"/>
      <c r="G1868" s="68"/>
      <c r="H1868" s="68"/>
      <c r="I1868" s="68"/>
      <c r="J1868" s="78"/>
      <c r="K1868" s="68"/>
      <c r="L1868" s="68"/>
      <c r="M1868" s="68"/>
      <c r="N1868" s="68"/>
      <c r="O1868" s="68"/>
      <c r="P1868" s="68"/>
      <c r="Q1868" s="68"/>
      <c r="R1868" s="68"/>
      <c r="S1868" s="68"/>
      <c r="T1868" s="68"/>
      <c r="U1868" s="68"/>
      <c r="V1868" s="68"/>
      <c r="W1868" s="68"/>
      <c r="X1868" s="68"/>
      <c r="Y1868" s="68"/>
      <c r="Z1868" s="68"/>
      <c r="AA1868" s="68"/>
      <c r="AB1868" s="68"/>
      <c r="AC1868" s="68"/>
      <c r="AD1868" s="68"/>
      <c r="AE1868" s="68"/>
    </row>
    <row r="1869" ht="26.25" customHeight="1">
      <c r="A1869" s="68"/>
      <c r="B1869" s="68"/>
      <c r="C1869" s="61" t="s">
        <v>129</v>
      </c>
      <c r="D1869" s="61" t="s">
        <v>130</v>
      </c>
      <c r="E1869" s="68"/>
      <c r="F1869" s="68"/>
      <c r="G1869" s="68"/>
      <c r="H1869" s="68"/>
      <c r="I1869" s="68"/>
      <c r="J1869" s="78"/>
      <c r="K1869" s="68"/>
      <c r="L1869" s="68"/>
      <c r="M1869" s="68"/>
      <c r="N1869" s="68"/>
      <c r="O1869" s="68"/>
      <c r="P1869" s="68"/>
      <c r="Q1869" s="68"/>
      <c r="R1869" s="68"/>
      <c r="S1869" s="68"/>
      <c r="T1869" s="68"/>
      <c r="U1869" s="68"/>
      <c r="V1869" s="68"/>
      <c r="W1869" s="68"/>
      <c r="X1869" s="68"/>
      <c r="Y1869" s="68"/>
      <c r="Z1869" s="68"/>
      <c r="AA1869" s="68"/>
      <c r="AB1869" s="68"/>
      <c r="AC1869" s="68"/>
      <c r="AD1869" s="68"/>
      <c r="AE1869" s="68"/>
    </row>
    <row r="1870" ht="26.25" customHeight="1">
      <c r="A1870" s="68"/>
      <c r="B1870" s="68"/>
      <c r="C1870" s="61" t="s">
        <v>129</v>
      </c>
      <c r="D1870" s="61" t="s">
        <v>130</v>
      </c>
      <c r="E1870" s="68"/>
      <c r="F1870" s="68"/>
      <c r="G1870" s="68"/>
      <c r="H1870" s="68"/>
      <c r="I1870" s="68"/>
      <c r="J1870" s="78"/>
      <c r="K1870" s="68"/>
      <c r="L1870" s="68"/>
      <c r="M1870" s="68"/>
      <c r="N1870" s="68"/>
      <c r="O1870" s="68"/>
      <c r="P1870" s="68"/>
      <c r="Q1870" s="68"/>
      <c r="R1870" s="68"/>
      <c r="S1870" s="68"/>
      <c r="T1870" s="68"/>
      <c r="U1870" s="68"/>
      <c r="V1870" s="68"/>
      <c r="W1870" s="68"/>
      <c r="X1870" s="68"/>
      <c r="Y1870" s="68"/>
      <c r="Z1870" s="68"/>
      <c r="AA1870" s="68"/>
      <c r="AB1870" s="68"/>
      <c r="AC1870" s="68"/>
      <c r="AD1870" s="68"/>
      <c r="AE1870" s="68"/>
    </row>
    <row r="1871" ht="26.25" customHeight="1">
      <c r="A1871" s="68"/>
      <c r="B1871" s="68"/>
      <c r="C1871" s="61" t="s">
        <v>129</v>
      </c>
      <c r="D1871" s="61" t="s">
        <v>130</v>
      </c>
      <c r="E1871" s="68"/>
      <c r="F1871" s="68"/>
      <c r="G1871" s="68"/>
      <c r="H1871" s="68"/>
      <c r="I1871" s="68"/>
      <c r="J1871" s="78"/>
      <c r="K1871" s="68"/>
      <c r="L1871" s="68"/>
      <c r="M1871" s="68"/>
      <c r="N1871" s="68"/>
      <c r="O1871" s="68"/>
      <c r="P1871" s="68"/>
      <c r="Q1871" s="68"/>
      <c r="R1871" s="68"/>
      <c r="S1871" s="68"/>
      <c r="T1871" s="68"/>
      <c r="U1871" s="68"/>
      <c r="V1871" s="68"/>
      <c r="W1871" s="68"/>
      <c r="X1871" s="68"/>
      <c r="Y1871" s="68"/>
      <c r="Z1871" s="68"/>
      <c r="AA1871" s="68"/>
      <c r="AB1871" s="68"/>
      <c r="AC1871" s="68"/>
      <c r="AD1871" s="68"/>
      <c r="AE1871" s="68"/>
    </row>
    <row r="1872" ht="26.25" customHeight="1">
      <c r="A1872" s="68"/>
      <c r="B1872" s="68"/>
      <c r="C1872" s="61" t="s">
        <v>129</v>
      </c>
      <c r="D1872" s="61" t="s">
        <v>130</v>
      </c>
      <c r="E1872" s="68"/>
      <c r="F1872" s="68"/>
      <c r="G1872" s="68"/>
      <c r="H1872" s="68"/>
      <c r="I1872" s="68"/>
      <c r="J1872" s="78"/>
      <c r="K1872" s="68"/>
      <c r="L1872" s="68"/>
      <c r="M1872" s="68"/>
      <c r="N1872" s="68"/>
      <c r="O1872" s="68"/>
      <c r="P1872" s="68"/>
      <c r="Q1872" s="68"/>
      <c r="R1872" s="68"/>
      <c r="S1872" s="68"/>
      <c r="T1872" s="68"/>
      <c r="U1872" s="68"/>
      <c r="V1872" s="68"/>
      <c r="W1872" s="68"/>
      <c r="X1872" s="68"/>
      <c r="Y1872" s="68"/>
      <c r="Z1872" s="68"/>
      <c r="AA1872" s="68"/>
      <c r="AB1872" s="68"/>
      <c r="AC1872" s="68"/>
      <c r="AD1872" s="68"/>
      <c r="AE1872" s="68"/>
    </row>
    <row r="1873" ht="26.25" customHeight="1">
      <c r="A1873" s="68"/>
      <c r="B1873" s="68"/>
      <c r="C1873" s="61" t="s">
        <v>129</v>
      </c>
      <c r="D1873" s="61" t="s">
        <v>130</v>
      </c>
      <c r="E1873" s="68"/>
      <c r="F1873" s="68"/>
      <c r="G1873" s="68"/>
      <c r="H1873" s="68"/>
      <c r="I1873" s="68"/>
      <c r="J1873" s="78"/>
      <c r="K1873" s="68"/>
      <c r="L1873" s="68"/>
      <c r="M1873" s="68"/>
      <c r="N1873" s="68"/>
      <c r="O1873" s="68"/>
      <c r="P1873" s="68"/>
      <c r="Q1873" s="68"/>
      <c r="R1873" s="68"/>
      <c r="S1873" s="68"/>
      <c r="T1873" s="68"/>
      <c r="U1873" s="68"/>
      <c r="V1873" s="68"/>
      <c r="W1873" s="68"/>
      <c r="X1873" s="68"/>
      <c r="Y1873" s="68"/>
      <c r="Z1873" s="68"/>
      <c r="AA1873" s="68"/>
      <c r="AB1873" s="68"/>
      <c r="AC1873" s="68"/>
      <c r="AD1873" s="68"/>
      <c r="AE1873" s="68"/>
    </row>
    <row r="1874" ht="26.25" customHeight="1">
      <c r="A1874" s="68"/>
      <c r="B1874" s="68"/>
      <c r="C1874" s="61" t="s">
        <v>129</v>
      </c>
      <c r="D1874" s="61" t="s">
        <v>130</v>
      </c>
      <c r="E1874" s="68"/>
      <c r="F1874" s="68"/>
      <c r="G1874" s="68"/>
      <c r="H1874" s="68"/>
      <c r="I1874" s="68"/>
      <c r="J1874" s="78"/>
      <c r="K1874" s="68"/>
      <c r="L1874" s="68"/>
      <c r="M1874" s="68"/>
      <c r="N1874" s="68"/>
      <c r="O1874" s="68"/>
      <c r="P1874" s="68"/>
      <c r="Q1874" s="68"/>
      <c r="R1874" s="68"/>
      <c r="S1874" s="68"/>
      <c r="T1874" s="68"/>
      <c r="U1874" s="68"/>
      <c r="V1874" s="68"/>
      <c r="W1874" s="68"/>
      <c r="X1874" s="68"/>
      <c r="Y1874" s="68"/>
      <c r="Z1874" s="68"/>
      <c r="AA1874" s="68"/>
      <c r="AB1874" s="68"/>
      <c r="AC1874" s="68"/>
      <c r="AD1874" s="68"/>
      <c r="AE1874" s="68"/>
    </row>
    <row r="1875" ht="26.25" customHeight="1">
      <c r="A1875" s="68"/>
      <c r="B1875" s="68"/>
      <c r="C1875" s="61" t="s">
        <v>129</v>
      </c>
      <c r="D1875" s="61" t="s">
        <v>130</v>
      </c>
      <c r="E1875" s="68"/>
      <c r="F1875" s="68"/>
      <c r="G1875" s="68"/>
      <c r="H1875" s="68"/>
      <c r="I1875" s="68"/>
      <c r="J1875" s="78"/>
      <c r="K1875" s="68"/>
      <c r="L1875" s="68"/>
      <c r="M1875" s="68"/>
      <c r="N1875" s="68"/>
      <c r="O1875" s="68"/>
      <c r="P1875" s="68"/>
      <c r="Q1875" s="68"/>
      <c r="R1875" s="68"/>
      <c r="S1875" s="68"/>
      <c r="T1875" s="68"/>
      <c r="U1875" s="68"/>
      <c r="V1875" s="68"/>
      <c r="W1875" s="68"/>
      <c r="X1875" s="68"/>
      <c r="Y1875" s="68"/>
      <c r="Z1875" s="68"/>
      <c r="AA1875" s="68"/>
      <c r="AB1875" s="68"/>
      <c r="AC1875" s="68"/>
      <c r="AD1875" s="68"/>
      <c r="AE1875" s="68"/>
    </row>
    <row r="1876" ht="26.25" customHeight="1">
      <c r="A1876" s="68"/>
      <c r="B1876" s="68"/>
      <c r="C1876" s="61" t="s">
        <v>129</v>
      </c>
      <c r="D1876" s="61" t="s">
        <v>130</v>
      </c>
      <c r="E1876" s="68"/>
      <c r="F1876" s="68"/>
      <c r="G1876" s="68"/>
      <c r="H1876" s="68"/>
      <c r="I1876" s="68"/>
      <c r="J1876" s="78"/>
      <c r="K1876" s="68"/>
      <c r="L1876" s="68"/>
      <c r="M1876" s="68"/>
      <c r="N1876" s="68"/>
      <c r="O1876" s="68"/>
      <c r="P1876" s="68"/>
      <c r="Q1876" s="68"/>
      <c r="R1876" s="68"/>
      <c r="S1876" s="68"/>
      <c r="T1876" s="68"/>
      <c r="U1876" s="68"/>
      <c r="V1876" s="68"/>
      <c r="W1876" s="68"/>
      <c r="X1876" s="68"/>
      <c r="Y1876" s="68"/>
      <c r="Z1876" s="68"/>
      <c r="AA1876" s="68"/>
      <c r="AB1876" s="68"/>
      <c r="AC1876" s="68"/>
      <c r="AD1876" s="68"/>
      <c r="AE1876" s="68"/>
    </row>
    <row r="1877" ht="26.25" customHeight="1">
      <c r="A1877" s="68"/>
      <c r="B1877" s="68"/>
      <c r="C1877" s="61" t="s">
        <v>129</v>
      </c>
      <c r="D1877" s="61" t="s">
        <v>130</v>
      </c>
      <c r="E1877" s="68"/>
      <c r="F1877" s="68"/>
      <c r="G1877" s="68"/>
      <c r="H1877" s="68"/>
      <c r="I1877" s="68"/>
      <c r="J1877" s="78"/>
      <c r="K1877" s="68"/>
      <c r="L1877" s="68"/>
      <c r="M1877" s="68"/>
      <c r="N1877" s="68"/>
      <c r="O1877" s="68"/>
      <c r="P1877" s="68"/>
      <c r="Q1877" s="68"/>
      <c r="R1877" s="68"/>
      <c r="S1877" s="68"/>
      <c r="T1877" s="68"/>
      <c r="U1877" s="68"/>
      <c r="V1877" s="68"/>
      <c r="W1877" s="68"/>
      <c r="X1877" s="68"/>
      <c r="Y1877" s="68"/>
      <c r="Z1877" s="68"/>
      <c r="AA1877" s="68"/>
      <c r="AB1877" s="68"/>
      <c r="AC1877" s="68"/>
      <c r="AD1877" s="68"/>
      <c r="AE1877" s="68"/>
    </row>
    <row r="1878" ht="26.25" customHeight="1">
      <c r="A1878" s="68"/>
      <c r="B1878" s="68"/>
      <c r="C1878" s="61" t="s">
        <v>129</v>
      </c>
      <c r="D1878" s="61" t="s">
        <v>130</v>
      </c>
      <c r="E1878" s="68"/>
      <c r="F1878" s="68"/>
      <c r="G1878" s="68"/>
      <c r="H1878" s="68"/>
      <c r="I1878" s="68"/>
      <c r="J1878" s="78"/>
      <c r="K1878" s="68"/>
      <c r="L1878" s="68"/>
      <c r="M1878" s="68"/>
      <c r="N1878" s="68"/>
      <c r="O1878" s="68"/>
      <c r="P1878" s="68"/>
      <c r="Q1878" s="68"/>
      <c r="R1878" s="68"/>
      <c r="S1878" s="68"/>
      <c r="T1878" s="68"/>
      <c r="U1878" s="68"/>
      <c r="V1878" s="68"/>
      <c r="W1878" s="68"/>
      <c r="X1878" s="68"/>
      <c r="Y1878" s="68"/>
      <c r="Z1878" s="68"/>
      <c r="AA1878" s="68"/>
      <c r="AB1878" s="68"/>
      <c r="AC1878" s="68"/>
      <c r="AD1878" s="68"/>
      <c r="AE1878" s="68"/>
    </row>
    <row r="1879" ht="26.25" customHeight="1">
      <c r="A1879" s="68"/>
      <c r="B1879" s="68"/>
      <c r="C1879" s="61" t="s">
        <v>129</v>
      </c>
      <c r="D1879" s="61" t="s">
        <v>130</v>
      </c>
      <c r="E1879" s="68"/>
      <c r="F1879" s="68"/>
      <c r="G1879" s="68"/>
      <c r="H1879" s="68"/>
      <c r="I1879" s="68"/>
      <c r="J1879" s="78"/>
      <c r="K1879" s="68"/>
      <c r="L1879" s="68"/>
      <c r="M1879" s="68"/>
      <c r="N1879" s="68"/>
      <c r="O1879" s="68"/>
      <c r="P1879" s="68"/>
      <c r="Q1879" s="68"/>
      <c r="R1879" s="68"/>
      <c r="S1879" s="68"/>
      <c r="T1879" s="68"/>
      <c r="U1879" s="68"/>
      <c r="V1879" s="68"/>
      <c r="W1879" s="68"/>
      <c r="X1879" s="68"/>
      <c r="Y1879" s="68"/>
      <c r="Z1879" s="68"/>
      <c r="AA1879" s="68"/>
      <c r="AB1879" s="68"/>
      <c r="AC1879" s="68"/>
      <c r="AD1879" s="68"/>
      <c r="AE1879" s="68"/>
    </row>
    <row r="1880" ht="26.25" customHeight="1">
      <c r="A1880" s="68"/>
      <c r="B1880" s="68"/>
      <c r="C1880" s="61" t="s">
        <v>129</v>
      </c>
      <c r="D1880" s="61" t="s">
        <v>130</v>
      </c>
      <c r="E1880" s="68"/>
      <c r="F1880" s="68"/>
      <c r="G1880" s="68"/>
      <c r="H1880" s="68"/>
      <c r="I1880" s="68"/>
      <c r="J1880" s="78"/>
      <c r="K1880" s="68"/>
      <c r="L1880" s="68"/>
      <c r="M1880" s="68"/>
      <c r="N1880" s="68"/>
      <c r="O1880" s="68"/>
      <c r="P1880" s="68"/>
      <c r="Q1880" s="68"/>
      <c r="R1880" s="68"/>
      <c r="S1880" s="68"/>
      <c r="T1880" s="68"/>
      <c r="U1880" s="68"/>
      <c r="V1880" s="68"/>
      <c r="W1880" s="68"/>
      <c r="X1880" s="68"/>
      <c r="Y1880" s="68"/>
      <c r="Z1880" s="68"/>
      <c r="AA1880" s="68"/>
      <c r="AB1880" s="68"/>
      <c r="AC1880" s="68"/>
      <c r="AD1880" s="68"/>
      <c r="AE1880" s="68"/>
    </row>
    <row r="1881" ht="26.25" customHeight="1">
      <c r="A1881" s="68"/>
      <c r="B1881" s="68"/>
      <c r="C1881" s="61" t="s">
        <v>129</v>
      </c>
      <c r="D1881" s="61" t="s">
        <v>130</v>
      </c>
      <c r="E1881" s="68"/>
      <c r="F1881" s="68"/>
      <c r="G1881" s="68"/>
      <c r="H1881" s="68"/>
      <c r="I1881" s="68"/>
      <c r="J1881" s="78"/>
      <c r="K1881" s="68"/>
      <c r="L1881" s="68"/>
      <c r="M1881" s="68"/>
      <c r="N1881" s="68"/>
      <c r="O1881" s="68"/>
      <c r="P1881" s="68"/>
      <c r="Q1881" s="68"/>
      <c r="R1881" s="68"/>
      <c r="S1881" s="68"/>
      <c r="T1881" s="68"/>
      <c r="U1881" s="68"/>
      <c r="V1881" s="68"/>
      <c r="W1881" s="68"/>
      <c r="X1881" s="68"/>
      <c r="Y1881" s="68"/>
      <c r="Z1881" s="68"/>
      <c r="AA1881" s="68"/>
      <c r="AB1881" s="68"/>
      <c r="AC1881" s="68"/>
      <c r="AD1881" s="68"/>
      <c r="AE1881" s="68"/>
    </row>
    <row r="1882" ht="26.25" customHeight="1">
      <c r="A1882" s="68"/>
      <c r="B1882" s="68"/>
      <c r="C1882" s="61" t="s">
        <v>129</v>
      </c>
      <c r="D1882" s="61" t="s">
        <v>130</v>
      </c>
      <c r="E1882" s="68"/>
      <c r="F1882" s="68"/>
      <c r="G1882" s="68"/>
      <c r="H1882" s="68"/>
      <c r="I1882" s="68"/>
      <c r="J1882" s="78"/>
      <c r="K1882" s="68"/>
      <c r="L1882" s="68"/>
      <c r="M1882" s="68"/>
      <c r="N1882" s="68"/>
      <c r="O1882" s="68"/>
      <c r="P1882" s="68"/>
      <c r="Q1882" s="68"/>
      <c r="R1882" s="68"/>
      <c r="S1882" s="68"/>
      <c r="T1882" s="68"/>
      <c r="U1882" s="68"/>
      <c r="V1882" s="68"/>
      <c r="W1882" s="68"/>
      <c r="X1882" s="68"/>
      <c r="Y1882" s="68"/>
      <c r="Z1882" s="68"/>
      <c r="AA1882" s="68"/>
      <c r="AB1882" s="68"/>
      <c r="AC1882" s="68"/>
      <c r="AD1882" s="68"/>
      <c r="AE1882" s="68"/>
    </row>
    <row r="1883" ht="26.25" customHeight="1">
      <c r="A1883" s="68"/>
      <c r="B1883" s="68"/>
      <c r="C1883" s="61" t="s">
        <v>129</v>
      </c>
      <c r="D1883" s="61" t="s">
        <v>130</v>
      </c>
      <c r="E1883" s="68"/>
      <c r="F1883" s="68"/>
      <c r="G1883" s="68"/>
      <c r="H1883" s="68"/>
      <c r="I1883" s="68"/>
      <c r="J1883" s="78"/>
      <c r="K1883" s="68"/>
      <c r="L1883" s="68"/>
      <c r="M1883" s="68"/>
      <c r="N1883" s="68"/>
      <c r="O1883" s="68"/>
      <c r="P1883" s="68"/>
      <c r="Q1883" s="68"/>
      <c r="R1883" s="68"/>
      <c r="S1883" s="68"/>
      <c r="T1883" s="68"/>
      <c r="U1883" s="68"/>
      <c r="V1883" s="68"/>
      <c r="W1883" s="68"/>
      <c r="X1883" s="68"/>
      <c r="Y1883" s="68"/>
      <c r="Z1883" s="68"/>
      <c r="AA1883" s="68"/>
      <c r="AB1883" s="68"/>
      <c r="AC1883" s="68"/>
      <c r="AD1883" s="68"/>
      <c r="AE1883" s="68"/>
    </row>
    <row r="1884" ht="26.25" customHeight="1">
      <c r="A1884" s="68"/>
      <c r="B1884" s="68"/>
      <c r="C1884" s="61" t="s">
        <v>129</v>
      </c>
      <c r="D1884" s="61" t="s">
        <v>130</v>
      </c>
      <c r="E1884" s="68"/>
      <c r="F1884" s="68"/>
      <c r="G1884" s="68"/>
      <c r="H1884" s="68"/>
      <c r="I1884" s="68"/>
      <c r="J1884" s="78"/>
      <c r="K1884" s="68"/>
      <c r="L1884" s="68"/>
      <c r="M1884" s="68"/>
      <c r="N1884" s="68"/>
      <c r="O1884" s="68"/>
      <c r="P1884" s="68"/>
      <c r="Q1884" s="68"/>
      <c r="R1884" s="68"/>
      <c r="S1884" s="68"/>
      <c r="T1884" s="68"/>
      <c r="U1884" s="68"/>
      <c r="V1884" s="68"/>
      <c r="W1884" s="68"/>
      <c r="X1884" s="68"/>
      <c r="Y1884" s="68"/>
      <c r="Z1884" s="68"/>
      <c r="AA1884" s="68"/>
      <c r="AB1884" s="68"/>
      <c r="AC1884" s="68"/>
      <c r="AD1884" s="68"/>
      <c r="AE1884" s="68"/>
    </row>
    <row r="1885" ht="26.25" customHeight="1">
      <c r="A1885" s="68"/>
      <c r="B1885" s="68"/>
      <c r="C1885" s="61" t="s">
        <v>129</v>
      </c>
      <c r="D1885" s="61" t="s">
        <v>130</v>
      </c>
      <c r="E1885" s="68"/>
      <c r="F1885" s="68"/>
      <c r="G1885" s="68"/>
      <c r="H1885" s="68"/>
      <c r="I1885" s="68"/>
      <c r="J1885" s="78"/>
      <c r="K1885" s="68"/>
      <c r="L1885" s="68"/>
      <c r="M1885" s="68"/>
      <c r="N1885" s="68"/>
      <c r="O1885" s="68"/>
      <c r="P1885" s="68"/>
      <c r="Q1885" s="68"/>
      <c r="R1885" s="68"/>
      <c r="S1885" s="68"/>
      <c r="T1885" s="68"/>
      <c r="U1885" s="68"/>
      <c r="V1885" s="68"/>
      <c r="W1885" s="68"/>
      <c r="X1885" s="68"/>
      <c r="Y1885" s="68"/>
      <c r="Z1885" s="68"/>
      <c r="AA1885" s="68"/>
      <c r="AB1885" s="68"/>
      <c r="AC1885" s="68"/>
      <c r="AD1885" s="68"/>
      <c r="AE1885" s="68"/>
    </row>
    <row r="1886" ht="26.25" customHeight="1">
      <c r="A1886" s="68"/>
      <c r="B1886" s="68"/>
      <c r="C1886" s="61" t="s">
        <v>129</v>
      </c>
      <c r="D1886" s="61" t="s">
        <v>130</v>
      </c>
      <c r="E1886" s="68"/>
      <c r="F1886" s="68"/>
      <c r="G1886" s="68"/>
      <c r="H1886" s="68"/>
      <c r="I1886" s="68"/>
      <c r="J1886" s="78"/>
      <c r="K1886" s="68"/>
      <c r="L1886" s="68"/>
      <c r="M1886" s="68"/>
      <c r="N1886" s="68"/>
      <c r="O1886" s="68"/>
      <c r="P1886" s="68"/>
      <c r="Q1886" s="68"/>
      <c r="R1886" s="68"/>
      <c r="S1886" s="68"/>
      <c r="T1886" s="68"/>
      <c r="U1886" s="68"/>
      <c r="V1886" s="68"/>
      <c r="W1886" s="68"/>
      <c r="X1886" s="68"/>
      <c r="Y1886" s="68"/>
      <c r="Z1886" s="68"/>
      <c r="AA1886" s="68"/>
      <c r="AB1886" s="68"/>
      <c r="AC1886" s="68"/>
      <c r="AD1886" s="68"/>
      <c r="AE1886" s="68"/>
    </row>
    <row r="1887" ht="26.25" customHeight="1">
      <c r="A1887" s="68"/>
      <c r="B1887" s="68"/>
      <c r="C1887" s="61" t="s">
        <v>129</v>
      </c>
      <c r="D1887" s="61" t="s">
        <v>130</v>
      </c>
      <c r="E1887" s="68"/>
      <c r="F1887" s="68"/>
      <c r="G1887" s="68"/>
      <c r="H1887" s="68"/>
      <c r="I1887" s="68"/>
      <c r="J1887" s="78"/>
      <c r="K1887" s="68"/>
      <c r="L1887" s="68"/>
      <c r="M1887" s="68"/>
      <c r="N1887" s="68"/>
      <c r="O1887" s="68"/>
      <c r="P1887" s="68"/>
      <c r="Q1887" s="68"/>
      <c r="R1887" s="68"/>
      <c r="S1887" s="68"/>
      <c r="T1887" s="68"/>
      <c r="U1887" s="68"/>
      <c r="V1887" s="68"/>
      <c r="W1887" s="68"/>
      <c r="X1887" s="68"/>
      <c r="Y1887" s="68"/>
      <c r="Z1887" s="68"/>
      <c r="AA1887" s="68"/>
      <c r="AB1887" s="68"/>
      <c r="AC1887" s="68"/>
      <c r="AD1887" s="68"/>
      <c r="AE1887" s="68"/>
    </row>
    <row r="1888" ht="26.25" customHeight="1">
      <c r="A1888" s="68"/>
      <c r="B1888" s="68"/>
      <c r="C1888" s="61" t="s">
        <v>129</v>
      </c>
      <c r="D1888" s="61" t="s">
        <v>130</v>
      </c>
      <c r="E1888" s="68"/>
      <c r="F1888" s="68"/>
      <c r="G1888" s="68"/>
      <c r="H1888" s="68"/>
      <c r="I1888" s="68"/>
      <c r="J1888" s="78"/>
      <c r="K1888" s="68"/>
      <c r="L1888" s="68"/>
      <c r="M1888" s="68"/>
      <c r="N1888" s="68"/>
      <c r="O1888" s="68"/>
      <c r="P1888" s="68"/>
      <c r="Q1888" s="68"/>
      <c r="R1888" s="68"/>
      <c r="S1888" s="68"/>
      <c r="T1888" s="68"/>
      <c r="U1888" s="68"/>
      <c r="V1888" s="68"/>
      <c r="W1888" s="68"/>
      <c r="X1888" s="68"/>
      <c r="Y1888" s="68"/>
      <c r="Z1888" s="68"/>
      <c r="AA1888" s="68"/>
      <c r="AB1888" s="68"/>
      <c r="AC1888" s="68"/>
      <c r="AD1888" s="68"/>
      <c r="AE1888" s="68"/>
    </row>
    <row r="1889" ht="26.25" customHeight="1">
      <c r="A1889" s="68"/>
      <c r="B1889" s="68"/>
      <c r="C1889" s="61" t="s">
        <v>129</v>
      </c>
      <c r="D1889" s="61" t="s">
        <v>130</v>
      </c>
      <c r="E1889" s="68"/>
      <c r="F1889" s="68"/>
      <c r="G1889" s="68"/>
      <c r="H1889" s="68"/>
      <c r="I1889" s="68"/>
      <c r="J1889" s="78"/>
      <c r="K1889" s="68"/>
      <c r="L1889" s="68"/>
      <c r="M1889" s="68"/>
      <c r="N1889" s="68"/>
      <c r="O1889" s="68"/>
      <c r="P1889" s="68"/>
      <c r="Q1889" s="68"/>
      <c r="R1889" s="68"/>
      <c r="S1889" s="68"/>
      <c r="T1889" s="68"/>
      <c r="U1889" s="68"/>
      <c r="V1889" s="68"/>
      <c r="W1889" s="68"/>
      <c r="X1889" s="68"/>
      <c r="Y1889" s="68"/>
      <c r="Z1889" s="68"/>
      <c r="AA1889" s="68"/>
      <c r="AB1889" s="68"/>
      <c r="AC1889" s="68"/>
      <c r="AD1889" s="68"/>
      <c r="AE1889" s="68"/>
    </row>
    <row r="1890" ht="26.25" customHeight="1">
      <c r="A1890" s="68"/>
      <c r="B1890" s="68"/>
      <c r="C1890" s="61" t="s">
        <v>129</v>
      </c>
      <c r="D1890" s="61" t="s">
        <v>130</v>
      </c>
      <c r="E1890" s="68"/>
      <c r="F1890" s="68"/>
      <c r="G1890" s="68"/>
      <c r="H1890" s="68"/>
      <c r="I1890" s="68"/>
      <c r="J1890" s="78"/>
      <c r="K1890" s="68"/>
      <c r="L1890" s="68"/>
      <c r="M1890" s="68"/>
      <c r="N1890" s="68"/>
      <c r="O1890" s="68"/>
      <c r="P1890" s="68"/>
      <c r="Q1890" s="68"/>
      <c r="R1890" s="68"/>
      <c r="S1890" s="68"/>
      <c r="T1890" s="68"/>
      <c r="U1890" s="68"/>
      <c r="V1890" s="68"/>
      <c r="W1890" s="68"/>
      <c r="X1890" s="68"/>
      <c r="Y1890" s="68"/>
      <c r="Z1890" s="68"/>
      <c r="AA1890" s="68"/>
      <c r="AB1890" s="68"/>
      <c r="AC1890" s="68"/>
      <c r="AD1890" s="68"/>
      <c r="AE1890" s="68"/>
    </row>
    <row r="1891" ht="26.25" customHeight="1">
      <c r="A1891" s="68"/>
      <c r="B1891" s="68"/>
      <c r="C1891" s="61" t="s">
        <v>129</v>
      </c>
      <c r="D1891" s="61" t="s">
        <v>130</v>
      </c>
      <c r="E1891" s="68"/>
      <c r="F1891" s="68"/>
      <c r="G1891" s="68"/>
      <c r="H1891" s="68"/>
      <c r="I1891" s="68"/>
      <c r="J1891" s="78"/>
      <c r="K1891" s="68"/>
      <c r="L1891" s="68"/>
      <c r="M1891" s="68"/>
      <c r="N1891" s="68"/>
      <c r="O1891" s="68"/>
      <c r="P1891" s="68"/>
      <c r="Q1891" s="68"/>
      <c r="R1891" s="68"/>
      <c r="S1891" s="68"/>
      <c r="T1891" s="68"/>
      <c r="U1891" s="68"/>
      <c r="V1891" s="68"/>
      <c r="W1891" s="68"/>
      <c r="X1891" s="68"/>
      <c r="Y1891" s="68"/>
      <c r="Z1891" s="68"/>
      <c r="AA1891" s="68"/>
      <c r="AB1891" s="68"/>
      <c r="AC1891" s="68"/>
      <c r="AD1891" s="68"/>
      <c r="AE1891" s="68"/>
    </row>
    <row r="1892" ht="26.25" customHeight="1">
      <c r="A1892" s="68"/>
      <c r="B1892" s="68"/>
      <c r="C1892" s="61" t="s">
        <v>129</v>
      </c>
      <c r="D1892" s="61" t="s">
        <v>130</v>
      </c>
      <c r="E1892" s="68"/>
      <c r="F1892" s="68"/>
      <c r="G1892" s="68"/>
      <c r="H1892" s="68"/>
      <c r="I1892" s="68"/>
      <c r="J1892" s="78"/>
      <c r="K1892" s="68"/>
      <c r="L1892" s="68"/>
      <c r="M1892" s="68"/>
      <c r="N1892" s="68"/>
      <c r="O1892" s="68"/>
      <c r="P1892" s="68"/>
      <c r="Q1892" s="68"/>
      <c r="R1892" s="68"/>
      <c r="S1892" s="68"/>
      <c r="T1892" s="68"/>
      <c r="U1892" s="68"/>
      <c r="V1892" s="68"/>
      <c r="W1892" s="68"/>
      <c r="X1892" s="68"/>
      <c r="Y1892" s="68"/>
      <c r="Z1892" s="68"/>
      <c r="AA1892" s="68"/>
      <c r="AB1892" s="68"/>
      <c r="AC1892" s="68"/>
      <c r="AD1892" s="68"/>
      <c r="AE1892" s="68"/>
    </row>
    <row r="1893" ht="26.25" customHeight="1">
      <c r="A1893" s="68"/>
      <c r="B1893" s="68"/>
      <c r="C1893" s="61" t="s">
        <v>129</v>
      </c>
      <c r="D1893" s="61" t="s">
        <v>130</v>
      </c>
      <c r="E1893" s="68"/>
      <c r="F1893" s="68"/>
      <c r="G1893" s="68"/>
      <c r="H1893" s="68"/>
      <c r="I1893" s="68"/>
      <c r="J1893" s="78"/>
      <c r="K1893" s="68"/>
      <c r="L1893" s="68"/>
      <c r="M1893" s="68"/>
      <c r="N1893" s="68"/>
      <c r="O1893" s="68"/>
      <c r="P1893" s="68"/>
      <c r="Q1893" s="68"/>
      <c r="R1893" s="68"/>
      <c r="S1893" s="68"/>
      <c r="T1893" s="68"/>
      <c r="U1893" s="68"/>
      <c r="V1893" s="68"/>
      <c r="W1893" s="68"/>
      <c r="X1893" s="68"/>
      <c r="Y1893" s="68"/>
      <c r="Z1893" s="68"/>
      <c r="AA1893" s="68"/>
      <c r="AB1893" s="68"/>
      <c r="AC1893" s="68"/>
      <c r="AD1893" s="68"/>
      <c r="AE1893" s="68"/>
    </row>
    <row r="1894" ht="26.25" customHeight="1">
      <c r="A1894" s="68"/>
      <c r="B1894" s="68"/>
      <c r="C1894" s="61" t="s">
        <v>129</v>
      </c>
      <c r="D1894" s="61" t="s">
        <v>130</v>
      </c>
      <c r="E1894" s="68"/>
      <c r="F1894" s="68"/>
      <c r="G1894" s="68"/>
      <c r="H1894" s="68"/>
      <c r="I1894" s="68"/>
      <c r="J1894" s="78"/>
      <c r="K1894" s="68"/>
      <c r="L1894" s="68"/>
      <c r="M1894" s="68"/>
      <c r="N1894" s="68"/>
      <c r="O1894" s="68"/>
      <c r="P1894" s="68"/>
      <c r="Q1894" s="68"/>
      <c r="R1894" s="68"/>
      <c r="S1894" s="68"/>
      <c r="T1894" s="68"/>
      <c r="U1894" s="68"/>
      <c r="V1894" s="68"/>
      <c r="W1894" s="68"/>
      <c r="X1894" s="68"/>
      <c r="Y1894" s="68"/>
      <c r="Z1894" s="68"/>
      <c r="AA1894" s="68"/>
      <c r="AB1894" s="68"/>
      <c r="AC1894" s="68"/>
      <c r="AD1894" s="68"/>
      <c r="AE1894" s="68"/>
    </row>
    <row r="1895" ht="26.25" customHeight="1">
      <c r="A1895" s="68"/>
      <c r="B1895" s="68"/>
      <c r="C1895" s="61" t="s">
        <v>129</v>
      </c>
      <c r="D1895" s="61" t="s">
        <v>130</v>
      </c>
      <c r="E1895" s="68"/>
      <c r="F1895" s="68"/>
      <c r="G1895" s="68"/>
      <c r="H1895" s="68"/>
      <c r="I1895" s="68"/>
      <c r="J1895" s="78"/>
      <c r="K1895" s="68"/>
      <c r="L1895" s="68"/>
      <c r="M1895" s="68"/>
      <c r="N1895" s="68"/>
      <c r="O1895" s="68"/>
      <c r="P1895" s="68"/>
      <c r="Q1895" s="68"/>
      <c r="R1895" s="68"/>
      <c r="S1895" s="68"/>
      <c r="T1895" s="68"/>
      <c r="U1895" s="68"/>
      <c r="V1895" s="68"/>
      <c r="W1895" s="68"/>
      <c r="X1895" s="68"/>
      <c r="Y1895" s="68"/>
      <c r="Z1895" s="68"/>
      <c r="AA1895" s="68"/>
      <c r="AB1895" s="68"/>
      <c r="AC1895" s="68"/>
      <c r="AD1895" s="68"/>
      <c r="AE1895" s="68"/>
    </row>
    <row r="1896" ht="26.25" customHeight="1">
      <c r="A1896" s="68"/>
      <c r="B1896" s="68"/>
      <c r="C1896" s="61" t="s">
        <v>129</v>
      </c>
      <c r="D1896" s="61" t="s">
        <v>130</v>
      </c>
      <c r="E1896" s="68"/>
      <c r="F1896" s="68"/>
      <c r="G1896" s="68"/>
      <c r="H1896" s="68"/>
      <c r="I1896" s="68"/>
      <c r="J1896" s="78"/>
      <c r="K1896" s="68"/>
      <c r="L1896" s="68"/>
      <c r="M1896" s="68"/>
      <c r="N1896" s="68"/>
      <c r="O1896" s="68"/>
      <c r="P1896" s="68"/>
      <c r="Q1896" s="68"/>
      <c r="R1896" s="68"/>
      <c r="S1896" s="68"/>
      <c r="T1896" s="68"/>
      <c r="U1896" s="68"/>
      <c r="V1896" s="68"/>
      <c r="W1896" s="68"/>
      <c r="X1896" s="68"/>
      <c r="Y1896" s="68"/>
      <c r="Z1896" s="68"/>
      <c r="AA1896" s="68"/>
      <c r="AB1896" s="68"/>
      <c r="AC1896" s="68"/>
      <c r="AD1896" s="68"/>
      <c r="AE1896" s="68"/>
    </row>
    <row r="1897" ht="26.25" customHeight="1">
      <c r="A1897" s="68"/>
      <c r="B1897" s="68"/>
      <c r="C1897" s="61" t="s">
        <v>129</v>
      </c>
      <c r="D1897" s="61" t="s">
        <v>130</v>
      </c>
      <c r="E1897" s="68"/>
      <c r="F1897" s="68"/>
      <c r="G1897" s="68"/>
      <c r="H1897" s="68"/>
      <c r="I1897" s="68"/>
      <c r="J1897" s="78"/>
      <c r="K1897" s="68"/>
      <c r="L1897" s="68"/>
      <c r="M1897" s="68"/>
      <c r="N1897" s="68"/>
      <c r="O1897" s="68"/>
      <c r="P1897" s="68"/>
      <c r="Q1897" s="68"/>
      <c r="R1897" s="68"/>
      <c r="S1897" s="68"/>
      <c r="T1897" s="68"/>
      <c r="U1897" s="68"/>
      <c r="V1897" s="68"/>
      <c r="W1897" s="68"/>
      <c r="X1897" s="68"/>
      <c r="Y1897" s="68"/>
      <c r="Z1897" s="68"/>
      <c r="AA1897" s="68"/>
      <c r="AB1897" s="68"/>
      <c r="AC1897" s="68"/>
      <c r="AD1897" s="68"/>
      <c r="AE1897" s="68"/>
    </row>
    <row r="1898" ht="26.25" customHeight="1">
      <c r="A1898" s="68"/>
      <c r="B1898" s="68"/>
      <c r="C1898" s="61" t="s">
        <v>129</v>
      </c>
      <c r="D1898" s="61" t="s">
        <v>130</v>
      </c>
      <c r="E1898" s="68"/>
      <c r="F1898" s="68"/>
      <c r="G1898" s="68"/>
      <c r="H1898" s="68"/>
      <c r="I1898" s="68"/>
      <c r="J1898" s="78"/>
      <c r="K1898" s="68"/>
      <c r="L1898" s="68"/>
      <c r="M1898" s="68"/>
      <c r="N1898" s="68"/>
      <c r="O1898" s="68"/>
      <c r="P1898" s="68"/>
      <c r="Q1898" s="68"/>
      <c r="R1898" s="68"/>
      <c r="S1898" s="68"/>
      <c r="T1898" s="68"/>
      <c r="U1898" s="68"/>
      <c r="V1898" s="68"/>
      <c r="W1898" s="68"/>
      <c r="X1898" s="68"/>
      <c r="Y1898" s="68"/>
      <c r="Z1898" s="68"/>
      <c r="AA1898" s="68"/>
      <c r="AB1898" s="68"/>
      <c r="AC1898" s="68"/>
      <c r="AD1898" s="68"/>
      <c r="AE1898" s="68"/>
    </row>
    <row r="1899" ht="26.25" customHeight="1">
      <c r="A1899" s="68"/>
      <c r="B1899" s="68"/>
      <c r="C1899" s="61" t="s">
        <v>129</v>
      </c>
      <c r="D1899" s="61" t="s">
        <v>130</v>
      </c>
      <c r="E1899" s="68"/>
      <c r="F1899" s="68"/>
      <c r="G1899" s="68"/>
      <c r="H1899" s="68"/>
      <c r="I1899" s="68"/>
      <c r="J1899" s="78"/>
      <c r="K1899" s="68"/>
      <c r="L1899" s="68"/>
      <c r="M1899" s="68"/>
      <c r="N1899" s="68"/>
      <c r="O1899" s="68"/>
      <c r="P1899" s="68"/>
      <c r="Q1899" s="68"/>
      <c r="R1899" s="68"/>
      <c r="S1899" s="68"/>
      <c r="T1899" s="68"/>
      <c r="U1899" s="68"/>
      <c r="V1899" s="68"/>
      <c r="W1899" s="68"/>
      <c r="X1899" s="68"/>
      <c r="Y1899" s="68"/>
      <c r="Z1899" s="68"/>
      <c r="AA1899" s="68"/>
      <c r="AB1899" s="68"/>
      <c r="AC1899" s="68"/>
      <c r="AD1899" s="68"/>
      <c r="AE1899" s="68"/>
    </row>
    <row r="1900" ht="26.25" customHeight="1">
      <c r="A1900" s="68"/>
      <c r="B1900" s="68"/>
      <c r="C1900" s="61" t="s">
        <v>129</v>
      </c>
      <c r="D1900" s="61" t="s">
        <v>130</v>
      </c>
      <c r="E1900" s="68"/>
      <c r="F1900" s="68"/>
      <c r="G1900" s="68"/>
      <c r="H1900" s="68"/>
      <c r="I1900" s="68"/>
      <c r="J1900" s="78"/>
      <c r="K1900" s="68"/>
      <c r="L1900" s="68"/>
      <c r="M1900" s="68"/>
      <c r="N1900" s="68"/>
      <c r="O1900" s="68"/>
      <c r="P1900" s="68"/>
      <c r="Q1900" s="68"/>
      <c r="R1900" s="68"/>
      <c r="S1900" s="68"/>
      <c r="T1900" s="68"/>
      <c r="U1900" s="68"/>
      <c r="V1900" s="68"/>
      <c r="W1900" s="68"/>
      <c r="X1900" s="68"/>
      <c r="Y1900" s="68"/>
      <c r="Z1900" s="68"/>
      <c r="AA1900" s="68"/>
      <c r="AB1900" s="68"/>
      <c r="AC1900" s="68"/>
      <c r="AD1900" s="68"/>
      <c r="AE1900" s="68"/>
    </row>
    <row r="1901" ht="26.25" customHeight="1">
      <c r="A1901" s="68"/>
      <c r="B1901" s="68"/>
      <c r="C1901" s="61" t="s">
        <v>129</v>
      </c>
      <c r="D1901" s="61" t="s">
        <v>130</v>
      </c>
      <c r="E1901" s="68"/>
      <c r="F1901" s="68"/>
      <c r="G1901" s="68"/>
      <c r="H1901" s="68"/>
      <c r="I1901" s="68"/>
      <c r="J1901" s="78"/>
      <c r="K1901" s="68"/>
      <c r="L1901" s="68"/>
      <c r="M1901" s="68"/>
      <c r="N1901" s="68"/>
      <c r="O1901" s="68"/>
      <c r="P1901" s="68"/>
      <c r="Q1901" s="68"/>
      <c r="R1901" s="68"/>
      <c r="S1901" s="68"/>
      <c r="T1901" s="68"/>
      <c r="U1901" s="68"/>
      <c r="V1901" s="68"/>
      <c r="W1901" s="68"/>
      <c r="X1901" s="68"/>
      <c r="Y1901" s="68"/>
      <c r="Z1901" s="68"/>
      <c r="AA1901" s="68"/>
      <c r="AB1901" s="68"/>
      <c r="AC1901" s="68"/>
      <c r="AD1901" s="68"/>
      <c r="AE1901" s="68"/>
    </row>
    <row r="1902" ht="26.25" customHeight="1">
      <c r="A1902" s="68"/>
      <c r="B1902" s="68"/>
      <c r="C1902" s="61" t="s">
        <v>129</v>
      </c>
      <c r="D1902" s="61" t="s">
        <v>130</v>
      </c>
      <c r="E1902" s="68"/>
      <c r="F1902" s="68"/>
      <c r="G1902" s="68"/>
      <c r="H1902" s="68"/>
      <c r="I1902" s="68"/>
      <c r="J1902" s="78"/>
      <c r="K1902" s="68"/>
      <c r="L1902" s="68"/>
      <c r="M1902" s="68"/>
      <c r="N1902" s="68"/>
      <c r="O1902" s="68"/>
      <c r="P1902" s="68"/>
      <c r="Q1902" s="68"/>
      <c r="R1902" s="68"/>
      <c r="S1902" s="68"/>
      <c r="T1902" s="68"/>
      <c r="U1902" s="68"/>
      <c r="V1902" s="68"/>
      <c r="W1902" s="68"/>
      <c r="X1902" s="68"/>
      <c r="Y1902" s="68"/>
      <c r="Z1902" s="68"/>
      <c r="AA1902" s="68"/>
      <c r="AB1902" s="68"/>
      <c r="AC1902" s="68"/>
      <c r="AD1902" s="68"/>
      <c r="AE1902" s="68"/>
    </row>
    <row r="1903" ht="26.25" customHeight="1">
      <c r="A1903" s="68"/>
      <c r="B1903" s="68"/>
      <c r="C1903" s="61" t="s">
        <v>129</v>
      </c>
      <c r="D1903" s="61" t="s">
        <v>130</v>
      </c>
      <c r="E1903" s="68"/>
      <c r="F1903" s="68"/>
      <c r="G1903" s="68"/>
      <c r="H1903" s="68"/>
      <c r="I1903" s="68"/>
      <c r="J1903" s="78"/>
      <c r="K1903" s="68"/>
      <c r="L1903" s="68"/>
      <c r="M1903" s="68"/>
      <c r="N1903" s="68"/>
      <c r="O1903" s="68"/>
      <c r="P1903" s="68"/>
      <c r="Q1903" s="68"/>
      <c r="R1903" s="68"/>
      <c r="S1903" s="68"/>
      <c r="T1903" s="68"/>
      <c r="U1903" s="68"/>
      <c r="V1903" s="68"/>
      <c r="W1903" s="68"/>
      <c r="X1903" s="68"/>
      <c r="Y1903" s="68"/>
      <c r="Z1903" s="68"/>
      <c r="AA1903" s="68"/>
      <c r="AB1903" s="68"/>
      <c r="AC1903" s="68"/>
      <c r="AD1903" s="68"/>
      <c r="AE1903" s="68"/>
    </row>
    <row r="1904" ht="26.25" customHeight="1">
      <c r="A1904" s="68"/>
      <c r="B1904" s="68"/>
      <c r="C1904" s="61" t="s">
        <v>129</v>
      </c>
      <c r="D1904" s="61" t="s">
        <v>130</v>
      </c>
      <c r="E1904" s="68"/>
      <c r="F1904" s="68"/>
      <c r="G1904" s="68"/>
      <c r="H1904" s="68"/>
      <c r="I1904" s="68"/>
      <c r="J1904" s="78"/>
      <c r="K1904" s="68"/>
      <c r="L1904" s="68"/>
      <c r="M1904" s="68"/>
      <c r="N1904" s="68"/>
      <c r="O1904" s="68"/>
      <c r="P1904" s="68"/>
      <c r="Q1904" s="68"/>
      <c r="R1904" s="68"/>
      <c r="S1904" s="68"/>
      <c r="T1904" s="68"/>
      <c r="U1904" s="68"/>
      <c r="V1904" s="68"/>
      <c r="W1904" s="68"/>
      <c r="X1904" s="68"/>
      <c r="Y1904" s="68"/>
      <c r="Z1904" s="68"/>
      <c r="AA1904" s="68"/>
      <c r="AB1904" s="68"/>
      <c r="AC1904" s="68"/>
      <c r="AD1904" s="68"/>
      <c r="AE1904" s="68"/>
    </row>
    <row r="1905" ht="26.25" customHeight="1">
      <c r="A1905" s="68"/>
      <c r="B1905" s="68"/>
      <c r="C1905" s="61" t="s">
        <v>129</v>
      </c>
      <c r="D1905" s="61" t="s">
        <v>130</v>
      </c>
      <c r="E1905" s="68"/>
      <c r="F1905" s="68"/>
      <c r="G1905" s="68"/>
      <c r="H1905" s="68"/>
      <c r="I1905" s="68"/>
      <c r="J1905" s="78"/>
      <c r="K1905" s="68"/>
      <c r="L1905" s="68"/>
      <c r="M1905" s="68"/>
      <c r="N1905" s="68"/>
      <c r="O1905" s="68"/>
      <c r="P1905" s="68"/>
      <c r="Q1905" s="68"/>
      <c r="R1905" s="68"/>
      <c r="S1905" s="68"/>
      <c r="T1905" s="68"/>
      <c r="U1905" s="68"/>
      <c r="V1905" s="68"/>
      <c r="W1905" s="68"/>
      <c r="X1905" s="68"/>
      <c r="Y1905" s="68"/>
      <c r="Z1905" s="68"/>
      <c r="AA1905" s="68"/>
      <c r="AB1905" s="68"/>
      <c r="AC1905" s="68"/>
      <c r="AD1905" s="68"/>
      <c r="AE1905" s="68"/>
    </row>
    <row r="1906" ht="26.25" customHeight="1">
      <c r="A1906" s="68"/>
      <c r="B1906" s="68"/>
      <c r="C1906" s="61" t="s">
        <v>129</v>
      </c>
      <c r="D1906" s="61" t="s">
        <v>130</v>
      </c>
      <c r="E1906" s="68"/>
      <c r="F1906" s="68"/>
      <c r="G1906" s="68"/>
      <c r="H1906" s="68"/>
      <c r="I1906" s="68"/>
      <c r="J1906" s="78"/>
      <c r="K1906" s="68"/>
      <c r="L1906" s="68"/>
      <c r="M1906" s="68"/>
      <c r="N1906" s="68"/>
      <c r="O1906" s="68"/>
      <c r="P1906" s="68"/>
      <c r="Q1906" s="68"/>
      <c r="R1906" s="68"/>
      <c r="S1906" s="68"/>
      <c r="T1906" s="68"/>
      <c r="U1906" s="68"/>
      <c r="V1906" s="68"/>
      <c r="W1906" s="68"/>
      <c r="X1906" s="68"/>
      <c r="Y1906" s="68"/>
      <c r="Z1906" s="68"/>
      <c r="AA1906" s="68"/>
      <c r="AB1906" s="68"/>
      <c r="AC1906" s="68"/>
      <c r="AD1906" s="68"/>
      <c r="AE1906" s="68"/>
    </row>
    <row r="1907" ht="26.25" customHeight="1">
      <c r="A1907" s="68"/>
      <c r="B1907" s="68"/>
      <c r="C1907" s="61" t="s">
        <v>129</v>
      </c>
      <c r="D1907" s="61" t="s">
        <v>130</v>
      </c>
      <c r="E1907" s="68"/>
      <c r="F1907" s="68"/>
      <c r="G1907" s="68"/>
      <c r="H1907" s="68"/>
      <c r="I1907" s="68"/>
      <c r="J1907" s="78"/>
      <c r="K1907" s="68"/>
      <c r="L1907" s="68"/>
      <c r="M1907" s="68"/>
      <c r="N1907" s="68"/>
      <c r="O1907" s="68"/>
      <c r="P1907" s="68"/>
      <c r="Q1907" s="68"/>
      <c r="R1907" s="68"/>
      <c r="S1907" s="68"/>
      <c r="T1907" s="68"/>
      <c r="U1907" s="68"/>
      <c r="V1907" s="68"/>
      <c r="W1907" s="68"/>
      <c r="X1907" s="68"/>
      <c r="Y1907" s="68"/>
      <c r="Z1907" s="68"/>
      <c r="AA1907" s="68"/>
      <c r="AB1907" s="68"/>
      <c r="AC1907" s="68"/>
      <c r="AD1907" s="68"/>
      <c r="AE1907" s="68"/>
    </row>
    <row r="1908" ht="26.25" customHeight="1">
      <c r="A1908" s="68"/>
      <c r="B1908" s="68"/>
      <c r="C1908" s="61" t="s">
        <v>129</v>
      </c>
      <c r="D1908" s="61" t="s">
        <v>130</v>
      </c>
      <c r="E1908" s="68"/>
      <c r="F1908" s="68"/>
      <c r="G1908" s="68"/>
      <c r="H1908" s="68"/>
      <c r="I1908" s="68"/>
      <c r="J1908" s="78"/>
      <c r="K1908" s="68"/>
      <c r="L1908" s="68"/>
      <c r="M1908" s="68"/>
      <c r="N1908" s="68"/>
      <c r="O1908" s="68"/>
      <c r="P1908" s="68"/>
      <c r="Q1908" s="68"/>
      <c r="R1908" s="68"/>
      <c r="S1908" s="68"/>
      <c r="T1908" s="68"/>
      <c r="U1908" s="68"/>
      <c r="V1908" s="68"/>
      <c r="W1908" s="68"/>
      <c r="X1908" s="68"/>
      <c r="Y1908" s="68"/>
      <c r="Z1908" s="68"/>
      <c r="AA1908" s="68"/>
      <c r="AB1908" s="68"/>
      <c r="AC1908" s="68"/>
      <c r="AD1908" s="68"/>
      <c r="AE1908" s="68"/>
    </row>
    <row r="1909" ht="26.25" customHeight="1">
      <c r="A1909" s="68"/>
      <c r="B1909" s="68"/>
      <c r="C1909" s="61" t="s">
        <v>129</v>
      </c>
      <c r="D1909" s="61" t="s">
        <v>130</v>
      </c>
      <c r="E1909" s="68"/>
      <c r="F1909" s="68"/>
      <c r="G1909" s="68"/>
      <c r="H1909" s="68"/>
      <c r="I1909" s="68"/>
      <c r="J1909" s="78"/>
      <c r="K1909" s="68"/>
      <c r="L1909" s="68"/>
      <c r="M1909" s="68"/>
      <c r="N1909" s="68"/>
      <c r="O1909" s="68"/>
      <c r="P1909" s="68"/>
      <c r="Q1909" s="68"/>
      <c r="R1909" s="68"/>
      <c r="S1909" s="68"/>
      <c r="T1909" s="68"/>
      <c r="U1909" s="68"/>
      <c r="V1909" s="68"/>
      <c r="W1909" s="68"/>
      <c r="X1909" s="68"/>
      <c r="Y1909" s="68"/>
      <c r="Z1909" s="68"/>
      <c r="AA1909" s="68"/>
      <c r="AB1909" s="68"/>
      <c r="AC1909" s="68"/>
      <c r="AD1909" s="68"/>
      <c r="AE1909" s="68"/>
    </row>
    <row r="1910" ht="26.25" customHeight="1">
      <c r="A1910" s="68"/>
      <c r="B1910" s="68"/>
      <c r="C1910" s="61" t="s">
        <v>129</v>
      </c>
      <c r="D1910" s="61" t="s">
        <v>130</v>
      </c>
      <c r="E1910" s="68"/>
      <c r="F1910" s="68"/>
      <c r="G1910" s="68"/>
      <c r="H1910" s="68"/>
      <c r="I1910" s="68"/>
      <c r="J1910" s="78"/>
      <c r="K1910" s="68"/>
      <c r="L1910" s="68"/>
      <c r="M1910" s="68"/>
      <c r="N1910" s="68"/>
      <c r="O1910" s="68"/>
      <c r="P1910" s="68"/>
      <c r="Q1910" s="68"/>
      <c r="R1910" s="68"/>
      <c r="S1910" s="68"/>
      <c r="T1910" s="68"/>
      <c r="U1910" s="68"/>
      <c r="V1910" s="68"/>
      <c r="W1910" s="68"/>
      <c r="X1910" s="68"/>
      <c r="Y1910" s="68"/>
      <c r="Z1910" s="68"/>
      <c r="AA1910" s="68"/>
      <c r="AB1910" s="68"/>
      <c r="AC1910" s="68"/>
      <c r="AD1910" s="68"/>
      <c r="AE1910" s="68"/>
    </row>
    <row r="1911" ht="26.25" customHeight="1">
      <c r="A1911" s="68"/>
      <c r="B1911" s="68"/>
      <c r="C1911" s="61" t="s">
        <v>129</v>
      </c>
      <c r="D1911" s="61" t="s">
        <v>130</v>
      </c>
      <c r="E1911" s="68"/>
      <c r="F1911" s="68"/>
      <c r="G1911" s="68"/>
      <c r="H1911" s="68"/>
      <c r="I1911" s="68"/>
      <c r="J1911" s="78"/>
      <c r="K1911" s="68"/>
      <c r="L1911" s="68"/>
      <c r="M1911" s="68"/>
      <c r="N1911" s="68"/>
      <c r="O1911" s="68"/>
      <c r="P1911" s="68"/>
      <c r="Q1911" s="68"/>
      <c r="R1911" s="68"/>
      <c r="S1911" s="68"/>
      <c r="T1911" s="68"/>
      <c r="U1911" s="68"/>
      <c r="V1911" s="68"/>
      <c r="W1911" s="68"/>
      <c r="X1911" s="68"/>
      <c r="Y1911" s="68"/>
      <c r="Z1911" s="68"/>
      <c r="AA1911" s="68"/>
      <c r="AB1911" s="68"/>
      <c r="AC1911" s="68"/>
      <c r="AD1911" s="68"/>
      <c r="AE1911" s="68"/>
    </row>
    <row r="1912" ht="26.25" customHeight="1">
      <c r="A1912" s="68"/>
      <c r="B1912" s="68"/>
      <c r="C1912" s="61" t="s">
        <v>129</v>
      </c>
      <c r="D1912" s="61" t="s">
        <v>130</v>
      </c>
      <c r="E1912" s="68"/>
      <c r="F1912" s="68"/>
      <c r="G1912" s="68"/>
      <c r="H1912" s="68"/>
      <c r="I1912" s="68"/>
      <c r="J1912" s="78"/>
      <c r="K1912" s="68"/>
      <c r="L1912" s="68"/>
      <c r="M1912" s="68"/>
      <c r="N1912" s="68"/>
      <c r="O1912" s="68"/>
      <c r="P1912" s="68"/>
      <c r="Q1912" s="68"/>
      <c r="R1912" s="68"/>
      <c r="S1912" s="68"/>
      <c r="T1912" s="68"/>
      <c r="U1912" s="68"/>
      <c r="V1912" s="68"/>
      <c r="W1912" s="68"/>
      <c r="X1912" s="68"/>
      <c r="Y1912" s="68"/>
      <c r="Z1912" s="68"/>
      <c r="AA1912" s="68"/>
      <c r="AB1912" s="68"/>
      <c r="AC1912" s="68"/>
      <c r="AD1912" s="68"/>
      <c r="AE1912" s="68"/>
    </row>
    <row r="1913" ht="26.25" customHeight="1">
      <c r="A1913" s="68"/>
      <c r="B1913" s="68"/>
      <c r="C1913" s="61" t="s">
        <v>129</v>
      </c>
      <c r="D1913" s="61" t="s">
        <v>130</v>
      </c>
      <c r="E1913" s="68"/>
      <c r="F1913" s="68"/>
      <c r="G1913" s="68"/>
      <c r="H1913" s="68"/>
      <c r="I1913" s="68"/>
      <c r="J1913" s="78"/>
      <c r="K1913" s="68"/>
      <c r="L1913" s="68"/>
      <c r="M1913" s="68"/>
      <c r="N1913" s="68"/>
      <c r="O1913" s="68"/>
      <c r="P1913" s="68"/>
      <c r="Q1913" s="68"/>
      <c r="R1913" s="68"/>
      <c r="S1913" s="68"/>
      <c r="T1913" s="68"/>
      <c r="U1913" s="68"/>
      <c r="V1913" s="68"/>
      <c r="W1913" s="68"/>
      <c r="X1913" s="68"/>
      <c r="Y1913" s="68"/>
      <c r="Z1913" s="68"/>
      <c r="AA1913" s="68"/>
      <c r="AB1913" s="68"/>
      <c r="AC1913" s="68"/>
      <c r="AD1913" s="68"/>
      <c r="AE1913" s="68"/>
    </row>
    <row r="1914" ht="26.25" customHeight="1">
      <c r="A1914" s="68"/>
      <c r="B1914" s="68"/>
      <c r="C1914" s="61" t="s">
        <v>129</v>
      </c>
      <c r="D1914" s="61" t="s">
        <v>130</v>
      </c>
      <c r="E1914" s="68"/>
      <c r="F1914" s="68"/>
      <c r="G1914" s="68"/>
      <c r="H1914" s="68"/>
      <c r="I1914" s="68"/>
      <c r="J1914" s="78"/>
      <c r="K1914" s="68"/>
      <c r="L1914" s="68"/>
      <c r="M1914" s="68"/>
      <c r="N1914" s="68"/>
      <c r="O1914" s="68"/>
      <c r="P1914" s="68"/>
      <c r="Q1914" s="68"/>
      <c r="R1914" s="68"/>
      <c r="S1914" s="68"/>
      <c r="T1914" s="68"/>
      <c r="U1914" s="68"/>
      <c r="V1914" s="68"/>
      <c r="W1914" s="68"/>
      <c r="X1914" s="68"/>
      <c r="Y1914" s="68"/>
      <c r="Z1914" s="68"/>
      <c r="AA1914" s="68"/>
      <c r="AB1914" s="68"/>
      <c r="AC1914" s="68"/>
      <c r="AD1914" s="68"/>
      <c r="AE1914" s="68"/>
    </row>
    <row r="1915" ht="26.25" customHeight="1">
      <c r="A1915" s="68"/>
      <c r="B1915" s="68"/>
      <c r="C1915" s="61" t="s">
        <v>129</v>
      </c>
      <c r="D1915" s="61" t="s">
        <v>130</v>
      </c>
      <c r="E1915" s="68"/>
      <c r="F1915" s="68"/>
      <c r="G1915" s="68"/>
      <c r="H1915" s="68"/>
      <c r="I1915" s="68"/>
      <c r="J1915" s="78"/>
      <c r="K1915" s="68"/>
      <c r="L1915" s="68"/>
      <c r="M1915" s="68"/>
      <c r="N1915" s="68"/>
      <c r="O1915" s="68"/>
      <c r="P1915" s="68"/>
      <c r="Q1915" s="68"/>
      <c r="R1915" s="68"/>
      <c r="S1915" s="68"/>
      <c r="T1915" s="68"/>
      <c r="U1915" s="68"/>
      <c r="V1915" s="68"/>
      <c r="W1915" s="68"/>
      <c r="X1915" s="68"/>
      <c r="Y1915" s="68"/>
      <c r="Z1915" s="68"/>
      <c r="AA1915" s="68"/>
      <c r="AB1915" s="68"/>
      <c r="AC1915" s="68"/>
      <c r="AD1915" s="68"/>
      <c r="AE1915" s="68"/>
    </row>
    <row r="1916" ht="26.25" customHeight="1">
      <c r="A1916" s="68"/>
      <c r="B1916" s="68"/>
      <c r="C1916" s="61" t="s">
        <v>129</v>
      </c>
      <c r="D1916" s="61" t="s">
        <v>130</v>
      </c>
      <c r="E1916" s="68"/>
      <c r="F1916" s="68"/>
      <c r="G1916" s="68"/>
      <c r="H1916" s="68"/>
      <c r="I1916" s="68"/>
      <c r="J1916" s="78"/>
      <c r="K1916" s="68"/>
      <c r="L1916" s="68"/>
      <c r="M1916" s="68"/>
      <c r="N1916" s="68"/>
      <c r="O1916" s="68"/>
      <c r="P1916" s="68"/>
      <c r="Q1916" s="68"/>
      <c r="R1916" s="68"/>
      <c r="S1916" s="68"/>
      <c r="T1916" s="68"/>
      <c r="U1916" s="68"/>
      <c r="V1916" s="68"/>
      <c r="W1916" s="68"/>
      <c r="X1916" s="68"/>
      <c r="Y1916" s="68"/>
      <c r="Z1916" s="68"/>
      <c r="AA1916" s="68"/>
      <c r="AB1916" s="68"/>
      <c r="AC1916" s="68"/>
      <c r="AD1916" s="68"/>
      <c r="AE1916" s="68"/>
    </row>
    <row r="1917" ht="26.25" customHeight="1">
      <c r="A1917" s="68"/>
      <c r="B1917" s="68"/>
      <c r="C1917" s="61" t="s">
        <v>129</v>
      </c>
      <c r="D1917" s="61" t="s">
        <v>130</v>
      </c>
      <c r="E1917" s="68"/>
      <c r="F1917" s="68"/>
      <c r="G1917" s="68"/>
      <c r="H1917" s="68"/>
      <c r="I1917" s="68"/>
      <c r="J1917" s="78"/>
      <c r="K1917" s="68"/>
      <c r="L1917" s="68"/>
      <c r="M1917" s="68"/>
      <c r="N1917" s="68"/>
      <c r="O1917" s="68"/>
      <c r="P1917" s="68"/>
      <c r="Q1917" s="68"/>
      <c r="R1917" s="68"/>
      <c r="S1917" s="68"/>
      <c r="T1917" s="68"/>
      <c r="U1917" s="68"/>
      <c r="V1917" s="68"/>
      <c r="W1917" s="68"/>
      <c r="X1917" s="68"/>
      <c r="Y1917" s="68"/>
      <c r="Z1917" s="68"/>
      <c r="AA1917" s="68"/>
      <c r="AB1917" s="68"/>
      <c r="AC1917" s="68"/>
      <c r="AD1917" s="68"/>
      <c r="AE1917" s="68"/>
    </row>
    <row r="1918" ht="26.25" customHeight="1">
      <c r="A1918" s="68"/>
      <c r="B1918" s="68"/>
      <c r="C1918" s="61" t="s">
        <v>129</v>
      </c>
      <c r="D1918" s="61" t="s">
        <v>130</v>
      </c>
      <c r="E1918" s="68"/>
      <c r="F1918" s="68"/>
      <c r="G1918" s="68"/>
      <c r="H1918" s="68"/>
      <c r="I1918" s="68"/>
      <c r="J1918" s="78"/>
      <c r="K1918" s="68"/>
      <c r="L1918" s="68"/>
      <c r="M1918" s="68"/>
      <c r="N1918" s="68"/>
      <c r="O1918" s="68"/>
      <c r="P1918" s="68"/>
      <c r="Q1918" s="68"/>
      <c r="R1918" s="68"/>
      <c r="S1918" s="68"/>
      <c r="T1918" s="68"/>
      <c r="U1918" s="68"/>
      <c r="V1918" s="68"/>
      <c r="W1918" s="68"/>
      <c r="X1918" s="68"/>
      <c r="Y1918" s="68"/>
      <c r="Z1918" s="68"/>
      <c r="AA1918" s="68"/>
      <c r="AB1918" s="68"/>
      <c r="AC1918" s="68"/>
      <c r="AD1918" s="68"/>
      <c r="AE1918" s="68"/>
    </row>
    <row r="1919" ht="26.25" customHeight="1">
      <c r="A1919" s="68"/>
      <c r="B1919" s="68"/>
      <c r="C1919" s="61" t="s">
        <v>129</v>
      </c>
      <c r="D1919" s="61" t="s">
        <v>130</v>
      </c>
      <c r="E1919" s="68"/>
      <c r="F1919" s="68"/>
      <c r="G1919" s="68"/>
      <c r="H1919" s="68"/>
      <c r="I1919" s="68"/>
      <c r="J1919" s="78"/>
      <c r="K1919" s="68"/>
      <c r="L1919" s="68"/>
      <c r="M1919" s="68"/>
      <c r="N1919" s="68"/>
      <c r="O1919" s="68"/>
      <c r="P1919" s="68"/>
      <c r="Q1919" s="68"/>
      <c r="R1919" s="68"/>
      <c r="S1919" s="68"/>
      <c r="T1919" s="68"/>
      <c r="U1919" s="68"/>
      <c r="V1919" s="68"/>
      <c r="W1919" s="68"/>
      <c r="X1919" s="68"/>
      <c r="Y1919" s="68"/>
      <c r="Z1919" s="68"/>
      <c r="AA1919" s="68"/>
      <c r="AB1919" s="68"/>
      <c r="AC1919" s="68"/>
      <c r="AD1919" s="68"/>
      <c r="AE1919" s="68"/>
    </row>
    <row r="1920" ht="26.25" customHeight="1">
      <c r="A1920" s="68"/>
      <c r="B1920" s="68"/>
      <c r="C1920" s="61" t="s">
        <v>129</v>
      </c>
      <c r="D1920" s="61" t="s">
        <v>130</v>
      </c>
      <c r="E1920" s="68"/>
      <c r="F1920" s="68"/>
      <c r="G1920" s="68"/>
      <c r="H1920" s="68"/>
      <c r="I1920" s="68"/>
      <c r="J1920" s="78"/>
      <c r="K1920" s="68"/>
      <c r="L1920" s="68"/>
      <c r="M1920" s="68"/>
      <c r="N1920" s="68"/>
      <c r="O1920" s="68"/>
      <c r="P1920" s="68"/>
      <c r="Q1920" s="68"/>
      <c r="R1920" s="68"/>
      <c r="S1920" s="68"/>
      <c r="T1920" s="68"/>
      <c r="U1920" s="68"/>
      <c r="V1920" s="68"/>
      <c r="W1920" s="68"/>
      <c r="X1920" s="68"/>
      <c r="Y1920" s="68"/>
      <c r="Z1920" s="68"/>
      <c r="AA1920" s="68"/>
      <c r="AB1920" s="68"/>
      <c r="AC1920" s="68"/>
      <c r="AD1920" s="68"/>
      <c r="AE1920" s="68"/>
    </row>
    <row r="1921" ht="26.25" customHeight="1">
      <c r="A1921" s="68"/>
      <c r="B1921" s="68"/>
      <c r="C1921" s="61" t="s">
        <v>129</v>
      </c>
      <c r="D1921" s="61" t="s">
        <v>130</v>
      </c>
      <c r="E1921" s="68"/>
      <c r="F1921" s="68"/>
      <c r="G1921" s="68"/>
      <c r="H1921" s="68"/>
      <c r="I1921" s="68"/>
      <c r="J1921" s="78"/>
      <c r="K1921" s="68"/>
      <c r="L1921" s="68"/>
      <c r="M1921" s="68"/>
      <c r="N1921" s="68"/>
      <c r="O1921" s="68"/>
      <c r="P1921" s="68"/>
      <c r="Q1921" s="68"/>
      <c r="R1921" s="68"/>
      <c r="S1921" s="68"/>
      <c r="T1921" s="68"/>
      <c r="U1921" s="68"/>
      <c r="V1921" s="68"/>
      <c r="W1921" s="68"/>
      <c r="X1921" s="68"/>
      <c r="Y1921" s="68"/>
      <c r="Z1921" s="68"/>
      <c r="AA1921" s="68"/>
      <c r="AB1921" s="68"/>
      <c r="AC1921" s="68"/>
      <c r="AD1921" s="68"/>
      <c r="AE1921" s="68"/>
    </row>
    <row r="1922" ht="26.25" customHeight="1">
      <c r="A1922" s="68"/>
      <c r="B1922" s="68"/>
      <c r="C1922" s="61" t="s">
        <v>129</v>
      </c>
      <c r="D1922" s="61" t="s">
        <v>130</v>
      </c>
      <c r="E1922" s="68"/>
      <c r="F1922" s="68"/>
      <c r="G1922" s="68"/>
      <c r="H1922" s="68"/>
      <c r="I1922" s="68"/>
      <c r="J1922" s="78"/>
      <c r="K1922" s="68"/>
      <c r="L1922" s="68"/>
      <c r="M1922" s="68"/>
      <c r="N1922" s="68"/>
      <c r="O1922" s="68"/>
      <c r="P1922" s="68"/>
      <c r="Q1922" s="68"/>
      <c r="R1922" s="68"/>
      <c r="S1922" s="68"/>
      <c r="T1922" s="68"/>
      <c r="U1922" s="68"/>
      <c r="V1922" s="68"/>
      <c r="W1922" s="68"/>
      <c r="X1922" s="68"/>
      <c r="Y1922" s="68"/>
      <c r="Z1922" s="68"/>
      <c r="AA1922" s="68"/>
      <c r="AB1922" s="68"/>
      <c r="AC1922" s="68"/>
      <c r="AD1922" s="68"/>
      <c r="AE1922" s="68"/>
    </row>
    <row r="1923" ht="26.25" customHeight="1">
      <c r="A1923" s="68"/>
      <c r="B1923" s="68"/>
      <c r="C1923" s="61" t="s">
        <v>129</v>
      </c>
      <c r="D1923" s="61" t="s">
        <v>130</v>
      </c>
      <c r="E1923" s="68"/>
      <c r="F1923" s="68"/>
      <c r="G1923" s="68"/>
      <c r="H1923" s="68"/>
      <c r="I1923" s="68"/>
      <c r="J1923" s="78"/>
      <c r="K1923" s="68"/>
      <c r="L1923" s="68"/>
      <c r="M1923" s="68"/>
      <c r="N1923" s="68"/>
      <c r="O1923" s="68"/>
      <c r="P1923" s="68"/>
      <c r="Q1923" s="68"/>
      <c r="R1923" s="68"/>
      <c r="S1923" s="68"/>
      <c r="T1923" s="68"/>
      <c r="U1923" s="68"/>
      <c r="V1923" s="68"/>
      <c r="W1923" s="68"/>
      <c r="X1923" s="68"/>
      <c r="Y1923" s="68"/>
      <c r="Z1923" s="68"/>
      <c r="AA1923" s="68"/>
      <c r="AB1923" s="68"/>
      <c r="AC1923" s="68"/>
      <c r="AD1923" s="68"/>
      <c r="AE1923" s="68"/>
    </row>
    <row r="1924" ht="26.25" customHeight="1">
      <c r="A1924" s="68"/>
      <c r="B1924" s="68"/>
      <c r="C1924" s="61" t="s">
        <v>129</v>
      </c>
      <c r="D1924" s="61" t="s">
        <v>130</v>
      </c>
      <c r="E1924" s="68"/>
      <c r="F1924" s="68"/>
      <c r="G1924" s="68"/>
      <c r="H1924" s="68"/>
      <c r="I1924" s="68"/>
      <c r="J1924" s="78"/>
      <c r="K1924" s="68"/>
      <c r="L1924" s="68"/>
      <c r="M1924" s="68"/>
      <c r="N1924" s="68"/>
      <c r="O1924" s="68"/>
      <c r="P1924" s="68"/>
      <c r="Q1924" s="68"/>
      <c r="R1924" s="68"/>
      <c r="S1924" s="68"/>
      <c r="T1924" s="68"/>
      <c r="U1924" s="68"/>
      <c r="V1924" s="68"/>
      <c r="W1924" s="68"/>
      <c r="X1924" s="68"/>
      <c r="Y1924" s="68"/>
      <c r="Z1924" s="68"/>
      <c r="AA1924" s="68"/>
      <c r="AB1924" s="68"/>
      <c r="AC1924" s="68"/>
      <c r="AD1924" s="68"/>
      <c r="AE1924" s="68"/>
    </row>
    <row r="1925" ht="26.25" customHeight="1">
      <c r="A1925" s="68"/>
      <c r="B1925" s="68"/>
      <c r="C1925" s="61" t="s">
        <v>129</v>
      </c>
      <c r="D1925" s="61" t="s">
        <v>130</v>
      </c>
      <c r="E1925" s="68"/>
      <c r="F1925" s="68"/>
      <c r="G1925" s="68"/>
      <c r="H1925" s="68"/>
      <c r="I1925" s="68"/>
      <c r="J1925" s="78"/>
      <c r="K1925" s="68"/>
      <c r="L1925" s="68"/>
      <c r="M1925" s="68"/>
      <c r="N1925" s="68"/>
      <c r="O1925" s="68"/>
      <c r="P1925" s="68"/>
      <c r="Q1925" s="68"/>
      <c r="R1925" s="68"/>
      <c r="S1925" s="68"/>
      <c r="T1925" s="68"/>
      <c r="U1925" s="68"/>
      <c r="V1925" s="68"/>
      <c r="W1925" s="68"/>
      <c r="X1925" s="68"/>
      <c r="Y1925" s="68"/>
      <c r="Z1925" s="68"/>
      <c r="AA1925" s="68"/>
      <c r="AB1925" s="68"/>
      <c r="AC1925" s="68"/>
      <c r="AD1925" s="68"/>
      <c r="AE1925" s="68"/>
    </row>
    <row r="1926" ht="26.25" customHeight="1">
      <c r="A1926" s="68"/>
      <c r="B1926" s="68"/>
      <c r="C1926" s="61" t="s">
        <v>129</v>
      </c>
      <c r="D1926" s="61" t="s">
        <v>130</v>
      </c>
      <c r="E1926" s="68"/>
      <c r="F1926" s="68"/>
      <c r="G1926" s="68"/>
      <c r="H1926" s="68"/>
      <c r="I1926" s="68"/>
      <c r="J1926" s="78"/>
      <c r="K1926" s="68"/>
      <c r="L1926" s="68"/>
      <c r="M1926" s="68"/>
      <c r="N1926" s="68"/>
      <c r="O1926" s="68"/>
      <c r="P1926" s="68"/>
      <c r="Q1926" s="68"/>
      <c r="R1926" s="68"/>
      <c r="S1926" s="68"/>
      <c r="T1926" s="68"/>
      <c r="U1926" s="68"/>
      <c r="V1926" s="68"/>
      <c r="W1926" s="68"/>
      <c r="X1926" s="68"/>
      <c r="Y1926" s="68"/>
      <c r="Z1926" s="68"/>
      <c r="AA1926" s="68"/>
      <c r="AB1926" s="68"/>
      <c r="AC1926" s="68"/>
      <c r="AD1926" s="68"/>
      <c r="AE1926" s="68"/>
    </row>
    <row r="1927" ht="26.25" customHeight="1">
      <c r="A1927" s="68"/>
      <c r="B1927" s="68"/>
      <c r="C1927" s="61" t="s">
        <v>129</v>
      </c>
      <c r="D1927" s="61" t="s">
        <v>130</v>
      </c>
      <c r="E1927" s="68"/>
      <c r="F1927" s="68"/>
      <c r="G1927" s="68"/>
      <c r="H1927" s="68"/>
      <c r="I1927" s="68"/>
      <c r="J1927" s="78"/>
      <c r="K1927" s="68"/>
      <c r="L1927" s="68"/>
      <c r="M1927" s="68"/>
      <c r="N1927" s="68"/>
      <c r="O1927" s="68"/>
      <c r="P1927" s="68"/>
      <c r="Q1927" s="68"/>
      <c r="R1927" s="68"/>
      <c r="S1927" s="68"/>
      <c r="T1927" s="68"/>
      <c r="U1927" s="68"/>
      <c r="V1927" s="68"/>
      <c r="W1927" s="68"/>
      <c r="X1927" s="68"/>
      <c r="Y1927" s="68"/>
      <c r="Z1927" s="68"/>
      <c r="AA1927" s="68"/>
      <c r="AB1927" s="68"/>
      <c r="AC1927" s="68"/>
      <c r="AD1927" s="68"/>
      <c r="AE1927" s="68"/>
    </row>
    <row r="1928" ht="26.25" customHeight="1">
      <c r="A1928" s="68"/>
      <c r="B1928" s="68"/>
      <c r="C1928" s="61" t="s">
        <v>129</v>
      </c>
      <c r="D1928" s="61" t="s">
        <v>130</v>
      </c>
      <c r="E1928" s="68"/>
      <c r="F1928" s="68"/>
      <c r="G1928" s="68"/>
      <c r="H1928" s="68"/>
      <c r="I1928" s="68"/>
      <c r="J1928" s="78"/>
      <c r="K1928" s="68"/>
      <c r="L1928" s="68"/>
      <c r="M1928" s="68"/>
      <c r="N1928" s="68"/>
      <c r="O1928" s="68"/>
      <c r="P1928" s="68"/>
      <c r="Q1928" s="68"/>
      <c r="R1928" s="68"/>
      <c r="S1928" s="68"/>
      <c r="T1928" s="68"/>
      <c r="U1928" s="68"/>
      <c r="V1928" s="68"/>
      <c r="W1928" s="68"/>
      <c r="X1928" s="68"/>
      <c r="Y1928" s="68"/>
      <c r="Z1928" s="68"/>
      <c r="AA1928" s="68"/>
      <c r="AB1928" s="68"/>
      <c r="AC1928" s="68"/>
      <c r="AD1928" s="68"/>
      <c r="AE1928" s="68"/>
    </row>
    <row r="1929" ht="26.25" customHeight="1">
      <c r="A1929" s="68"/>
      <c r="B1929" s="68"/>
      <c r="C1929" s="61" t="s">
        <v>129</v>
      </c>
      <c r="D1929" s="61" t="s">
        <v>130</v>
      </c>
      <c r="E1929" s="68"/>
      <c r="F1929" s="68"/>
      <c r="G1929" s="68"/>
      <c r="H1929" s="68"/>
      <c r="I1929" s="68"/>
      <c r="J1929" s="78"/>
      <c r="K1929" s="68"/>
      <c r="L1929" s="68"/>
      <c r="M1929" s="68"/>
      <c r="N1929" s="68"/>
      <c r="O1929" s="68"/>
      <c r="P1929" s="68"/>
      <c r="Q1929" s="68"/>
      <c r="R1929" s="68"/>
      <c r="S1929" s="68"/>
      <c r="T1929" s="68"/>
      <c r="U1929" s="68"/>
      <c r="V1929" s="68"/>
      <c r="W1929" s="68"/>
      <c r="X1929" s="68"/>
      <c r="Y1929" s="68"/>
      <c r="Z1929" s="68"/>
      <c r="AA1929" s="68"/>
      <c r="AB1929" s="68"/>
      <c r="AC1929" s="68"/>
      <c r="AD1929" s="68"/>
      <c r="AE1929" s="68"/>
    </row>
    <row r="1930" ht="26.25" customHeight="1">
      <c r="A1930" s="68"/>
      <c r="B1930" s="68"/>
      <c r="C1930" s="61" t="s">
        <v>129</v>
      </c>
      <c r="D1930" s="61" t="s">
        <v>130</v>
      </c>
      <c r="E1930" s="68"/>
      <c r="F1930" s="68"/>
      <c r="G1930" s="68"/>
      <c r="H1930" s="68"/>
      <c r="I1930" s="68"/>
      <c r="J1930" s="78"/>
      <c r="K1930" s="68"/>
      <c r="L1930" s="68"/>
      <c r="M1930" s="68"/>
      <c r="N1930" s="68"/>
      <c r="O1930" s="68"/>
      <c r="P1930" s="68"/>
      <c r="Q1930" s="68"/>
      <c r="R1930" s="68"/>
      <c r="S1930" s="68"/>
      <c r="T1930" s="68"/>
      <c r="U1930" s="68"/>
      <c r="V1930" s="68"/>
      <c r="W1930" s="68"/>
      <c r="X1930" s="68"/>
      <c r="Y1930" s="68"/>
      <c r="Z1930" s="68"/>
      <c r="AA1930" s="68"/>
      <c r="AB1930" s="68"/>
      <c r="AC1930" s="68"/>
      <c r="AD1930" s="68"/>
      <c r="AE1930" s="68"/>
    </row>
    <row r="1931" ht="26.25" customHeight="1">
      <c r="A1931" s="68"/>
      <c r="B1931" s="68"/>
      <c r="C1931" s="61" t="s">
        <v>129</v>
      </c>
      <c r="D1931" s="61" t="s">
        <v>130</v>
      </c>
      <c r="E1931" s="68"/>
      <c r="F1931" s="68"/>
      <c r="G1931" s="68"/>
      <c r="H1931" s="68"/>
      <c r="I1931" s="68"/>
      <c r="J1931" s="78"/>
      <c r="K1931" s="68"/>
      <c r="L1931" s="68"/>
      <c r="M1931" s="68"/>
      <c r="N1931" s="68"/>
      <c r="O1931" s="68"/>
      <c r="P1931" s="68"/>
      <c r="Q1931" s="68"/>
      <c r="R1931" s="68"/>
      <c r="S1931" s="68"/>
      <c r="T1931" s="68"/>
      <c r="U1931" s="68"/>
      <c r="V1931" s="68"/>
      <c r="W1931" s="68"/>
      <c r="X1931" s="68"/>
      <c r="Y1931" s="68"/>
      <c r="Z1931" s="68"/>
      <c r="AA1931" s="68"/>
      <c r="AB1931" s="68"/>
      <c r="AC1931" s="68"/>
      <c r="AD1931" s="68"/>
      <c r="AE1931" s="68"/>
    </row>
    <row r="1932" ht="26.25" customHeight="1">
      <c r="A1932" s="68"/>
      <c r="B1932" s="68"/>
      <c r="C1932" s="61" t="s">
        <v>129</v>
      </c>
      <c r="D1932" s="61" t="s">
        <v>130</v>
      </c>
      <c r="E1932" s="68"/>
      <c r="F1932" s="68"/>
      <c r="G1932" s="68"/>
      <c r="H1932" s="68"/>
      <c r="I1932" s="68"/>
      <c r="J1932" s="78"/>
      <c r="K1932" s="68"/>
      <c r="L1932" s="68"/>
      <c r="M1932" s="68"/>
      <c r="N1932" s="68"/>
      <c r="O1932" s="68"/>
      <c r="P1932" s="68"/>
      <c r="Q1932" s="68"/>
      <c r="R1932" s="68"/>
      <c r="S1932" s="68"/>
      <c r="T1932" s="68"/>
      <c r="U1932" s="68"/>
      <c r="V1932" s="68"/>
      <c r="W1932" s="68"/>
      <c r="X1932" s="68"/>
      <c r="Y1932" s="68"/>
      <c r="Z1932" s="68"/>
      <c r="AA1932" s="68"/>
      <c r="AB1932" s="68"/>
      <c r="AC1932" s="68"/>
      <c r="AD1932" s="68"/>
      <c r="AE1932" s="68"/>
    </row>
    <row r="1933" ht="26.25" customHeight="1">
      <c r="A1933" s="68"/>
      <c r="B1933" s="68"/>
      <c r="C1933" s="61" t="s">
        <v>129</v>
      </c>
      <c r="D1933" s="61" t="s">
        <v>130</v>
      </c>
      <c r="E1933" s="68"/>
      <c r="F1933" s="68"/>
      <c r="G1933" s="68"/>
      <c r="H1933" s="68"/>
      <c r="I1933" s="68"/>
      <c r="J1933" s="78"/>
      <c r="K1933" s="68"/>
      <c r="L1933" s="68"/>
      <c r="M1933" s="68"/>
      <c r="N1933" s="68"/>
      <c r="O1933" s="68"/>
      <c r="P1933" s="68"/>
      <c r="Q1933" s="68"/>
      <c r="R1933" s="68"/>
      <c r="S1933" s="68"/>
      <c r="T1933" s="68"/>
      <c r="U1933" s="68"/>
      <c r="V1933" s="68"/>
      <c r="W1933" s="68"/>
      <c r="X1933" s="68"/>
      <c r="Y1933" s="68"/>
      <c r="Z1933" s="68"/>
      <c r="AA1933" s="68"/>
      <c r="AB1933" s="68"/>
      <c r="AC1933" s="68"/>
      <c r="AD1933" s="68"/>
      <c r="AE1933" s="68"/>
    </row>
    <row r="1934" ht="26.25" customHeight="1">
      <c r="A1934" s="68"/>
      <c r="B1934" s="68"/>
      <c r="C1934" s="61" t="s">
        <v>129</v>
      </c>
      <c r="D1934" s="61" t="s">
        <v>130</v>
      </c>
      <c r="E1934" s="68"/>
      <c r="F1934" s="68"/>
      <c r="G1934" s="68"/>
      <c r="H1934" s="68"/>
      <c r="I1934" s="68"/>
      <c r="J1934" s="78"/>
      <c r="K1934" s="68"/>
      <c r="L1934" s="68"/>
      <c r="M1934" s="68"/>
      <c r="N1934" s="68"/>
      <c r="O1934" s="68"/>
      <c r="P1934" s="68"/>
      <c r="Q1934" s="68"/>
      <c r="R1934" s="68"/>
      <c r="S1934" s="68"/>
      <c r="T1934" s="68"/>
      <c r="U1934" s="68"/>
      <c r="V1934" s="68"/>
      <c r="W1934" s="68"/>
      <c r="X1934" s="68"/>
      <c r="Y1934" s="68"/>
      <c r="Z1934" s="68"/>
      <c r="AA1934" s="68"/>
      <c r="AB1934" s="68"/>
      <c r="AC1934" s="68"/>
      <c r="AD1934" s="68"/>
      <c r="AE1934" s="68"/>
    </row>
    <row r="1935" ht="26.25" customHeight="1">
      <c r="A1935" s="68"/>
      <c r="B1935" s="68"/>
      <c r="C1935" s="61" t="s">
        <v>129</v>
      </c>
      <c r="D1935" s="61" t="s">
        <v>130</v>
      </c>
      <c r="E1935" s="68"/>
      <c r="F1935" s="68"/>
      <c r="G1935" s="68"/>
      <c r="H1935" s="68"/>
      <c r="I1935" s="68"/>
      <c r="J1935" s="78"/>
      <c r="K1935" s="68"/>
      <c r="L1935" s="68"/>
      <c r="M1935" s="68"/>
      <c r="N1935" s="68"/>
      <c r="O1935" s="68"/>
      <c r="P1935" s="68"/>
      <c r="Q1935" s="68"/>
      <c r="R1935" s="68"/>
      <c r="S1935" s="68"/>
      <c r="T1935" s="68"/>
      <c r="U1935" s="68"/>
      <c r="V1935" s="68"/>
      <c r="W1935" s="68"/>
      <c r="X1935" s="68"/>
      <c r="Y1935" s="68"/>
      <c r="Z1935" s="68"/>
      <c r="AA1935" s="68"/>
      <c r="AB1935" s="68"/>
      <c r="AC1935" s="68"/>
      <c r="AD1935" s="68"/>
      <c r="AE1935" s="68"/>
    </row>
    <row r="1936" ht="26.25" customHeight="1">
      <c r="A1936" s="68"/>
      <c r="B1936" s="68"/>
      <c r="C1936" s="61" t="s">
        <v>129</v>
      </c>
      <c r="D1936" s="61" t="s">
        <v>130</v>
      </c>
      <c r="E1936" s="68"/>
      <c r="F1936" s="68"/>
      <c r="G1936" s="68"/>
      <c r="H1936" s="68"/>
      <c r="I1936" s="68"/>
      <c r="J1936" s="78"/>
      <c r="K1936" s="68"/>
      <c r="L1936" s="68"/>
      <c r="M1936" s="68"/>
      <c r="N1936" s="68"/>
      <c r="O1936" s="68"/>
      <c r="P1936" s="68"/>
      <c r="Q1936" s="68"/>
      <c r="R1936" s="68"/>
      <c r="S1936" s="68"/>
      <c r="T1936" s="68"/>
      <c r="U1936" s="68"/>
      <c r="V1936" s="68"/>
      <c r="W1936" s="68"/>
      <c r="X1936" s="68"/>
      <c r="Y1936" s="68"/>
      <c r="Z1936" s="68"/>
      <c r="AA1936" s="68"/>
      <c r="AB1936" s="68"/>
      <c r="AC1936" s="68"/>
      <c r="AD1936" s="68"/>
      <c r="AE1936" s="68"/>
    </row>
    <row r="1937" ht="26.25" customHeight="1">
      <c r="A1937" s="68"/>
      <c r="B1937" s="68"/>
      <c r="C1937" s="61" t="s">
        <v>129</v>
      </c>
      <c r="D1937" s="61" t="s">
        <v>130</v>
      </c>
      <c r="E1937" s="68"/>
      <c r="F1937" s="68"/>
      <c r="G1937" s="68"/>
      <c r="H1937" s="68"/>
      <c r="I1937" s="68"/>
      <c r="J1937" s="78"/>
      <c r="K1937" s="68"/>
      <c r="L1937" s="68"/>
      <c r="M1937" s="68"/>
      <c r="N1937" s="68"/>
      <c r="O1937" s="68"/>
      <c r="P1937" s="68"/>
      <c r="Q1937" s="68"/>
      <c r="R1937" s="68"/>
      <c r="S1937" s="68"/>
      <c r="T1937" s="68"/>
      <c r="U1937" s="68"/>
      <c r="V1937" s="68"/>
      <c r="W1937" s="68"/>
      <c r="X1937" s="68"/>
      <c r="Y1937" s="68"/>
      <c r="Z1937" s="68"/>
      <c r="AA1937" s="68"/>
      <c r="AB1937" s="68"/>
      <c r="AC1937" s="68"/>
      <c r="AD1937" s="68"/>
      <c r="AE1937" s="68"/>
    </row>
    <row r="1938" ht="26.25" customHeight="1">
      <c r="A1938" s="68"/>
      <c r="B1938" s="68"/>
      <c r="C1938" s="61" t="s">
        <v>129</v>
      </c>
      <c r="D1938" s="61" t="s">
        <v>130</v>
      </c>
      <c r="E1938" s="68"/>
      <c r="F1938" s="68"/>
      <c r="G1938" s="68"/>
      <c r="H1938" s="68"/>
      <c r="I1938" s="68"/>
      <c r="J1938" s="78"/>
      <c r="K1938" s="68"/>
      <c r="L1938" s="68"/>
      <c r="M1938" s="68"/>
      <c r="N1938" s="68"/>
      <c r="O1938" s="68"/>
      <c r="P1938" s="68"/>
      <c r="Q1938" s="68"/>
      <c r="R1938" s="68"/>
      <c r="S1938" s="68"/>
      <c r="T1938" s="68"/>
      <c r="U1938" s="68"/>
      <c r="V1938" s="68"/>
      <c r="W1938" s="68"/>
      <c r="X1938" s="68"/>
      <c r="Y1938" s="68"/>
      <c r="Z1938" s="68"/>
      <c r="AA1938" s="68"/>
      <c r="AB1938" s="68"/>
      <c r="AC1938" s="68"/>
      <c r="AD1938" s="68"/>
      <c r="AE1938" s="68"/>
    </row>
    <row r="1939" ht="26.25" customHeight="1">
      <c r="A1939" s="68"/>
      <c r="B1939" s="68"/>
      <c r="C1939" s="61" t="s">
        <v>129</v>
      </c>
      <c r="D1939" s="61" t="s">
        <v>130</v>
      </c>
      <c r="E1939" s="68"/>
      <c r="F1939" s="68"/>
      <c r="G1939" s="68"/>
      <c r="H1939" s="68"/>
      <c r="I1939" s="68"/>
      <c r="J1939" s="78"/>
      <c r="K1939" s="68"/>
      <c r="L1939" s="68"/>
      <c r="M1939" s="68"/>
      <c r="N1939" s="68"/>
      <c r="O1939" s="68"/>
      <c r="P1939" s="68"/>
      <c r="Q1939" s="68"/>
      <c r="R1939" s="68"/>
      <c r="S1939" s="68"/>
      <c r="T1939" s="68"/>
      <c r="U1939" s="68"/>
      <c r="V1939" s="68"/>
      <c r="W1939" s="68"/>
      <c r="X1939" s="68"/>
      <c r="Y1939" s="68"/>
      <c r="Z1939" s="68"/>
      <c r="AA1939" s="68"/>
      <c r="AB1939" s="68"/>
      <c r="AC1939" s="68"/>
      <c r="AD1939" s="68"/>
      <c r="AE1939" s="68"/>
    </row>
    <row r="1940" ht="26.25" customHeight="1">
      <c r="A1940" s="68"/>
      <c r="B1940" s="68"/>
      <c r="C1940" s="61" t="s">
        <v>129</v>
      </c>
      <c r="D1940" s="61" t="s">
        <v>130</v>
      </c>
      <c r="E1940" s="68"/>
      <c r="F1940" s="68"/>
      <c r="G1940" s="68"/>
      <c r="H1940" s="68"/>
      <c r="I1940" s="68"/>
      <c r="J1940" s="78"/>
      <c r="K1940" s="68"/>
      <c r="L1940" s="68"/>
      <c r="M1940" s="68"/>
      <c r="N1940" s="68"/>
      <c r="O1940" s="68"/>
      <c r="P1940" s="68"/>
      <c r="Q1940" s="68"/>
      <c r="R1940" s="68"/>
      <c r="S1940" s="68"/>
      <c r="T1940" s="68"/>
      <c r="U1940" s="68"/>
      <c r="V1940" s="68"/>
      <c r="W1940" s="68"/>
      <c r="X1940" s="68"/>
      <c r="Y1940" s="68"/>
      <c r="Z1940" s="68"/>
      <c r="AA1940" s="68"/>
      <c r="AB1940" s="68"/>
      <c r="AC1940" s="68"/>
      <c r="AD1940" s="68"/>
      <c r="AE1940" s="68"/>
    </row>
    <row r="1941" ht="26.25" customHeight="1">
      <c r="A1941" s="68"/>
      <c r="B1941" s="68"/>
      <c r="C1941" s="61" t="s">
        <v>129</v>
      </c>
      <c r="D1941" s="61" t="s">
        <v>130</v>
      </c>
      <c r="E1941" s="68"/>
      <c r="F1941" s="68"/>
      <c r="G1941" s="68"/>
      <c r="H1941" s="68"/>
      <c r="I1941" s="68"/>
      <c r="J1941" s="78"/>
      <c r="K1941" s="68"/>
      <c r="L1941" s="68"/>
      <c r="M1941" s="68"/>
      <c r="N1941" s="68"/>
      <c r="O1941" s="68"/>
      <c r="P1941" s="68"/>
      <c r="Q1941" s="68"/>
      <c r="R1941" s="68"/>
      <c r="S1941" s="68"/>
      <c r="T1941" s="68"/>
      <c r="U1941" s="68"/>
      <c r="V1941" s="68"/>
      <c r="W1941" s="68"/>
      <c r="X1941" s="68"/>
      <c r="Y1941" s="68"/>
      <c r="Z1941" s="68"/>
      <c r="AA1941" s="68"/>
      <c r="AB1941" s="68"/>
      <c r="AC1941" s="68"/>
      <c r="AD1941" s="68"/>
      <c r="AE1941" s="68"/>
    </row>
    <row r="1942" ht="26.25" customHeight="1">
      <c r="A1942" s="68"/>
      <c r="B1942" s="68"/>
      <c r="C1942" s="61" t="s">
        <v>129</v>
      </c>
      <c r="D1942" s="61" t="s">
        <v>130</v>
      </c>
      <c r="E1942" s="68"/>
      <c r="F1942" s="68"/>
      <c r="G1942" s="68"/>
      <c r="H1942" s="68"/>
      <c r="I1942" s="68"/>
      <c r="J1942" s="78"/>
      <c r="K1942" s="68"/>
      <c r="L1942" s="68"/>
      <c r="M1942" s="68"/>
      <c r="N1942" s="68"/>
      <c r="O1942" s="68"/>
      <c r="P1942" s="68"/>
      <c r="Q1942" s="68"/>
      <c r="R1942" s="68"/>
      <c r="S1942" s="68"/>
      <c r="T1942" s="68"/>
      <c r="U1942" s="68"/>
      <c r="V1942" s="68"/>
      <c r="W1942" s="68"/>
      <c r="X1942" s="68"/>
      <c r="Y1942" s="68"/>
      <c r="Z1942" s="68"/>
      <c r="AA1942" s="68"/>
      <c r="AB1942" s="68"/>
      <c r="AC1942" s="68"/>
      <c r="AD1942" s="68"/>
      <c r="AE1942" s="68"/>
    </row>
    <row r="1943" ht="26.25" customHeight="1">
      <c r="A1943" s="68"/>
      <c r="B1943" s="68"/>
      <c r="C1943" s="61" t="s">
        <v>129</v>
      </c>
      <c r="D1943" s="61" t="s">
        <v>130</v>
      </c>
      <c r="E1943" s="68"/>
      <c r="F1943" s="68"/>
      <c r="G1943" s="68"/>
      <c r="H1943" s="68"/>
      <c r="I1943" s="68"/>
      <c r="J1943" s="78"/>
      <c r="K1943" s="68"/>
      <c r="L1943" s="68"/>
      <c r="M1943" s="68"/>
      <c r="N1943" s="68"/>
      <c r="O1943" s="68"/>
      <c r="P1943" s="68"/>
      <c r="Q1943" s="68"/>
      <c r="R1943" s="68"/>
      <c r="S1943" s="68"/>
      <c r="T1943" s="68"/>
      <c r="U1943" s="68"/>
      <c r="V1943" s="68"/>
      <c r="W1943" s="68"/>
      <c r="X1943" s="68"/>
      <c r="Y1943" s="68"/>
      <c r="Z1943" s="68"/>
      <c r="AA1943" s="68"/>
      <c r="AB1943" s="68"/>
      <c r="AC1943" s="68"/>
      <c r="AD1943" s="68"/>
      <c r="AE1943" s="68"/>
    </row>
    <row r="1944" ht="26.25" customHeight="1">
      <c r="A1944" s="68"/>
      <c r="B1944" s="68"/>
      <c r="C1944" s="61" t="s">
        <v>129</v>
      </c>
      <c r="D1944" s="61" t="s">
        <v>130</v>
      </c>
      <c r="E1944" s="68"/>
      <c r="F1944" s="68"/>
      <c r="G1944" s="68"/>
      <c r="H1944" s="68"/>
      <c r="I1944" s="68"/>
      <c r="J1944" s="78"/>
      <c r="K1944" s="68"/>
      <c r="L1944" s="68"/>
      <c r="M1944" s="68"/>
      <c r="N1944" s="68"/>
      <c r="O1944" s="68"/>
      <c r="P1944" s="68"/>
      <c r="Q1944" s="68"/>
      <c r="R1944" s="68"/>
      <c r="S1944" s="68"/>
      <c r="T1944" s="68"/>
      <c r="U1944" s="68"/>
      <c r="V1944" s="68"/>
      <c r="W1944" s="68"/>
      <c r="X1944" s="68"/>
      <c r="Y1944" s="68"/>
      <c r="Z1944" s="68"/>
      <c r="AA1944" s="68"/>
      <c r="AB1944" s="68"/>
      <c r="AC1944" s="68"/>
      <c r="AD1944" s="68"/>
      <c r="AE1944" s="68"/>
    </row>
    <row r="1945" ht="26.25" customHeight="1">
      <c r="A1945" s="68"/>
      <c r="B1945" s="68"/>
      <c r="C1945" s="61" t="s">
        <v>129</v>
      </c>
      <c r="D1945" s="61" t="s">
        <v>130</v>
      </c>
      <c r="E1945" s="68"/>
      <c r="F1945" s="68"/>
      <c r="G1945" s="68"/>
      <c r="H1945" s="68"/>
      <c r="I1945" s="68"/>
      <c r="J1945" s="78"/>
      <c r="K1945" s="68"/>
      <c r="L1945" s="68"/>
      <c r="M1945" s="68"/>
      <c r="N1945" s="68"/>
      <c r="O1945" s="68"/>
      <c r="P1945" s="68"/>
      <c r="Q1945" s="68"/>
      <c r="R1945" s="68"/>
      <c r="S1945" s="68"/>
      <c r="T1945" s="68"/>
      <c r="U1945" s="68"/>
      <c r="V1945" s="68"/>
      <c r="W1945" s="68"/>
      <c r="X1945" s="68"/>
      <c r="Y1945" s="68"/>
      <c r="Z1945" s="68"/>
      <c r="AA1945" s="68"/>
      <c r="AB1945" s="68"/>
      <c r="AC1945" s="68"/>
      <c r="AD1945" s="68"/>
      <c r="AE1945" s="68"/>
    </row>
    <row r="1946" ht="26.25" customHeight="1">
      <c r="A1946" s="68"/>
      <c r="B1946" s="68"/>
      <c r="C1946" s="61" t="s">
        <v>129</v>
      </c>
      <c r="D1946" s="61" t="s">
        <v>130</v>
      </c>
      <c r="E1946" s="68"/>
      <c r="F1946" s="68"/>
      <c r="G1946" s="68"/>
      <c r="H1946" s="68"/>
      <c r="I1946" s="68"/>
      <c r="J1946" s="78"/>
      <c r="K1946" s="68"/>
      <c r="L1946" s="68"/>
      <c r="M1946" s="68"/>
      <c r="N1946" s="68"/>
      <c r="O1946" s="68"/>
      <c r="P1946" s="68"/>
      <c r="Q1946" s="68"/>
      <c r="R1946" s="68"/>
      <c r="S1946" s="68"/>
      <c r="T1946" s="68"/>
      <c r="U1946" s="68"/>
      <c r="V1946" s="68"/>
      <c r="W1946" s="68"/>
      <c r="X1946" s="68"/>
      <c r="Y1946" s="68"/>
      <c r="Z1946" s="68"/>
      <c r="AA1946" s="68"/>
      <c r="AB1946" s="68"/>
      <c r="AC1946" s="68"/>
      <c r="AD1946" s="68"/>
      <c r="AE1946" s="68"/>
    </row>
    <row r="1947" ht="26.25" customHeight="1">
      <c r="A1947" s="68"/>
      <c r="B1947" s="68"/>
      <c r="C1947" s="61" t="s">
        <v>129</v>
      </c>
      <c r="D1947" s="61" t="s">
        <v>130</v>
      </c>
      <c r="E1947" s="68"/>
      <c r="F1947" s="68"/>
      <c r="G1947" s="68"/>
      <c r="H1947" s="68"/>
      <c r="I1947" s="68"/>
      <c r="J1947" s="78"/>
      <c r="K1947" s="68"/>
      <c r="L1947" s="68"/>
      <c r="M1947" s="68"/>
      <c r="N1947" s="68"/>
      <c r="O1947" s="68"/>
      <c r="P1947" s="68"/>
      <c r="Q1947" s="68"/>
      <c r="R1947" s="68"/>
      <c r="S1947" s="68"/>
      <c r="T1947" s="68"/>
      <c r="U1947" s="68"/>
      <c r="V1947" s="68"/>
      <c r="W1947" s="68"/>
      <c r="X1947" s="68"/>
      <c r="Y1947" s="68"/>
      <c r="Z1947" s="68"/>
      <c r="AA1947" s="68"/>
      <c r="AB1947" s="68"/>
      <c r="AC1947" s="68"/>
      <c r="AD1947" s="68"/>
      <c r="AE1947" s="68"/>
    </row>
    <row r="1948" ht="26.25" customHeight="1">
      <c r="A1948" s="68"/>
      <c r="B1948" s="68"/>
      <c r="C1948" s="61" t="s">
        <v>129</v>
      </c>
      <c r="D1948" s="61" t="s">
        <v>130</v>
      </c>
      <c r="E1948" s="68"/>
      <c r="F1948" s="68"/>
      <c r="G1948" s="68"/>
      <c r="H1948" s="68"/>
      <c r="I1948" s="68"/>
      <c r="J1948" s="78"/>
      <c r="K1948" s="68"/>
      <c r="L1948" s="68"/>
      <c r="M1948" s="68"/>
      <c r="N1948" s="68"/>
      <c r="O1948" s="68"/>
      <c r="P1948" s="68"/>
      <c r="Q1948" s="68"/>
      <c r="R1948" s="68"/>
      <c r="S1948" s="68"/>
      <c r="T1948" s="68"/>
      <c r="U1948" s="68"/>
      <c r="V1948" s="68"/>
      <c r="W1948" s="68"/>
      <c r="X1948" s="68"/>
      <c r="Y1948" s="68"/>
      <c r="Z1948" s="68"/>
      <c r="AA1948" s="68"/>
      <c r="AB1948" s="68"/>
      <c r="AC1948" s="68"/>
      <c r="AD1948" s="68"/>
      <c r="AE1948" s="68"/>
    </row>
    <row r="1949" ht="26.25" customHeight="1">
      <c r="A1949" s="68"/>
      <c r="B1949" s="68"/>
      <c r="C1949" s="61" t="s">
        <v>129</v>
      </c>
      <c r="D1949" s="61" t="s">
        <v>130</v>
      </c>
      <c r="E1949" s="68"/>
      <c r="F1949" s="68"/>
      <c r="G1949" s="68"/>
      <c r="H1949" s="68"/>
      <c r="I1949" s="68"/>
      <c r="J1949" s="78"/>
      <c r="K1949" s="68"/>
      <c r="L1949" s="68"/>
      <c r="M1949" s="68"/>
      <c r="N1949" s="68"/>
      <c r="O1949" s="68"/>
      <c r="P1949" s="68"/>
      <c r="Q1949" s="68"/>
      <c r="R1949" s="68"/>
      <c r="S1949" s="68"/>
      <c r="T1949" s="68"/>
      <c r="U1949" s="68"/>
      <c r="V1949" s="68"/>
      <c r="W1949" s="68"/>
      <c r="X1949" s="68"/>
      <c r="Y1949" s="68"/>
      <c r="Z1949" s="68"/>
      <c r="AA1949" s="68"/>
      <c r="AB1949" s="68"/>
      <c r="AC1949" s="68"/>
      <c r="AD1949" s="68"/>
      <c r="AE1949" s="68"/>
    </row>
    <row r="1950" ht="26.25" customHeight="1">
      <c r="A1950" s="68"/>
      <c r="B1950" s="68"/>
      <c r="C1950" s="61" t="s">
        <v>129</v>
      </c>
      <c r="D1950" s="61" t="s">
        <v>130</v>
      </c>
      <c r="E1950" s="68"/>
      <c r="F1950" s="68"/>
      <c r="G1950" s="68"/>
      <c r="H1950" s="68"/>
      <c r="I1950" s="68"/>
      <c r="J1950" s="78"/>
      <c r="K1950" s="68"/>
      <c r="L1950" s="68"/>
      <c r="M1950" s="68"/>
      <c r="N1950" s="68"/>
      <c r="O1950" s="68"/>
      <c r="P1950" s="68"/>
      <c r="Q1950" s="68"/>
      <c r="R1950" s="68"/>
      <c r="S1950" s="68"/>
      <c r="T1950" s="68"/>
      <c r="U1950" s="68"/>
      <c r="V1950" s="68"/>
      <c r="W1950" s="68"/>
      <c r="X1950" s="68"/>
      <c r="Y1950" s="68"/>
      <c r="Z1950" s="68"/>
      <c r="AA1950" s="68"/>
      <c r="AB1950" s="68"/>
      <c r="AC1950" s="68"/>
      <c r="AD1950" s="68"/>
      <c r="AE1950" s="68"/>
    </row>
    <row r="1951" ht="26.25" customHeight="1">
      <c r="A1951" s="68"/>
      <c r="B1951" s="68"/>
      <c r="C1951" s="61" t="s">
        <v>129</v>
      </c>
      <c r="D1951" s="61" t="s">
        <v>130</v>
      </c>
      <c r="E1951" s="68"/>
      <c r="F1951" s="68"/>
      <c r="G1951" s="68"/>
      <c r="H1951" s="68"/>
      <c r="I1951" s="68"/>
      <c r="J1951" s="78"/>
      <c r="K1951" s="68"/>
      <c r="L1951" s="68"/>
      <c r="M1951" s="68"/>
      <c r="N1951" s="68"/>
      <c r="O1951" s="68"/>
      <c r="P1951" s="68"/>
      <c r="Q1951" s="68"/>
      <c r="R1951" s="68"/>
      <c r="S1951" s="68"/>
      <c r="T1951" s="68"/>
      <c r="U1951" s="68"/>
      <c r="V1951" s="68"/>
      <c r="W1951" s="68"/>
      <c r="X1951" s="68"/>
      <c r="Y1951" s="68"/>
      <c r="Z1951" s="68"/>
      <c r="AA1951" s="68"/>
      <c r="AB1951" s="68"/>
      <c r="AC1951" s="68"/>
      <c r="AD1951" s="68"/>
      <c r="AE1951" s="68"/>
    </row>
    <row r="1952" ht="26.25" customHeight="1">
      <c r="A1952" s="68"/>
      <c r="B1952" s="68"/>
      <c r="C1952" s="61" t="s">
        <v>129</v>
      </c>
      <c r="D1952" s="61" t="s">
        <v>130</v>
      </c>
      <c r="E1952" s="68"/>
      <c r="F1952" s="68"/>
      <c r="G1952" s="68"/>
      <c r="H1952" s="68"/>
      <c r="I1952" s="68"/>
      <c r="J1952" s="78"/>
      <c r="K1952" s="68"/>
      <c r="L1952" s="68"/>
      <c r="M1952" s="68"/>
      <c r="N1952" s="68"/>
      <c r="O1952" s="68"/>
      <c r="P1952" s="68"/>
      <c r="Q1952" s="68"/>
      <c r="R1952" s="68"/>
      <c r="S1952" s="68"/>
      <c r="T1952" s="68"/>
      <c r="U1952" s="68"/>
      <c r="V1952" s="68"/>
      <c r="W1952" s="68"/>
      <c r="X1952" s="68"/>
      <c r="Y1952" s="68"/>
      <c r="Z1952" s="68"/>
      <c r="AA1952" s="68"/>
      <c r="AB1952" s="68"/>
      <c r="AC1952" s="68"/>
      <c r="AD1952" s="68"/>
      <c r="AE1952" s="68"/>
    </row>
    <row r="1953" ht="26.25" customHeight="1">
      <c r="A1953" s="68"/>
      <c r="B1953" s="68"/>
      <c r="C1953" s="61" t="s">
        <v>129</v>
      </c>
      <c r="D1953" s="61" t="s">
        <v>130</v>
      </c>
      <c r="E1953" s="68"/>
      <c r="F1953" s="68"/>
      <c r="G1953" s="68"/>
      <c r="H1953" s="68"/>
      <c r="I1953" s="68"/>
      <c r="J1953" s="78"/>
      <c r="K1953" s="68"/>
      <c r="L1953" s="68"/>
      <c r="M1953" s="68"/>
      <c r="N1953" s="68"/>
      <c r="O1953" s="68"/>
      <c r="P1953" s="68"/>
      <c r="Q1953" s="68"/>
      <c r="R1953" s="68"/>
      <c r="S1953" s="68"/>
      <c r="T1953" s="68"/>
      <c r="U1953" s="68"/>
      <c r="V1953" s="68"/>
      <c r="W1953" s="68"/>
      <c r="X1953" s="68"/>
      <c r="Y1953" s="68"/>
      <c r="Z1953" s="68"/>
      <c r="AA1953" s="68"/>
      <c r="AB1953" s="68"/>
      <c r="AC1953" s="68"/>
      <c r="AD1953" s="68"/>
      <c r="AE1953" s="68"/>
    </row>
    <row r="1954" ht="26.25" customHeight="1">
      <c r="A1954" s="68"/>
      <c r="B1954" s="68"/>
      <c r="C1954" s="61" t="s">
        <v>129</v>
      </c>
      <c r="D1954" s="61" t="s">
        <v>130</v>
      </c>
      <c r="E1954" s="68"/>
      <c r="F1954" s="68"/>
      <c r="G1954" s="68"/>
      <c r="H1954" s="68"/>
      <c r="I1954" s="68"/>
      <c r="J1954" s="78"/>
      <c r="K1954" s="68"/>
      <c r="L1954" s="68"/>
      <c r="M1954" s="68"/>
      <c r="N1954" s="68"/>
      <c r="O1954" s="68"/>
      <c r="P1954" s="68"/>
      <c r="Q1954" s="68"/>
      <c r="R1954" s="68"/>
      <c r="S1954" s="68"/>
      <c r="T1954" s="68"/>
      <c r="U1954" s="68"/>
      <c r="V1954" s="68"/>
      <c r="W1954" s="68"/>
      <c r="X1954" s="68"/>
      <c r="Y1954" s="68"/>
      <c r="Z1954" s="68"/>
      <c r="AA1954" s="68"/>
      <c r="AB1954" s="68"/>
      <c r="AC1954" s="68"/>
      <c r="AD1954" s="68"/>
      <c r="AE1954" s="68"/>
    </row>
    <row r="1955" ht="26.25" customHeight="1">
      <c r="A1955" s="68"/>
      <c r="B1955" s="68"/>
      <c r="C1955" s="61" t="s">
        <v>129</v>
      </c>
      <c r="D1955" s="61" t="s">
        <v>130</v>
      </c>
      <c r="E1955" s="68"/>
      <c r="F1955" s="68"/>
      <c r="G1955" s="68"/>
      <c r="H1955" s="68"/>
      <c r="I1955" s="68"/>
      <c r="J1955" s="78"/>
      <c r="K1955" s="68"/>
      <c r="L1955" s="68"/>
      <c r="M1955" s="68"/>
      <c r="N1955" s="68"/>
      <c r="O1955" s="68"/>
      <c r="P1955" s="68"/>
      <c r="Q1955" s="68"/>
      <c r="R1955" s="68"/>
      <c r="S1955" s="68"/>
      <c r="T1955" s="68"/>
      <c r="U1955" s="68"/>
      <c r="V1955" s="68"/>
      <c r="W1955" s="68"/>
      <c r="X1955" s="68"/>
      <c r="Y1955" s="68"/>
      <c r="Z1955" s="68"/>
      <c r="AA1955" s="68"/>
      <c r="AB1955" s="68"/>
      <c r="AC1955" s="68"/>
      <c r="AD1955" s="68"/>
      <c r="AE1955" s="68"/>
    </row>
    <row r="1956" ht="26.25" customHeight="1">
      <c r="A1956" s="68"/>
      <c r="B1956" s="68"/>
      <c r="C1956" s="61" t="s">
        <v>129</v>
      </c>
      <c r="D1956" s="61" t="s">
        <v>130</v>
      </c>
      <c r="E1956" s="68"/>
      <c r="F1956" s="68"/>
      <c r="G1956" s="68"/>
      <c r="H1956" s="68"/>
      <c r="I1956" s="68"/>
      <c r="J1956" s="78"/>
      <c r="K1956" s="68"/>
      <c r="L1956" s="68"/>
      <c r="M1956" s="68"/>
      <c r="N1956" s="68"/>
      <c r="O1956" s="68"/>
      <c r="P1956" s="68"/>
      <c r="Q1956" s="68"/>
      <c r="R1956" s="68"/>
      <c r="S1956" s="68"/>
      <c r="T1956" s="68"/>
      <c r="U1956" s="68"/>
      <c r="V1956" s="68"/>
      <c r="W1956" s="68"/>
      <c r="X1956" s="68"/>
      <c r="Y1956" s="68"/>
      <c r="Z1956" s="68"/>
      <c r="AA1956" s="68"/>
      <c r="AB1956" s="68"/>
      <c r="AC1956" s="68"/>
      <c r="AD1956" s="68"/>
      <c r="AE1956" s="68"/>
    </row>
    <row r="1957" ht="26.25" customHeight="1">
      <c r="A1957" s="68"/>
      <c r="B1957" s="68"/>
      <c r="C1957" s="61" t="s">
        <v>129</v>
      </c>
      <c r="D1957" s="61" t="s">
        <v>130</v>
      </c>
      <c r="E1957" s="68"/>
      <c r="F1957" s="68"/>
      <c r="G1957" s="68"/>
      <c r="H1957" s="68"/>
      <c r="I1957" s="68"/>
      <c r="J1957" s="78"/>
      <c r="K1957" s="68"/>
      <c r="L1957" s="68"/>
      <c r="M1957" s="68"/>
      <c r="N1957" s="68"/>
      <c r="O1957" s="68"/>
      <c r="P1957" s="68"/>
      <c r="Q1957" s="68"/>
      <c r="R1957" s="68"/>
      <c r="S1957" s="68"/>
      <c r="T1957" s="68"/>
      <c r="U1957" s="68"/>
      <c r="V1957" s="68"/>
      <c r="W1957" s="68"/>
      <c r="X1957" s="68"/>
      <c r="Y1957" s="68"/>
      <c r="Z1957" s="68"/>
      <c r="AA1957" s="68"/>
      <c r="AB1957" s="68"/>
      <c r="AC1957" s="68"/>
      <c r="AD1957" s="68"/>
      <c r="AE1957" s="68"/>
    </row>
    <row r="1958" ht="26.25" customHeight="1">
      <c r="A1958" s="68"/>
      <c r="B1958" s="68"/>
      <c r="C1958" s="61" t="s">
        <v>129</v>
      </c>
      <c r="D1958" s="61" t="s">
        <v>130</v>
      </c>
      <c r="E1958" s="68"/>
      <c r="F1958" s="68"/>
      <c r="G1958" s="68"/>
      <c r="H1958" s="68"/>
      <c r="I1958" s="68"/>
      <c r="J1958" s="78"/>
      <c r="K1958" s="68"/>
      <c r="L1958" s="68"/>
      <c r="M1958" s="68"/>
      <c r="N1958" s="68"/>
      <c r="O1958" s="68"/>
      <c r="P1958" s="68"/>
      <c r="Q1958" s="68"/>
      <c r="R1958" s="68"/>
      <c r="S1958" s="68"/>
      <c r="T1958" s="68"/>
      <c r="U1958" s="68"/>
      <c r="V1958" s="68"/>
      <c r="W1958" s="68"/>
      <c r="X1958" s="68"/>
      <c r="Y1958" s="68"/>
      <c r="Z1958" s="68"/>
      <c r="AA1958" s="68"/>
      <c r="AB1958" s="68"/>
      <c r="AC1958" s="68"/>
      <c r="AD1958" s="68"/>
      <c r="AE1958" s="68"/>
    </row>
    <row r="1959" ht="26.25" customHeight="1">
      <c r="A1959" s="68"/>
      <c r="B1959" s="68"/>
      <c r="C1959" s="61" t="s">
        <v>129</v>
      </c>
      <c r="D1959" s="61" t="s">
        <v>130</v>
      </c>
      <c r="E1959" s="68"/>
      <c r="F1959" s="68"/>
      <c r="G1959" s="68"/>
      <c r="H1959" s="68"/>
      <c r="I1959" s="68"/>
      <c r="J1959" s="78"/>
      <c r="K1959" s="68"/>
      <c r="L1959" s="68"/>
      <c r="M1959" s="68"/>
      <c r="N1959" s="68"/>
      <c r="O1959" s="68"/>
      <c r="P1959" s="68"/>
      <c r="Q1959" s="68"/>
      <c r="R1959" s="68"/>
      <c r="S1959" s="68"/>
      <c r="T1959" s="68"/>
      <c r="U1959" s="68"/>
      <c r="V1959" s="68"/>
      <c r="W1959" s="68"/>
      <c r="X1959" s="68"/>
      <c r="Y1959" s="68"/>
      <c r="Z1959" s="68"/>
      <c r="AA1959" s="68"/>
      <c r="AB1959" s="68"/>
      <c r="AC1959" s="68"/>
      <c r="AD1959" s="68"/>
      <c r="AE1959" s="68"/>
    </row>
    <row r="1960" ht="26.25" customHeight="1">
      <c r="A1960" s="68"/>
      <c r="B1960" s="68"/>
      <c r="C1960" s="61" t="s">
        <v>129</v>
      </c>
      <c r="D1960" s="61" t="s">
        <v>130</v>
      </c>
      <c r="E1960" s="68"/>
      <c r="F1960" s="68"/>
      <c r="G1960" s="68"/>
      <c r="H1960" s="68"/>
      <c r="I1960" s="68"/>
      <c r="J1960" s="78"/>
      <c r="K1960" s="68"/>
      <c r="L1960" s="68"/>
      <c r="M1960" s="68"/>
      <c r="N1960" s="68"/>
      <c r="O1960" s="68"/>
      <c r="P1960" s="68"/>
      <c r="Q1960" s="68"/>
      <c r="R1960" s="68"/>
      <c r="S1960" s="68"/>
      <c r="T1960" s="68"/>
      <c r="U1960" s="68"/>
      <c r="V1960" s="68"/>
      <c r="W1960" s="68"/>
      <c r="X1960" s="68"/>
      <c r="Y1960" s="68"/>
      <c r="Z1960" s="68"/>
      <c r="AA1960" s="68"/>
      <c r="AB1960" s="68"/>
      <c r="AC1960" s="68"/>
      <c r="AD1960" s="68"/>
      <c r="AE1960" s="68"/>
    </row>
    <row r="1961" ht="26.25" customHeight="1">
      <c r="A1961" s="68"/>
      <c r="B1961" s="68"/>
      <c r="C1961" s="61" t="s">
        <v>129</v>
      </c>
      <c r="D1961" s="61" t="s">
        <v>130</v>
      </c>
      <c r="E1961" s="68"/>
      <c r="F1961" s="68"/>
      <c r="G1961" s="68"/>
      <c r="H1961" s="68"/>
      <c r="I1961" s="68"/>
      <c r="J1961" s="78"/>
      <c r="K1961" s="68"/>
      <c r="L1961" s="68"/>
      <c r="M1961" s="68"/>
      <c r="N1961" s="68"/>
      <c r="O1961" s="68"/>
      <c r="P1961" s="68"/>
      <c r="Q1961" s="68"/>
      <c r="R1961" s="68"/>
      <c r="S1961" s="68"/>
      <c r="T1961" s="68"/>
      <c r="U1961" s="68"/>
      <c r="V1961" s="68"/>
      <c r="W1961" s="68"/>
      <c r="X1961" s="68"/>
      <c r="Y1961" s="68"/>
      <c r="Z1961" s="68"/>
      <c r="AA1961" s="68"/>
      <c r="AB1961" s="68"/>
      <c r="AC1961" s="68"/>
      <c r="AD1961" s="68"/>
      <c r="AE1961" s="68"/>
    </row>
    <row r="1962" ht="26.25" customHeight="1">
      <c r="A1962" s="68"/>
      <c r="B1962" s="68"/>
      <c r="C1962" s="61" t="s">
        <v>129</v>
      </c>
      <c r="D1962" s="61" t="s">
        <v>130</v>
      </c>
      <c r="E1962" s="68"/>
      <c r="F1962" s="68"/>
      <c r="G1962" s="68"/>
      <c r="H1962" s="68"/>
      <c r="I1962" s="68"/>
      <c r="J1962" s="78"/>
      <c r="K1962" s="68"/>
      <c r="L1962" s="68"/>
      <c r="M1962" s="68"/>
      <c r="N1962" s="68"/>
      <c r="O1962" s="68"/>
      <c r="P1962" s="68"/>
      <c r="Q1962" s="68"/>
      <c r="R1962" s="68"/>
      <c r="S1962" s="68"/>
      <c r="T1962" s="68"/>
      <c r="U1962" s="68"/>
      <c r="V1962" s="68"/>
      <c r="W1962" s="68"/>
      <c r="X1962" s="68"/>
      <c r="Y1962" s="68"/>
      <c r="Z1962" s="68"/>
      <c r="AA1962" s="68"/>
      <c r="AB1962" s="68"/>
      <c r="AC1962" s="68"/>
      <c r="AD1962" s="68"/>
      <c r="AE1962" s="68"/>
    </row>
    <row r="1963" ht="26.25" customHeight="1">
      <c r="A1963" s="68"/>
      <c r="B1963" s="68"/>
      <c r="C1963" s="61" t="s">
        <v>129</v>
      </c>
      <c r="D1963" s="61" t="s">
        <v>130</v>
      </c>
      <c r="E1963" s="68"/>
      <c r="F1963" s="68"/>
      <c r="G1963" s="68"/>
      <c r="H1963" s="68"/>
      <c r="I1963" s="68"/>
      <c r="J1963" s="78"/>
      <c r="K1963" s="68"/>
      <c r="L1963" s="68"/>
      <c r="M1963" s="68"/>
      <c r="N1963" s="68"/>
      <c r="O1963" s="68"/>
      <c r="P1963" s="68"/>
      <c r="Q1963" s="68"/>
      <c r="R1963" s="68"/>
      <c r="S1963" s="68"/>
      <c r="T1963" s="68"/>
      <c r="U1963" s="68"/>
      <c r="V1963" s="68"/>
      <c r="W1963" s="68"/>
      <c r="X1963" s="68"/>
      <c r="Y1963" s="68"/>
      <c r="Z1963" s="68"/>
      <c r="AA1963" s="68"/>
      <c r="AB1963" s="68"/>
      <c r="AC1963" s="68"/>
      <c r="AD1963" s="68"/>
      <c r="AE1963" s="68"/>
    </row>
    <row r="1964" ht="26.25" customHeight="1">
      <c r="A1964" s="68"/>
      <c r="B1964" s="68"/>
      <c r="C1964" s="61" t="s">
        <v>129</v>
      </c>
      <c r="D1964" s="61" t="s">
        <v>130</v>
      </c>
      <c r="E1964" s="68"/>
      <c r="F1964" s="68"/>
      <c r="G1964" s="68"/>
      <c r="H1964" s="68"/>
      <c r="I1964" s="68"/>
      <c r="J1964" s="78"/>
      <c r="K1964" s="68"/>
      <c r="L1964" s="68"/>
      <c r="M1964" s="68"/>
      <c r="N1964" s="68"/>
      <c r="O1964" s="68"/>
      <c r="P1964" s="68"/>
      <c r="Q1964" s="68"/>
      <c r="R1964" s="68"/>
      <c r="S1964" s="68"/>
      <c r="T1964" s="68"/>
      <c r="U1964" s="68"/>
      <c r="V1964" s="68"/>
      <c r="W1964" s="68"/>
      <c r="X1964" s="68"/>
      <c r="Y1964" s="68"/>
      <c r="Z1964" s="68"/>
      <c r="AA1964" s="68"/>
      <c r="AB1964" s="68"/>
      <c r="AC1964" s="68"/>
      <c r="AD1964" s="68"/>
      <c r="AE1964" s="68"/>
    </row>
    <row r="1965" ht="26.25" customHeight="1">
      <c r="A1965" s="68"/>
      <c r="B1965" s="68"/>
      <c r="C1965" s="61" t="s">
        <v>129</v>
      </c>
      <c r="D1965" s="61" t="s">
        <v>130</v>
      </c>
      <c r="E1965" s="68"/>
      <c r="F1965" s="68"/>
      <c r="G1965" s="68"/>
      <c r="H1965" s="68"/>
      <c r="I1965" s="68"/>
      <c r="J1965" s="78"/>
      <c r="K1965" s="68"/>
      <c r="L1965" s="68"/>
      <c r="M1965" s="68"/>
      <c r="N1965" s="68"/>
      <c r="O1965" s="68"/>
      <c r="P1965" s="68"/>
      <c r="Q1965" s="68"/>
      <c r="R1965" s="68"/>
      <c r="S1965" s="68"/>
      <c r="T1965" s="68"/>
      <c r="U1965" s="68"/>
      <c r="V1965" s="68"/>
      <c r="W1965" s="68"/>
      <c r="X1965" s="68"/>
      <c r="Y1965" s="68"/>
      <c r="Z1965" s="68"/>
      <c r="AA1965" s="68"/>
      <c r="AB1965" s="68"/>
      <c r="AC1965" s="68"/>
      <c r="AD1965" s="68"/>
      <c r="AE1965" s="68"/>
    </row>
    <row r="1966" ht="26.25" customHeight="1">
      <c r="A1966" s="68"/>
      <c r="B1966" s="68"/>
      <c r="C1966" s="61" t="s">
        <v>129</v>
      </c>
      <c r="D1966" s="61" t="s">
        <v>130</v>
      </c>
      <c r="E1966" s="68"/>
      <c r="F1966" s="68"/>
      <c r="G1966" s="68"/>
      <c r="H1966" s="68"/>
      <c r="I1966" s="68"/>
      <c r="J1966" s="78"/>
      <c r="K1966" s="68"/>
      <c r="L1966" s="68"/>
      <c r="M1966" s="68"/>
      <c r="N1966" s="68"/>
      <c r="O1966" s="68"/>
      <c r="P1966" s="68"/>
      <c r="Q1966" s="68"/>
      <c r="R1966" s="68"/>
      <c r="S1966" s="68"/>
      <c r="T1966" s="68"/>
      <c r="U1966" s="68"/>
      <c r="V1966" s="68"/>
      <c r="W1966" s="68"/>
      <c r="X1966" s="68"/>
      <c r="Y1966" s="68"/>
      <c r="Z1966" s="68"/>
      <c r="AA1966" s="68"/>
      <c r="AB1966" s="68"/>
      <c r="AC1966" s="68"/>
      <c r="AD1966" s="68"/>
      <c r="AE1966" s="68"/>
    </row>
    <row r="1967" ht="26.25" customHeight="1">
      <c r="A1967" s="68"/>
      <c r="B1967" s="68"/>
      <c r="C1967" s="61" t="s">
        <v>129</v>
      </c>
      <c r="D1967" s="61" t="s">
        <v>130</v>
      </c>
      <c r="E1967" s="68"/>
      <c r="F1967" s="68"/>
      <c r="G1967" s="68"/>
      <c r="H1967" s="68"/>
      <c r="I1967" s="68"/>
      <c r="J1967" s="78"/>
      <c r="K1967" s="68"/>
      <c r="L1967" s="68"/>
      <c r="M1967" s="68"/>
      <c r="N1967" s="68"/>
      <c r="O1967" s="68"/>
      <c r="P1967" s="68"/>
      <c r="Q1967" s="68"/>
      <c r="R1967" s="68"/>
      <c r="S1967" s="68"/>
      <c r="T1967" s="68"/>
      <c r="U1967" s="68"/>
      <c r="V1967" s="68"/>
      <c r="W1967" s="68"/>
      <c r="X1967" s="68"/>
      <c r="Y1967" s="68"/>
      <c r="Z1967" s="68"/>
      <c r="AA1967" s="68"/>
      <c r="AB1967" s="68"/>
      <c r="AC1967" s="68"/>
      <c r="AD1967" s="68"/>
      <c r="AE1967" s="68"/>
    </row>
    <row r="1968" ht="26.25" customHeight="1">
      <c r="A1968" s="68"/>
      <c r="B1968" s="68"/>
      <c r="C1968" s="61" t="s">
        <v>129</v>
      </c>
      <c r="D1968" s="61" t="s">
        <v>130</v>
      </c>
      <c r="E1968" s="68"/>
      <c r="F1968" s="68"/>
      <c r="G1968" s="68"/>
      <c r="H1968" s="68"/>
      <c r="I1968" s="68"/>
      <c r="J1968" s="78"/>
      <c r="K1968" s="68"/>
      <c r="L1968" s="68"/>
      <c r="M1968" s="68"/>
      <c r="N1968" s="68"/>
      <c r="O1968" s="68"/>
      <c r="P1968" s="68"/>
      <c r="Q1968" s="68"/>
      <c r="R1968" s="68"/>
      <c r="S1968" s="68"/>
      <c r="T1968" s="68"/>
      <c r="U1968" s="68"/>
      <c r="V1968" s="68"/>
      <c r="W1968" s="68"/>
      <c r="X1968" s="68"/>
      <c r="Y1968" s="68"/>
      <c r="Z1968" s="68"/>
      <c r="AA1968" s="68"/>
      <c r="AB1968" s="68"/>
      <c r="AC1968" s="68"/>
      <c r="AD1968" s="68"/>
      <c r="AE1968" s="68"/>
    </row>
    <row r="1969" ht="26.25" customHeight="1">
      <c r="A1969" s="68"/>
      <c r="B1969" s="68"/>
      <c r="C1969" s="61" t="s">
        <v>129</v>
      </c>
      <c r="D1969" s="61" t="s">
        <v>130</v>
      </c>
      <c r="E1969" s="68"/>
      <c r="F1969" s="68"/>
      <c r="G1969" s="68"/>
      <c r="H1969" s="68"/>
      <c r="I1969" s="68"/>
      <c r="J1969" s="78"/>
      <c r="K1969" s="68"/>
      <c r="L1969" s="68"/>
      <c r="M1969" s="68"/>
      <c r="N1969" s="68"/>
      <c r="O1969" s="68"/>
      <c r="P1969" s="68"/>
      <c r="Q1969" s="68"/>
      <c r="R1969" s="68"/>
      <c r="S1969" s="68"/>
      <c r="T1969" s="68"/>
      <c r="U1969" s="68"/>
      <c r="V1969" s="68"/>
      <c r="W1969" s="68"/>
      <c r="X1969" s="68"/>
      <c r="Y1969" s="68"/>
      <c r="Z1969" s="68"/>
      <c r="AA1969" s="68"/>
      <c r="AB1969" s="68"/>
      <c r="AC1969" s="68"/>
      <c r="AD1969" s="68"/>
      <c r="AE1969" s="68"/>
    </row>
    <row r="1970" ht="26.25" customHeight="1">
      <c r="A1970" s="68"/>
      <c r="B1970" s="68"/>
      <c r="C1970" s="61" t="s">
        <v>129</v>
      </c>
      <c r="D1970" s="61" t="s">
        <v>130</v>
      </c>
      <c r="E1970" s="68"/>
      <c r="F1970" s="68"/>
      <c r="G1970" s="68"/>
      <c r="H1970" s="68"/>
      <c r="I1970" s="68"/>
      <c r="J1970" s="78"/>
      <c r="K1970" s="68"/>
      <c r="L1970" s="68"/>
      <c r="M1970" s="68"/>
      <c r="N1970" s="68"/>
      <c r="O1970" s="68"/>
      <c r="P1970" s="68"/>
      <c r="Q1970" s="68"/>
      <c r="R1970" s="68"/>
      <c r="S1970" s="68"/>
      <c r="T1970" s="68"/>
      <c r="U1970" s="68"/>
      <c r="V1970" s="68"/>
      <c r="W1970" s="68"/>
      <c r="X1970" s="68"/>
      <c r="Y1970" s="68"/>
      <c r="Z1970" s="68"/>
      <c r="AA1970" s="68"/>
      <c r="AB1970" s="68"/>
      <c r="AC1970" s="68"/>
      <c r="AD1970" s="68"/>
      <c r="AE1970" s="68"/>
    </row>
    <row r="1971" ht="26.25" customHeight="1">
      <c r="A1971" s="68"/>
      <c r="B1971" s="68"/>
      <c r="C1971" s="61" t="s">
        <v>129</v>
      </c>
      <c r="D1971" s="61" t="s">
        <v>130</v>
      </c>
      <c r="E1971" s="68"/>
      <c r="F1971" s="68"/>
      <c r="G1971" s="68"/>
      <c r="H1971" s="68"/>
      <c r="I1971" s="68"/>
      <c r="J1971" s="78"/>
      <c r="K1971" s="68"/>
      <c r="L1971" s="68"/>
      <c r="M1971" s="68"/>
      <c r="N1971" s="68"/>
      <c r="O1971" s="68"/>
      <c r="P1971" s="68"/>
      <c r="Q1971" s="68"/>
      <c r="R1971" s="68"/>
      <c r="S1971" s="68"/>
      <c r="T1971" s="68"/>
      <c r="U1971" s="68"/>
      <c r="V1971" s="68"/>
      <c r="W1971" s="68"/>
      <c r="X1971" s="68"/>
      <c r="Y1971" s="68"/>
      <c r="Z1971" s="68"/>
      <c r="AA1971" s="68"/>
      <c r="AB1971" s="68"/>
      <c r="AC1971" s="68"/>
      <c r="AD1971" s="68"/>
      <c r="AE1971" s="68"/>
    </row>
    <row r="1972" ht="26.25" customHeight="1">
      <c r="A1972" s="68"/>
      <c r="B1972" s="68"/>
      <c r="C1972" s="61" t="s">
        <v>129</v>
      </c>
      <c r="D1972" s="61" t="s">
        <v>130</v>
      </c>
      <c r="E1972" s="68"/>
      <c r="F1972" s="68"/>
      <c r="G1972" s="68"/>
      <c r="H1972" s="68"/>
      <c r="I1972" s="68"/>
      <c r="J1972" s="78"/>
      <c r="K1972" s="68"/>
      <c r="L1972" s="68"/>
      <c r="M1972" s="68"/>
      <c r="N1972" s="68"/>
      <c r="O1972" s="68"/>
      <c r="P1972" s="68"/>
      <c r="Q1972" s="68"/>
      <c r="R1972" s="68"/>
      <c r="S1972" s="68"/>
      <c r="T1972" s="68"/>
      <c r="U1972" s="68"/>
      <c r="V1972" s="68"/>
      <c r="W1972" s="68"/>
      <c r="X1972" s="68"/>
      <c r="Y1972" s="68"/>
      <c r="Z1972" s="68"/>
      <c r="AA1972" s="68"/>
      <c r="AB1972" s="68"/>
      <c r="AC1972" s="68"/>
      <c r="AD1972" s="68"/>
      <c r="AE1972" s="68"/>
    </row>
    <row r="1973" ht="26.25" customHeight="1">
      <c r="A1973" s="68"/>
      <c r="B1973" s="68"/>
      <c r="C1973" s="61" t="s">
        <v>129</v>
      </c>
      <c r="D1973" s="61" t="s">
        <v>130</v>
      </c>
      <c r="E1973" s="68"/>
      <c r="F1973" s="68"/>
      <c r="G1973" s="68"/>
      <c r="H1973" s="68"/>
      <c r="I1973" s="68"/>
      <c r="J1973" s="78"/>
      <c r="K1973" s="68"/>
      <c r="L1973" s="68"/>
      <c r="M1973" s="68"/>
      <c r="N1973" s="68"/>
      <c r="O1973" s="68"/>
      <c r="P1973" s="68"/>
      <c r="Q1973" s="68"/>
      <c r="R1973" s="68"/>
      <c r="S1973" s="68"/>
      <c r="T1973" s="68"/>
      <c r="U1973" s="68"/>
      <c r="V1973" s="68"/>
      <c r="W1973" s="68"/>
      <c r="X1973" s="68"/>
      <c r="Y1973" s="68"/>
      <c r="Z1973" s="68"/>
      <c r="AA1973" s="68"/>
      <c r="AB1973" s="68"/>
      <c r="AC1973" s="68"/>
      <c r="AD1973" s="68"/>
      <c r="AE1973" s="68"/>
    </row>
    <row r="1974" ht="26.25" customHeight="1">
      <c r="A1974" s="68"/>
      <c r="B1974" s="68"/>
      <c r="C1974" s="61" t="s">
        <v>129</v>
      </c>
      <c r="D1974" s="61" t="s">
        <v>130</v>
      </c>
      <c r="E1974" s="68"/>
      <c r="F1974" s="68"/>
      <c r="G1974" s="68"/>
      <c r="H1974" s="68"/>
      <c r="I1974" s="68"/>
      <c r="J1974" s="78"/>
      <c r="K1974" s="68"/>
      <c r="L1974" s="68"/>
      <c r="M1974" s="68"/>
      <c r="N1974" s="68"/>
      <c r="O1974" s="68"/>
      <c r="P1974" s="68"/>
      <c r="Q1974" s="68"/>
      <c r="R1974" s="68"/>
      <c r="S1974" s="68"/>
      <c r="T1974" s="68"/>
      <c r="U1974" s="68"/>
      <c r="V1974" s="68"/>
      <c r="W1974" s="68"/>
      <c r="X1974" s="68"/>
      <c r="Y1974" s="68"/>
      <c r="Z1974" s="68"/>
      <c r="AA1974" s="68"/>
      <c r="AB1974" s="68"/>
      <c r="AC1974" s="68"/>
      <c r="AD1974" s="68"/>
      <c r="AE1974" s="68"/>
    </row>
    <row r="1975" ht="26.25" customHeight="1">
      <c r="A1975" s="68"/>
      <c r="B1975" s="68"/>
      <c r="C1975" s="61" t="s">
        <v>129</v>
      </c>
      <c r="D1975" s="61" t="s">
        <v>130</v>
      </c>
      <c r="E1975" s="68"/>
      <c r="F1975" s="68"/>
      <c r="G1975" s="68"/>
      <c r="H1975" s="68"/>
      <c r="I1975" s="68"/>
      <c r="J1975" s="78"/>
      <c r="K1975" s="68"/>
      <c r="L1975" s="68"/>
      <c r="M1975" s="68"/>
      <c r="N1975" s="68"/>
      <c r="O1975" s="68"/>
      <c r="P1975" s="68"/>
      <c r="Q1975" s="68"/>
      <c r="R1975" s="68"/>
      <c r="S1975" s="68"/>
      <c r="T1975" s="68"/>
      <c r="U1975" s="68"/>
      <c r="V1975" s="68"/>
      <c r="W1975" s="68"/>
      <c r="X1975" s="68"/>
      <c r="Y1975" s="68"/>
      <c r="Z1975" s="68"/>
      <c r="AA1975" s="68"/>
      <c r="AB1975" s="68"/>
      <c r="AC1975" s="68"/>
      <c r="AD1975" s="68"/>
      <c r="AE1975" s="68"/>
    </row>
    <row r="1976" ht="26.25" customHeight="1">
      <c r="A1976" s="68"/>
      <c r="B1976" s="68"/>
      <c r="C1976" s="61" t="s">
        <v>129</v>
      </c>
      <c r="D1976" s="61" t="s">
        <v>130</v>
      </c>
      <c r="E1976" s="68"/>
      <c r="F1976" s="68"/>
      <c r="G1976" s="68"/>
      <c r="H1976" s="68"/>
      <c r="I1976" s="68"/>
      <c r="J1976" s="78"/>
      <c r="K1976" s="68"/>
      <c r="L1976" s="68"/>
      <c r="M1976" s="68"/>
      <c r="N1976" s="68"/>
      <c r="O1976" s="68"/>
      <c r="P1976" s="68"/>
      <c r="Q1976" s="68"/>
      <c r="R1976" s="68"/>
      <c r="S1976" s="68"/>
      <c r="T1976" s="68"/>
      <c r="U1976" s="68"/>
      <c r="V1976" s="68"/>
      <c r="W1976" s="68"/>
      <c r="X1976" s="68"/>
      <c r="Y1976" s="68"/>
      <c r="Z1976" s="68"/>
      <c r="AA1976" s="68"/>
      <c r="AB1976" s="68"/>
      <c r="AC1976" s="68"/>
      <c r="AD1976" s="68"/>
      <c r="AE1976" s="68"/>
    </row>
    <row r="1977" ht="26.25" customHeight="1">
      <c r="A1977" s="68"/>
      <c r="B1977" s="68"/>
      <c r="C1977" s="61" t="s">
        <v>129</v>
      </c>
      <c r="D1977" s="61" t="s">
        <v>130</v>
      </c>
      <c r="E1977" s="68"/>
      <c r="F1977" s="68"/>
      <c r="G1977" s="68"/>
      <c r="H1977" s="68"/>
      <c r="I1977" s="68"/>
      <c r="J1977" s="78"/>
      <c r="K1977" s="68"/>
      <c r="L1977" s="68"/>
      <c r="M1977" s="68"/>
      <c r="N1977" s="68"/>
      <c r="O1977" s="68"/>
      <c r="P1977" s="68"/>
      <c r="Q1977" s="68"/>
      <c r="R1977" s="68"/>
      <c r="S1977" s="68"/>
      <c r="T1977" s="68"/>
      <c r="U1977" s="68"/>
      <c r="V1977" s="68"/>
      <c r="W1977" s="68"/>
      <c r="X1977" s="68"/>
      <c r="Y1977" s="68"/>
      <c r="Z1977" s="68"/>
      <c r="AA1977" s="68"/>
      <c r="AB1977" s="68"/>
      <c r="AC1977" s="68"/>
      <c r="AD1977" s="68"/>
      <c r="AE1977" s="68"/>
    </row>
    <row r="1978" ht="26.25" customHeight="1">
      <c r="A1978" s="68"/>
      <c r="B1978" s="68"/>
      <c r="C1978" s="61" t="s">
        <v>129</v>
      </c>
      <c r="D1978" s="61" t="s">
        <v>130</v>
      </c>
      <c r="E1978" s="68"/>
      <c r="F1978" s="68"/>
      <c r="G1978" s="68"/>
      <c r="H1978" s="68"/>
      <c r="I1978" s="68"/>
      <c r="J1978" s="78"/>
      <c r="K1978" s="68"/>
      <c r="L1978" s="68"/>
      <c r="M1978" s="68"/>
      <c r="N1978" s="68"/>
      <c r="O1978" s="68"/>
      <c r="P1978" s="68"/>
      <c r="Q1978" s="68"/>
      <c r="R1978" s="68"/>
      <c r="S1978" s="68"/>
      <c r="T1978" s="68"/>
      <c r="U1978" s="68"/>
      <c r="V1978" s="68"/>
      <c r="W1978" s="68"/>
      <c r="X1978" s="68"/>
      <c r="Y1978" s="68"/>
      <c r="Z1978" s="68"/>
      <c r="AA1978" s="68"/>
      <c r="AB1978" s="68"/>
      <c r="AC1978" s="68"/>
      <c r="AD1978" s="68"/>
      <c r="AE1978" s="68"/>
    </row>
    <row r="1979" ht="26.25" customHeight="1">
      <c r="A1979" s="68"/>
      <c r="B1979" s="68"/>
      <c r="C1979" s="61" t="s">
        <v>129</v>
      </c>
      <c r="D1979" s="61" t="s">
        <v>130</v>
      </c>
      <c r="E1979" s="68"/>
      <c r="F1979" s="68"/>
      <c r="G1979" s="68"/>
      <c r="H1979" s="68"/>
      <c r="I1979" s="68"/>
      <c r="J1979" s="78"/>
      <c r="K1979" s="68"/>
      <c r="L1979" s="68"/>
      <c r="M1979" s="68"/>
      <c r="N1979" s="68"/>
      <c r="O1979" s="68"/>
      <c r="P1979" s="68"/>
      <c r="Q1979" s="68"/>
      <c r="R1979" s="68"/>
      <c r="S1979" s="68"/>
      <c r="T1979" s="68"/>
      <c r="U1979" s="68"/>
      <c r="V1979" s="68"/>
      <c r="W1979" s="68"/>
      <c r="X1979" s="68"/>
      <c r="Y1979" s="68"/>
      <c r="Z1979" s="68"/>
      <c r="AA1979" s="68"/>
      <c r="AB1979" s="68"/>
      <c r="AC1979" s="68"/>
      <c r="AD1979" s="68"/>
      <c r="AE1979" s="68"/>
    </row>
    <row r="1980" ht="26.25" customHeight="1">
      <c r="A1980" s="68"/>
      <c r="B1980" s="68"/>
      <c r="C1980" s="61" t="s">
        <v>129</v>
      </c>
      <c r="D1980" s="61" t="s">
        <v>130</v>
      </c>
      <c r="E1980" s="68"/>
      <c r="F1980" s="68"/>
      <c r="G1980" s="68"/>
      <c r="H1980" s="68"/>
      <c r="I1980" s="68"/>
      <c r="J1980" s="78"/>
      <c r="K1980" s="68"/>
      <c r="L1980" s="68"/>
      <c r="M1980" s="68"/>
      <c r="N1980" s="68"/>
      <c r="O1980" s="68"/>
      <c r="P1980" s="68"/>
      <c r="Q1980" s="68"/>
      <c r="R1980" s="68"/>
      <c r="S1980" s="68"/>
      <c r="T1980" s="68"/>
      <c r="U1980" s="68"/>
      <c r="V1980" s="68"/>
      <c r="W1980" s="68"/>
      <c r="X1980" s="68"/>
      <c r="Y1980" s="68"/>
      <c r="Z1980" s="68"/>
      <c r="AA1980" s="68"/>
      <c r="AB1980" s="68"/>
      <c r="AC1980" s="68"/>
      <c r="AD1980" s="68"/>
      <c r="AE1980" s="68"/>
    </row>
    <row r="1981" ht="26.25" customHeight="1">
      <c r="A1981" s="68"/>
      <c r="B1981" s="68"/>
      <c r="C1981" s="61" t="s">
        <v>129</v>
      </c>
      <c r="D1981" s="61" t="s">
        <v>130</v>
      </c>
      <c r="E1981" s="68"/>
      <c r="F1981" s="68"/>
      <c r="G1981" s="68"/>
      <c r="H1981" s="68"/>
      <c r="I1981" s="68"/>
      <c r="J1981" s="78"/>
      <c r="K1981" s="68"/>
      <c r="L1981" s="68"/>
      <c r="M1981" s="68"/>
      <c r="N1981" s="68"/>
      <c r="O1981" s="68"/>
      <c r="P1981" s="68"/>
      <c r="Q1981" s="68"/>
      <c r="R1981" s="68"/>
      <c r="S1981" s="68"/>
      <c r="T1981" s="68"/>
      <c r="U1981" s="68"/>
      <c r="V1981" s="68"/>
      <c r="W1981" s="68"/>
      <c r="X1981" s="68"/>
      <c r="Y1981" s="68"/>
      <c r="Z1981" s="68"/>
      <c r="AA1981" s="68"/>
      <c r="AB1981" s="68"/>
      <c r="AC1981" s="68"/>
      <c r="AD1981" s="68"/>
      <c r="AE1981" s="68"/>
    </row>
    <row r="1982" ht="26.25" customHeight="1">
      <c r="A1982" s="68"/>
      <c r="B1982" s="68"/>
      <c r="C1982" s="61" t="s">
        <v>129</v>
      </c>
      <c r="D1982" s="61" t="s">
        <v>130</v>
      </c>
      <c r="E1982" s="68"/>
      <c r="F1982" s="68"/>
      <c r="G1982" s="68"/>
      <c r="H1982" s="68"/>
      <c r="I1982" s="68"/>
      <c r="J1982" s="78"/>
      <c r="K1982" s="68"/>
      <c r="L1982" s="68"/>
      <c r="M1982" s="68"/>
      <c r="N1982" s="68"/>
      <c r="O1982" s="68"/>
      <c r="P1982" s="68"/>
      <c r="Q1982" s="68"/>
      <c r="R1982" s="68"/>
      <c r="S1982" s="68"/>
      <c r="T1982" s="68"/>
      <c r="U1982" s="68"/>
      <c r="V1982" s="68"/>
      <c r="W1982" s="68"/>
      <c r="X1982" s="68"/>
      <c r="Y1982" s="68"/>
      <c r="Z1982" s="68"/>
      <c r="AA1982" s="68"/>
      <c r="AB1982" s="68"/>
      <c r="AC1982" s="68"/>
      <c r="AD1982" s="68"/>
      <c r="AE1982" s="68"/>
    </row>
    <row r="1983" ht="26.25" customHeight="1">
      <c r="A1983" s="68"/>
      <c r="B1983" s="68"/>
      <c r="C1983" s="61" t="s">
        <v>129</v>
      </c>
      <c r="D1983" s="61" t="s">
        <v>130</v>
      </c>
      <c r="E1983" s="68"/>
      <c r="F1983" s="68"/>
      <c r="G1983" s="68"/>
      <c r="H1983" s="68"/>
      <c r="I1983" s="68"/>
      <c r="J1983" s="78"/>
      <c r="K1983" s="68"/>
      <c r="L1983" s="68"/>
      <c r="M1983" s="68"/>
      <c r="N1983" s="68"/>
      <c r="O1983" s="68"/>
      <c r="P1983" s="68"/>
      <c r="Q1983" s="68"/>
      <c r="R1983" s="68"/>
      <c r="S1983" s="68"/>
      <c r="T1983" s="68"/>
      <c r="U1983" s="68"/>
      <c r="V1983" s="68"/>
      <c r="W1983" s="68"/>
      <c r="X1983" s="68"/>
      <c r="Y1983" s="68"/>
      <c r="Z1983" s="68"/>
      <c r="AA1983" s="68"/>
      <c r="AB1983" s="68"/>
      <c r="AC1983" s="68"/>
      <c r="AD1983" s="68"/>
      <c r="AE1983" s="68"/>
    </row>
    <row r="1984" ht="26.25" customHeight="1">
      <c r="A1984" s="68"/>
      <c r="B1984" s="68"/>
      <c r="C1984" s="61" t="s">
        <v>129</v>
      </c>
      <c r="D1984" s="61" t="s">
        <v>130</v>
      </c>
      <c r="E1984" s="68"/>
      <c r="F1984" s="68"/>
      <c r="G1984" s="68"/>
      <c r="H1984" s="68"/>
      <c r="I1984" s="68"/>
      <c r="J1984" s="78"/>
      <c r="K1984" s="68"/>
      <c r="L1984" s="68"/>
      <c r="M1984" s="68"/>
      <c r="N1984" s="68"/>
      <c r="O1984" s="68"/>
      <c r="P1984" s="68"/>
      <c r="Q1984" s="68"/>
      <c r="R1984" s="68"/>
      <c r="S1984" s="68"/>
      <c r="T1984" s="68"/>
      <c r="U1984" s="68"/>
      <c r="V1984" s="68"/>
      <c r="W1984" s="68"/>
      <c r="X1984" s="68"/>
      <c r="Y1984" s="68"/>
      <c r="Z1984" s="68"/>
      <c r="AA1984" s="68"/>
      <c r="AB1984" s="68"/>
      <c r="AC1984" s="68"/>
      <c r="AD1984" s="68"/>
      <c r="AE1984" s="68"/>
    </row>
    <row r="1985" ht="26.25" customHeight="1">
      <c r="A1985" s="68"/>
      <c r="B1985" s="68"/>
      <c r="C1985" s="61" t="s">
        <v>129</v>
      </c>
      <c r="D1985" s="61" t="s">
        <v>130</v>
      </c>
      <c r="E1985" s="68"/>
      <c r="F1985" s="68"/>
      <c r="G1985" s="68"/>
      <c r="H1985" s="68"/>
      <c r="I1985" s="68"/>
      <c r="J1985" s="78"/>
      <c r="K1985" s="68"/>
      <c r="L1985" s="68"/>
      <c r="M1985" s="68"/>
      <c r="N1985" s="68"/>
      <c r="O1985" s="68"/>
      <c r="P1985" s="68"/>
      <c r="Q1985" s="68"/>
      <c r="R1985" s="68"/>
      <c r="S1985" s="68"/>
      <c r="T1985" s="68"/>
      <c r="U1985" s="68"/>
      <c r="V1985" s="68"/>
      <c r="W1985" s="68"/>
      <c r="X1985" s="68"/>
      <c r="Y1985" s="68"/>
      <c r="Z1985" s="68"/>
      <c r="AA1985" s="68"/>
      <c r="AB1985" s="68"/>
      <c r="AC1985" s="68"/>
      <c r="AD1985" s="68"/>
      <c r="AE1985" s="68"/>
    </row>
    <row r="1986" ht="26.25" customHeight="1">
      <c r="A1986" s="68"/>
      <c r="B1986" s="68"/>
      <c r="C1986" s="61" t="s">
        <v>129</v>
      </c>
      <c r="D1986" s="61" t="s">
        <v>130</v>
      </c>
      <c r="E1986" s="68"/>
      <c r="F1986" s="68"/>
      <c r="G1986" s="68"/>
      <c r="H1986" s="68"/>
      <c r="I1986" s="68"/>
      <c r="J1986" s="78"/>
      <c r="K1986" s="68"/>
      <c r="L1986" s="68"/>
      <c r="M1986" s="68"/>
      <c r="N1986" s="68"/>
      <c r="O1986" s="68"/>
      <c r="P1986" s="68"/>
      <c r="Q1986" s="68"/>
      <c r="R1986" s="68"/>
      <c r="S1986" s="68"/>
      <c r="T1986" s="68"/>
      <c r="U1986" s="68"/>
      <c r="V1986" s="68"/>
      <c r="W1986" s="68"/>
      <c r="X1986" s="68"/>
      <c r="Y1986" s="68"/>
      <c r="Z1986" s="68"/>
      <c r="AA1986" s="68"/>
      <c r="AB1986" s="68"/>
      <c r="AC1986" s="68"/>
      <c r="AD1986" s="68"/>
      <c r="AE1986" s="68"/>
    </row>
    <row r="1987" ht="26.25" customHeight="1">
      <c r="A1987" s="68"/>
      <c r="B1987" s="68"/>
      <c r="C1987" s="61" t="s">
        <v>129</v>
      </c>
      <c r="D1987" s="61" t="s">
        <v>130</v>
      </c>
      <c r="E1987" s="68"/>
      <c r="F1987" s="68"/>
      <c r="G1987" s="68"/>
      <c r="H1987" s="68"/>
      <c r="I1987" s="68"/>
      <c r="J1987" s="78"/>
      <c r="K1987" s="68"/>
      <c r="L1987" s="68"/>
      <c r="M1987" s="68"/>
      <c r="N1987" s="68"/>
      <c r="O1987" s="68"/>
      <c r="P1987" s="68"/>
      <c r="Q1987" s="68"/>
      <c r="R1987" s="68"/>
      <c r="S1987" s="68"/>
      <c r="T1987" s="68"/>
      <c r="U1987" s="68"/>
      <c r="V1987" s="68"/>
      <c r="W1987" s="68"/>
      <c r="X1987" s="68"/>
      <c r="Y1987" s="68"/>
      <c r="Z1987" s="68"/>
      <c r="AA1987" s="68"/>
      <c r="AB1987" s="68"/>
      <c r="AC1987" s="68"/>
      <c r="AD1987" s="68"/>
      <c r="AE1987" s="68"/>
    </row>
    <row r="1988" ht="26.25" customHeight="1">
      <c r="A1988" s="68"/>
      <c r="B1988" s="68"/>
      <c r="C1988" s="61" t="s">
        <v>129</v>
      </c>
      <c r="D1988" s="61" t="s">
        <v>130</v>
      </c>
      <c r="E1988" s="68"/>
      <c r="F1988" s="68"/>
      <c r="G1988" s="68"/>
      <c r="H1988" s="68"/>
      <c r="I1988" s="68"/>
      <c r="J1988" s="78"/>
      <c r="K1988" s="68"/>
      <c r="L1988" s="68"/>
      <c r="M1988" s="68"/>
      <c r="N1988" s="68"/>
      <c r="O1988" s="68"/>
      <c r="P1988" s="68"/>
      <c r="Q1988" s="68"/>
      <c r="R1988" s="68"/>
      <c r="S1988" s="68"/>
      <c r="T1988" s="68"/>
      <c r="U1988" s="68"/>
      <c r="V1988" s="68"/>
      <c r="W1988" s="68"/>
      <c r="X1988" s="68"/>
      <c r="Y1988" s="68"/>
      <c r="Z1988" s="68"/>
      <c r="AA1988" s="68"/>
      <c r="AB1988" s="68"/>
      <c r="AC1988" s="68"/>
      <c r="AD1988" s="68"/>
      <c r="AE1988" s="68"/>
    </row>
    <row r="1989" ht="26.25" customHeight="1">
      <c r="A1989" s="68"/>
      <c r="B1989" s="68"/>
      <c r="C1989" s="61" t="s">
        <v>129</v>
      </c>
      <c r="D1989" s="61" t="s">
        <v>130</v>
      </c>
      <c r="E1989" s="68"/>
      <c r="F1989" s="68"/>
      <c r="G1989" s="68"/>
      <c r="H1989" s="68"/>
      <c r="I1989" s="68"/>
      <c r="J1989" s="78"/>
      <c r="K1989" s="68"/>
      <c r="L1989" s="68"/>
      <c r="M1989" s="68"/>
      <c r="N1989" s="68"/>
      <c r="O1989" s="68"/>
      <c r="P1989" s="68"/>
      <c r="Q1989" s="68"/>
      <c r="R1989" s="68"/>
      <c r="S1989" s="68"/>
      <c r="T1989" s="68"/>
      <c r="U1989" s="68"/>
      <c r="V1989" s="68"/>
      <c r="W1989" s="68"/>
      <c r="X1989" s="68"/>
      <c r="Y1989" s="68"/>
      <c r="Z1989" s="68"/>
      <c r="AA1989" s="68"/>
      <c r="AB1989" s="68"/>
      <c r="AC1989" s="68"/>
      <c r="AD1989" s="68"/>
      <c r="AE1989" s="68"/>
    </row>
    <row r="1990" ht="26.25" customHeight="1">
      <c r="A1990" s="68"/>
      <c r="B1990" s="68"/>
      <c r="C1990" s="61" t="s">
        <v>129</v>
      </c>
      <c r="D1990" s="61" t="s">
        <v>130</v>
      </c>
      <c r="E1990" s="68"/>
      <c r="F1990" s="68"/>
      <c r="G1990" s="68"/>
      <c r="H1990" s="68"/>
      <c r="I1990" s="68"/>
      <c r="J1990" s="78"/>
      <c r="K1990" s="68"/>
      <c r="L1990" s="68"/>
      <c r="M1990" s="68"/>
      <c r="N1990" s="68"/>
      <c r="O1990" s="68"/>
      <c r="P1990" s="68"/>
      <c r="Q1990" s="68"/>
      <c r="R1990" s="68"/>
      <c r="S1990" s="68"/>
      <c r="T1990" s="68"/>
      <c r="U1990" s="68"/>
      <c r="V1990" s="68"/>
      <c r="W1990" s="68"/>
      <c r="X1990" s="68"/>
      <c r="Y1990" s="68"/>
      <c r="Z1990" s="68"/>
      <c r="AA1990" s="68"/>
      <c r="AB1990" s="68"/>
      <c r="AC1990" s="68"/>
      <c r="AD1990" s="68"/>
      <c r="AE1990" s="68"/>
    </row>
    <row r="1991" ht="26.25" customHeight="1">
      <c r="A1991" s="68"/>
      <c r="B1991" s="68"/>
      <c r="C1991" s="61" t="s">
        <v>129</v>
      </c>
      <c r="D1991" s="61" t="s">
        <v>130</v>
      </c>
      <c r="E1991" s="68"/>
      <c r="F1991" s="68"/>
      <c r="G1991" s="68"/>
      <c r="H1991" s="68"/>
      <c r="I1991" s="68"/>
      <c r="J1991" s="78"/>
      <c r="K1991" s="68"/>
      <c r="L1991" s="68"/>
      <c r="M1991" s="68"/>
      <c r="N1991" s="68"/>
      <c r="O1991" s="68"/>
      <c r="P1991" s="68"/>
      <c r="Q1991" s="68"/>
      <c r="R1991" s="68"/>
      <c r="S1991" s="68"/>
      <c r="T1991" s="68"/>
      <c r="U1991" s="68"/>
      <c r="V1991" s="68"/>
      <c r="W1991" s="68"/>
      <c r="X1991" s="68"/>
      <c r="Y1991" s="68"/>
      <c r="Z1991" s="68"/>
      <c r="AA1991" s="68"/>
      <c r="AB1991" s="68"/>
      <c r="AC1991" s="68"/>
      <c r="AD1991" s="68"/>
      <c r="AE1991" s="68"/>
    </row>
    <row r="1992" ht="26.25" customHeight="1">
      <c r="A1992" s="68"/>
      <c r="B1992" s="68"/>
      <c r="C1992" s="61" t="s">
        <v>129</v>
      </c>
      <c r="D1992" s="61" t="s">
        <v>130</v>
      </c>
      <c r="E1992" s="68"/>
      <c r="F1992" s="68"/>
      <c r="G1992" s="68"/>
      <c r="H1992" s="68"/>
      <c r="I1992" s="68"/>
      <c r="J1992" s="78"/>
      <c r="K1992" s="68"/>
      <c r="L1992" s="68"/>
      <c r="M1992" s="68"/>
      <c r="N1992" s="68"/>
      <c r="O1992" s="68"/>
      <c r="P1992" s="68"/>
      <c r="Q1992" s="68"/>
      <c r="R1992" s="68"/>
      <c r="S1992" s="68"/>
      <c r="T1992" s="68"/>
      <c r="U1992" s="68"/>
      <c r="V1992" s="68"/>
      <c r="W1992" s="68"/>
      <c r="X1992" s="68"/>
      <c r="Y1992" s="68"/>
      <c r="Z1992" s="68"/>
      <c r="AA1992" s="68"/>
      <c r="AB1992" s="68"/>
      <c r="AC1992" s="68"/>
      <c r="AD1992" s="68"/>
      <c r="AE1992" s="68"/>
    </row>
    <row r="1993" ht="26.25" customHeight="1">
      <c r="A1993" s="68"/>
      <c r="B1993" s="68"/>
      <c r="C1993" s="61" t="s">
        <v>129</v>
      </c>
      <c r="D1993" s="61" t="s">
        <v>130</v>
      </c>
      <c r="E1993" s="68"/>
      <c r="F1993" s="68"/>
      <c r="G1993" s="68"/>
      <c r="H1993" s="68"/>
      <c r="I1993" s="68"/>
      <c r="J1993" s="78"/>
      <c r="K1993" s="68"/>
      <c r="L1993" s="68"/>
      <c r="M1993" s="68"/>
      <c r="N1993" s="68"/>
      <c r="O1993" s="68"/>
      <c r="P1993" s="68"/>
      <c r="Q1993" s="68"/>
      <c r="R1993" s="68"/>
      <c r="S1993" s="68"/>
      <c r="T1993" s="68"/>
      <c r="U1993" s="68"/>
      <c r="V1993" s="68"/>
      <c r="W1993" s="68"/>
      <c r="X1993" s="68"/>
      <c r="Y1993" s="68"/>
      <c r="Z1993" s="68"/>
      <c r="AA1993" s="68"/>
      <c r="AB1993" s="68"/>
      <c r="AC1993" s="68"/>
      <c r="AD1993" s="68"/>
      <c r="AE1993" s="68"/>
    </row>
    <row r="1994" ht="26.25" customHeight="1">
      <c r="A1994" s="68"/>
      <c r="B1994" s="68"/>
      <c r="C1994" s="61" t="s">
        <v>129</v>
      </c>
      <c r="D1994" s="61" t="s">
        <v>130</v>
      </c>
      <c r="E1994" s="68"/>
      <c r="F1994" s="68"/>
      <c r="G1994" s="68"/>
      <c r="H1994" s="68"/>
      <c r="I1994" s="68"/>
      <c r="J1994" s="78"/>
      <c r="K1994" s="68"/>
      <c r="L1994" s="68"/>
      <c r="M1994" s="68"/>
      <c r="N1994" s="68"/>
      <c r="O1994" s="68"/>
      <c r="P1994" s="68"/>
      <c r="Q1994" s="68"/>
      <c r="R1994" s="68"/>
      <c r="S1994" s="68"/>
      <c r="T1994" s="68"/>
      <c r="U1994" s="68"/>
      <c r="V1994" s="68"/>
      <c r="W1994" s="68"/>
      <c r="X1994" s="68"/>
      <c r="Y1994" s="68"/>
      <c r="Z1994" s="68"/>
      <c r="AA1994" s="68"/>
      <c r="AB1994" s="68"/>
      <c r="AC1994" s="68"/>
      <c r="AD1994" s="68"/>
      <c r="AE1994" s="68"/>
    </row>
    <row r="1995" ht="26.25" customHeight="1">
      <c r="A1995" s="68"/>
      <c r="B1995" s="68"/>
      <c r="C1995" s="61" t="s">
        <v>129</v>
      </c>
      <c r="D1995" s="61" t="s">
        <v>130</v>
      </c>
      <c r="E1995" s="68"/>
      <c r="F1995" s="68"/>
      <c r="G1995" s="68"/>
      <c r="H1995" s="68"/>
      <c r="I1995" s="68"/>
      <c r="J1995" s="78"/>
      <c r="K1995" s="68"/>
      <c r="L1995" s="68"/>
      <c r="M1995" s="68"/>
      <c r="N1995" s="68"/>
      <c r="O1995" s="68"/>
      <c r="P1995" s="68"/>
      <c r="Q1995" s="68"/>
      <c r="R1995" s="68"/>
      <c r="S1995" s="68"/>
      <c r="T1995" s="68"/>
      <c r="U1995" s="68"/>
      <c r="V1995" s="68"/>
      <c r="W1995" s="68"/>
      <c r="X1995" s="68"/>
      <c r="Y1995" s="68"/>
      <c r="Z1995" s="68"/>
      <c r="AA1995" s="68"/>
      <c r="AB1995" s="68"/>
      <c r="AC1995" s="68"/>
      <c r="AD1995" s="68"/>
      <c r="AE1995" s="68"/>
    </row>
    <row r="1996" ht="26.25" customHeight="1">
      <c r="A1996" s="68"/>
      <c r="B1996" s="68"/>
      <c r="C1996" s="61" t="s">
        <v>129</v>
      </c>
      <c r="D1996" s="61" t="s">
        <v>130</v>
      </c>
      <c r="E1996" s="68"/>
      <c r="F1996" s="68"/>
      <c r="G1996" s="68"/>
      <c r="H1996" s="68"/>
      <c r="I1996" s="68"/>
      <c r="J1996" s="78"/>
      <c r="K1996" s="68"/>
      <c r="L1996" s="68"/>
      <c r="M1996" s="68"/>
      <c r="N1996" s="68"/>
      <c r="O1996" s="68"/>
      <c r="P1996" s="68"/>
      <c r="Q1996" s="68"/>
      <c r="R1996" s="68"/>
      <c r="S1996" s="68"/>
      <c r="T1996" s="68"/>
      <c r="U1996" s="68"/>
      <c r="V1996" s="68"/>
      <c r="W1996" s="68"/>
      <c r="X1996" s="68"/>
      <c r="Y1996" s="68"/>
      <c r="Z1996" s="68"/>
      <c r="AA1996" s="68"/>
      <c r="AB1996" s="68"/>
      <c r="AC1996" s="68"/>
      <c r="AD1996" s="68"/>
      <c r="AE1996" s="68"/>
    </row>
    <row r="1997" ht="26.25" customHeight="1">
      <c r="A1997" s="68"/>
      <c r="B1997" s="68"/>
      <c r="C1997" s="61" t="s">
        <v>129</v>
      </c>
      <c r="D1997" s="61" t="s">
        <v>130</v>
      </c>
      <c r="E1997" s="68"/>
      <c r="F1997" s="68"/>
      <c r="G1997" s="68"/>
      <c r="H1997" s="68"/>
      <c r="I1997" s="68"/>
      <c r="J1997" s="78"/>
      <c r="K1997" s="68"/>
      <c r="L1997" s="68"/>
      <c r="M1997" s="68"/>
      <c r="N1997" s="68"/>
      <c r="O1997" s="68"/>
      <c r="P1997" s="68"/>
      <c r="Q1997" s="68"/>
      <c r="R1997" s="68"/>
      <c r="S1997" s="68"/>
      <c r="T1997" s="68"/>
      <c r="U1997" s="68"/>
      <c r="V1997" s="68"/>
      <c r="W1997" s="68"/>
      <c r="X1997" s="68"/>
      <c r="Y1997" s="68"/>
      <c r="Z1997" s="68"/>
      <c r="AA1997" s="68"/>
      <c r="AB1997" s="68"/>
      <c r="AC1997" s="68"/>
      <c r="AD1997" s="68"/>
      <c r="AE1997" s="68"/>
    </row>
    <row r="1998" ht="26.25" customHeight="1">
      <c r="A1998" s="68"/>
      <c r="B1998" s="68"/>
      <c r="C1998" s="61" t="s">
        <v>129</v>
      </c>
      <c r="D1998" s="61" t="s">
        <v>130</v>
      </c>
      <c r="E1998" s="68"/>
      <c r="F1998" s="68"/>
      <c r="G1998" s="68"/>
      <c r="H1998" s="68"/>
      <c r="I1998" s="68"/>
      <c r="J1998" s="78"/>
      <c r="K1998" s="68"/>
      <c r="L1998" s="68"/>
      <c r="M1998" s="68"/>
      <c r="N1998" s="68"/>
      <c r="O1998" s="68"/>
      <c r="P1998" s="68"/>
      <c r="Q1998" s="68"/>
      <c r="R1998" s="68"/>
      <c r="S1998" s="68"/>
      <c r="T1998" s="68"/>
      <c r="U1998" s="68"/>
      <c r="V1998" s="68"/>
      <c r="W1998" s="68"/>
      <c r="X1998" s="68"/>
      <c r="Y1998" s="68"/>
      <c r="Z1998" s="68"/>
      <c r="AA1998" s="68"/>
      <c r="AB1998" s="68"/>
      <c r="AC1998" s="68"/>
      <c r="AD1998" s="68"/>
      <c r="AE1998" s="68"/>
    </row>
    <row r="1999" ht="26.25" customHeight="1">
      <c r="A1999" s="68"/>
      <c r="B1999" s="68"/>
      <c r="C1999" s="61" t="s">
        <v>129</v>
      </c>
      <c r="D1999" s="61" t="s">
        <v>130</v>
      </c>
      <c r="E1999" s="68"/>
      <c r="F1999" s="68"/>
      <c r="G1999" s="68"/>
      <c r="H1999" s="68"/>
      <c r="I1999" s="68"/>
      <c r="J1999" s="78"/>
      <c r="K1999" s="68"/>
      <c r="L1999" s="68"/>
      <c r="M1999" s="68"/>
      <c r="N1999" s="68"/>
      <c r="O1999" s="68"/>
      <c r="P1999" s="68"/>
      <c r="Q1999" s="68"/>
      <c r="R1999" s="68"/>
      <c r="S1999" s="68"/>
      <c r="T1999" s="68"/>
      <c r="U1999" s="68"/>
      <c r="V1999" s="68"/>
      <c r="W1999" s="68"/>
      <c r="X1999" s="68"/>
      <c r="Y1999" s="68"/>
      <c r="Z1999" s="68"/>
      <c r="AA1999" s="68"/>
      <c r="AB1999" s="68"/>
      <c r="AC1999" s="68"/>
      <c r="AD1999" s="68"/>
      <c r="AE1999" s="68"/>
    </row>
  </sheetData>
  <dataValidations>
    <dataValidation type="list" allowBlank="1" showErrorMessage="1" sqref="C2:C1999">
      <formula1>"Defina o setor...,DIREÇÃO GERAL,OPERAÇÕES,INSTITUCIONAL,PEDAGÓGICO"</formula1>
    </dataValidation>
    <dataValidation type="list" allowBlank="1" showErrorMessage="1" sqref="D2:D1999">
      <formula1>"Defina o motivo...,AULÃO,FORMAÇÃO,RELACIONAMENTO INSTITUCIONAL,PROSPECÇÃO,APRESENTAÇÕES,VISITA TÉCNICA"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38"/>
    <col customWidth="1" min="3" max="3" width="20.25"/>
    <col customWidth="1" min="5" max="7" width="17.63"/>
    <col customWidth="1" min="8" max="8" width="15.88"/>
    <col customWidth="1" min="9" max="9" width="17.63"/>
    <col customWidth="1" min="10" max="10" width="15.88"/>
  </cols>
  <sheetData>
    <row r="1" ht="41.25" customHeight="1">
      <c r="A1" s="56" t="s">
        <v>89</v>
      </c>
      <c r="B1" s="56" t="s">
        <v>131</v>
      </c>
      <c r="C1" s="56" t="s">
        <v>132</v>
      </c>
      <c r="D1" s="56" t="s">
        <v>133</v>
      </c>
      <c r="E1" s="56" t="s">
        <v>134</v>
      </c>
      <c r="F1" s="56" t="s">
        <v>135</v>
      </c>
      <c r="G1" s="56" t="s">
        <v>136</v>
      </c>
      <c r="H1" s="56" t="s">
        <v>137</v>
      </c>
      <c r="I1" s="56" t="s">
        <v>138</v>
      </c>
      <c r="J1" s="56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</row>
    <row r="2" ht="26.25" customHeight="1">
      <c r="A2" s="80">
        <f>IFERROR(__xludf.DUMMYFUNCTION("UNIQUE(FLATTEN(UNIQUE(FILTER(TRECHOS_LONGOS!A2:A998, TRECHOS_LONGOS!A2:A998 &lt;&gt;"""")), UNIQUE(FILTER(TRANSLADO!A2:A998, TRANSLADO!A2:A998 &lt;&gt;""""))))"),1.0)</f>
        <v>1</v>
      </c>
      <c r="B2" s="81">
        <f>IFERROR(__xludf.DUMMYFUNCTION("if(isna(MIN(FILTER(TRECHOS_LONGOS!$F:$F, TRECHOS_LONGOS!$A:$A = $A2))), ""Apenas translado"", MIN(FILTER(TRECHOS_LONGOS!$F:$F, TRECHOS_LONGOS!$A:$A = $A2)))"),46026.0)</f>
        <v>46026</v>
      </c>
      <c r="C2" s="81">
        <f>IFERROR(__xludf.DUMMYFUNCTION("if(isna(max(FILTER(TRECHOS_LONGOS!$F:$F, TRECHOS_LONGOS!$A:$A = $A2))), ""Apenas translado"", MAX(FILTER(TRECHOS_LONGOS!$F:$F, TRECHOS_LONGOS!$A:$A = $A2)))"),46029.0)</f>
        <v>46029</v>
      </c>
      <c r="D2" s="80">
        <f t="shared" ref="D2:D52" si="1">if( B2 = "Apenas translado", 0, DATEDIF(B2,C2, "d"))</f>
        <v>3</v>
      </c>
      <c r="E2" s="82">
        <f>SUMIF(TRECHOS_LONGOS!$A:$A, $A2, TRECHOS_LONGOS!Y:Y)</f>
        <v>3989.72</v>
      </c>
      <c r="F2" s="82">
        <f>SUMIF(TRANSLADO!A:A, A2, TRANSLADO!J:J)</f>
        <v>200</v>
      </c>
      <c r="G2" s="82">
        <f>SUMIF(HOSPEDAGEM!A:A, A2, HOSPEDAGEM!J:J)</f>
        <v>1404.22</v>
      </c>
      <c r="H2" s="82">
        <f t="shared" ref="H2:H998" si="2">if(or(E2 = "", F2 = "", G2 = ""), "", SUM(E2:G2))</f>
        <v>5593.94</v>
      </c>
      <c r="I2" s="83">
        <f>SUMIF(TRECHOS_LONGOS!$A:$A, $A2, TRECHOS_LONGOS!Z:Z)</f>
        <v>0</v>
      </c>
    </row>
    <row r="3" ht="26.25" customHeight="1">
      <c r="A3" s="80">
        <f>IFERROR(__xludf.DUMMYFUNCTION("""COMPUTED_VALUE"""),2.0)</f>
        <v>2</v>
      </c>
      <c r="B3" s="81">
        <f>IFERROR(__xludf.DUMMYFUNCTION("if(isna(MIN(FILTER(TRECHOS_LONGOS!$F:$F, TRECHOS_LONGOS!$A:$A = $A3))), ""Apenas translado"", MIN(FILTER(TRECHOS_LONGOS!$F:$F, TRECHOS_LONGOS!$A:$A = $A3)))"),46029.0)</f>
        <v>46029</v>
      </c>
      <c r="C3" s="81">
        <f>IFERROR(__xludf.DUMMYFUNCTION("if(isna(max(FILTER(TRECHOS_LONGOS!$F:$F, TRECHOS_LONGOS!$A:$A = $A3))), ""Apenas translado"", MAX(FILTER(TRECHOS_LONGOS!$F:$F, TRECHOS_LONGOS!$A:$A = $A3)))"),46036.0)</f>
        <v>46036</v>
      </c>
      <c r="D3" s="80">
        <f t="shared" si="1"/>
        <v>7</v>
      </c>
      <c r="E3" s="82">
        <f>SUMIF(TRECHOS_LONGOS!$A:$A, $A3, TRECHOS_LONGOS!Y:Y)</f>
        <v>3156.76</v>
      </c>
      <c r="F3" s="82">
        <f>SUMIF(TRANSLADO!A:A, A3, TRANSLADO!J:J)</f>
        <v>100</v>
      </c>
      <c r="G3" s="82">
        <f>SUMIF(HOSPEDAGEM!A:A, A3, HOSPEDAGEM!J:J)</f>
        <v>1131.76</v>
      </c>
      <c r="H3" s="82">
        <f t="shared" si="2"/>
        <v>4388.52</v>
      </c>
      <c r="I3" s="83">
        <f>SUMIF(TRECHOS_LONGOS!$A:$A, $A3, TRECHOS_LONGOS!Z:Z)</f>
        <v>0</v>
      </c>
    </row>
    <row r="4" ht="26.25" customHeight="1">
      <c r="A4" s="80">
        <f>IFERROR(__xludf.DUMMYFUNCTION("""COMPUTED_VALUE"""),3.0)</f>
        <v>3</v>
      </c>
      <c r="B4" s="81">
        <f>IFERROR(__xludf.DUMMYFUNCTION("if(isna(MIN(FILTER(TRECHOS_LONGOS!$F:$F, TRECHOS_LONGOS!$A:$A = $A4))), ""Apenas translado"", MIN(FILTER(TRECHOS_LONGOS!$F:$F, TRECHOS_LONGOS!$A:$A = $A4)))"),46031.0)</f>
        <v>46031</v>
      </c>
      <c r="C4" s="81">
        <f>IFERROR(__xludf.DUMMYFUNCTION("if(isna(max(FILTER(TRECHOS_LONGOS!$F:$F, TRECHOS_LONGOS!$A:$A = $A4))), ""Apenas translado"", MAX(FILTER(TRECHOS_LONGOS!$F:$F, TRECHOS_LONGOS!$A:$A = $A4)))"),46036.0)</f>
        <v>46036</v>
      </c>
      <c r="D4" s="80">
        <f t="shared" si="1"/>
        <v>5</v>
      </c>
      <c r="E4" s="82">
        <f>SUMIF(TRECHOS_LONGOS!$A:$A, $A4, TRECHOS_LONGOS!Y:Y)</f>
        <v>3156.76</v>
      </c>
      <c r="F4" s="82">
        <f>SUMIF(TRANSLADO!A:A, A4, TRANSLADO!J:J)</f>
        <v>200</v>
      </c>
      <c r="G4" s="82">
        <f>SUMIF(HOSPEDAGEM!A:A, A4, HOSPEDAGEM!J:J)</f>
        <v>1668.98</v>
      </c>
      <c r="H4" s="82">
        <f t="shared" si="2"/>
        <v>5025.74</v>
      </c>
      <c r="I4" s="83">
        <f>SUMIF(TRECHOS_LONGOS!$A:$A, $A4, TRECHOS_LONGOS!Z:Z)</f>
        <v>0</v>
      </c>
    </row>
    <row r="5" ht="26.25" customHeight="1">
      <c r="A5" s="80">
        <f>IFERROR(__xludf.DUMMYFUNCTION("""COMPUTED_VALUE"""),4.0)</f>
        <v>4</v>
      </c>
      <c r="B5" s="81">
        <f>IFERROR(__xludf.DUMMYFUNCTION("if(isna(MIN(FILTER(TRECHOS_LONGOS!$F:$F, TRECHOS_LONGOS!$A:$A = $A5))), ""Apenas translado"", MIN(FILTER(TRECHOS_LONGOS!$F:$F, TRECHOS_LONGOS!$A:$A = $A5)))"),46033.0)</f>
        <v>46033</v>
      </c>
      <c r="C5" s="81">
        <f>IFERROR(__xludf.DUMMYFUNCTION("if(isna(max(FILTER(TRECHOS_LONGOS!$F:$F, TRECHOS_LONGOS!$A:$A = $A5))), ""Apenas translado"", MAX(FILTER(TRECHOS_LONGOS!$F:$F, TRECHOS_LONGOS!$A:$A = $A5)))"),46035.0)</f>
        <v>46035</v>
      </c>
      <c r="D5" s="80">
        <f t="shared" si="1"/>
        <v>2</v>
      </c>
      <c r="E5" s="82">
        <f>SUMIF(TRECHOS_LONGOS!$A:$A, $A5, TRECHOS_LONGOS!Y:Y)</f>
        <v>14356.82</v>
      </c>
      <c r="F5" s="82">
        <f>SUMIF(TRANSLADO!A:A, A5, TRANSLADO!J:J)</f>
        <v>0</v>
      </c>
      <c r="G5" s="82">
        <f>SUMIF(HOSPEDAGEM!A:A, A5, HOSPEDAGEM!J:J)</f>
        <v>2617.32</v>
      </c>
      <c r="H5" s="82">
        <f t="shared" si="2"/>
        <v>16974.14</v>
      </c>
      <c r="I5" s="83">
        <f>SUMIF(TRECHOS_LONGOS!$A:$A, $A5, TRECHOS_LONGOS!Z:Z)</f>
        <v>0</v>
      </c>
    </row>
    <row r="6" ht="26.25" customHeight="1">
      <c r="A6" s="80">
        <f>IFERROR(__xludf.DUMMYFUNCTION("""COMPUTED_VALUE"""),5.0)</f>
        <v>5</v>
      </c>
      <c r="B6" s="81">
        <f>IFERROR(__xludf.DUMMYFUNCTION("if(isna(MIN(FILTER(TRECHOS_LONGOS!$F:$F, TRECHOS_LONGOS!$A:$A = $A6))), ""Apenas translado"", MIN(FILTER(TRECHOS_LONGOS!$F:$F, TRECHOS_LONGOS!$A:$A = $A6)))"),46036.0)</f>
        <v>46036</v>
      </c>
      <c r="C6" s="81">
        <f>IFERROR(__xludf.DUMMYFUNCTION("if(isna(max(FILTER(TRECHOS_LONGOS!$F:$F, TRECHOS_LONGOS!$A:$A = $A6))), ""Apenas translado"", MAX(FILTER(TRECHOS_LONGOS!$F:$F, TRECHOS_LONGOS!$A:$A = $A6)))"),46036.0)</f>
        <v>46036</v>
      </c>
      <c r="D6" s="80">
        <f t="shared" si="1"/>
        <v>0</v>
      </c>
      <c r="E6" s="82">
        <f>SUMIF(TRECHOS_LONGOS!$A:$A, $A6, TRECHOS_LONGOS!Y:Y)</f>
        <v>2610.77</v>
      </c>
      <c r="F6" s="82">
        <f>SUMIF(TRANSLADO!A:A, A6, TRANSLADO!J:J)</f>
        <v>0</v>
      </c>
      <c r="G6" s="82">
        <f>SUMIF(HOSPEDAGEM!A:A, A6, HOSPEDAGEM!J:J)</f>
        <v>0</v>
      </c>
      <c r="H6" s="82">
        <f t="shared" si="2"/>
        <v>2610.77</v>
      </c>
      <c r="I6" s="83">
        <f>SUMIF(TRECHOS_LONGOS!$A:$A, $A6, TRECHOS_LONGOS!Z:Z)</f>
        <v>0</v>
      </c>
    </row>
    <row r="7" ht="26.25" customHeight="1">
      <c r="A7" s="80">
        <f>IFERROR(__xludf.DUMMYFUNCTION("""COMPUTED_VALUE"""),6.0)</f>
        <v>6</v>
      </c>
      <c r="B7" s="81">
        <f>IFERROR(__xludf.DUMMYFUNCTION("if(isna(MIN(FILTER(TRECHOS_LONGOS!$F:$F, TRECHOS_LONGOS!$A:$A = $A7))), ""Apenas translado"", MIN(FILTER(TRECHOS_LONGOS!$F:$F, TRECHOS_LONGOS!$A:$A = $A7)))"),46037.0)</f>
        <v>46037</v>
      </c>
      <c r="C7" s="81">
        <f>IFERROR(__xludf.DUMMYFUNCTION("if(isna(max(FILTER(TRECHOS_LONGOS!$F:$F, TRECHOS_LONGOS!$A:$A = $A7))), ""Apenas translado"", MAX(FILTER(TRECHOS_LONGOS!$F:$F, TRECHOS_LONGOS!$A:$A = $A7)))"),46038.0)</f>
        <v>46038</v>
      </c>
      <c r="D7" s="80">
        <f t="shared" si="1"/>
        <v>1</v>
      </c>
      <c r="E7" s="82">
        <f>SUMIF(TRECHOS_LONGOS!$A:$A, $A7, TRECHOS_LONGOS!Y:Y)</f>
        <v>12807.79</v>
      </c>
      <c r="F7" s="82">
        <f>SUMIF(TRANSLADO!A:A, A7, TRANSLADO!J:J)</f>
        <v>0</v>
      </c>
      <c r="G7" s="82">
        <f>SUMIF(HOSPEDAGEM!A:A, A7, HOSPEDAGEM!J:J)</f>
        <v>0</v>
      </c>
      <c r="H7" s="82">
        <f t="shared" si="2"/>
        <v>12807.79</v>
      </c>
      <c r="I7" s="83">
        <f>SUMIF(TRECHOS_LONGOS!$A:$A, $A7, TRECHOS_LONGOS!Z:Z)</f>
        <v>0</v>
      </c>
    </row>
    <row r="8" ht="26.25" customHeight="1">
      <c r="A8" s="80">
        <f>IFERROR(__xludf.DUMMYFUNCTION("""COMPUTED_VALUE"""),7.0)</f>
        <v>7</v>
      </c>
      <c r="B8" s="81">
        <f>IFERROR(__xludf.DUMMYFUNCTION("if(isna(MIN(FILTER(TRECHOS_LONGOS!$F:$F, TRECHOS_LONGOS!$A:$A = $A8))), ""Apenas translado"", MIN(FILTER(TRECHOS_LONGOS!$F:$F, TRECHOS_LONGOS!$A:$A = $A8)))"),46041.0)</f>
        <v>46041</v>
      </c>
      <c r="C8" s="81">
        <f>IFERROR(__xludf.DUMMYFUNCTION("if(isna(max(FILTER(TRECHOS_LONGOS!$F:$F, TRECHOS_LONGOS!$A:$A = $A8))), ""Apenas translado"", MAX(FILTER(TRECHOS_LONGOS!$F:$F, TRECHOS_LONGOS!$A:$A = $A8)))"),46041.0)</f>
        <v>46041</v>
      </c>
      <c r="D8" s="80">
        <f t="shared" si="1"/>
        <v>0</v>
      </c>
      <c r="E8" s="82">
        <f>SUMIF(TRECHOS_LONGOS!$A:$A, $A8, TRECHOS_LONGOS!Y:Y)</f>
        <v>6277.36</v>
      </c>
      <c r="F8" s="82">
        <f>SUMIF(TRANSLADO!A:A, A8, TRANSLADO!J:J)</f>
        <v>0</v>
      </c>
      <c r="G8" s="82">
        <f>SUMIF(HOSPEDAGEM!A:A, A8, HOSPEDAGEM!J:J)</f>
        <v>456</v>
      </c>
      <c r="H8" s="82">
        <f t="shared" si="2"/>
        <v>6733.36</v>
      </c>
      <c r="I8" s="83">
        <f>SUMIF(TRECHOS_LONGOS!$A:$A, $A8, TRECHOS_LONGOS!Z:Z)</f>
        <v>0</v>
      </c>
    </row>
    <row r="9" ht="26.25" customHeight="1">
      <c r="A9" s="80">
        <f>IFERROR(__xludf.DUMMYFUNCTION("""COMPUTED_VALUE"""),8.0)</f>
        <v>8</v>
      </c>
      <c r="B9" s="81">
        <f>IFERROR(__xludf.DUMMYFUNCTION("if(isna(MIN(FILTER(TRECHOS_LONGOS!$F:$F, TRECHOS_LONGOS!$A:$A = $A9))), ""Apenas translado"", MIN(FILTER(TRECHOS_LONGOS!$F:$F, TRECHOS_LONGOS!$A:$A = $A9)))"),46046.0)</f>
        <v>46046</v>
      </c>
      <c r="C9" s="81">
        <f>IFERROR(__xludf.DUMMYFUNCTION("if(isna(max(FILTER(TRECHOS_LONGOS!$F:$F, TRECHOS_LONGOS!$A:$A = $A9))), ""Apenas translado"", MAX(FILTER(TRECHOS_LONGOS!$F:$F, TRECHOS_LONGOS!$A:$A = $A9)))"),46046.0)</f>
        <v>46046</v>
      </c>
      <c r="D9" s="80">
        <f t="shared" si="1"/>
        <v>0</v>
      </c>
      <c r="E9" s="82">
        <f>SUMIF(TRECHOS_LONGOS!$A:$A, $A9, TRECHOS_LONGOS!Y:Y)</f>
        <v>1467.99</v>
      </c>
      <c r="F9" s="82">
        <f>SUMIF(TRANSLADO!A:A, A9, TRANSLADO!J:J)</f>
        <v>0</v>
      </c>
      <c r="G9" s="82">
        <f>SUMIF(HOSPEDAGEM!A:A, A9, HOSPEDAGEM!J:J)</f>
        <v>0</v>
      </c>
      <c r="H9" s="82">
        <f t="shared" si="2"/>
        <v>1467.99</v>
      </c>
      <c r="I9" s="83">
        <f>SUMIF(TRECHOS_LONGOS!$A:$A, $A9, TRECHOS_LONGOS!Z:Z)</f>
        <v>0</v>
      </c>
    </row>
    <row r="10" ht="26.25" customHeight="1">
      <c r="A10" s="80">
        <f>IFERROR(__xludf.DUMMYFUNCTION("""COMPUTED_VALUE"""),9.0)</f>
        <v>9</v>
      </c>
      <c r="B10" s="81">
        <f>IFERROR(__xludf.DUMMYFUNCTION("if(isna(MIN(FILTER(TRECHOS_LONGOS!$F:$F, TRECHOS_LONGOS!$A:$A = $A10))), ""Apenas translado"", MIN(FILTER(TRECHOS_LONGOS!$F:$F, TRECHOS_LONGOS!$A:$A = $A10)))"),46051.0)</f>
        <v>46051</v>
      </c>
      <c r="C10" s="81">
        <f>IFERROR(__xludf.DUMMYFUNCTION("if(isna(max(FILTER(TRECHOS_LONGOS!$F:$F, TRECHOS_LONGOS!$A:$A = $A10))), ""Apenas translado"", MAX(FILTER(TRECHOS_LONGOS!$F:$F, TRECHOS_LONGOS!$A:$A = $A10)))"),46051.0)</f>
        <v>46051</v>
      </c>
      <c r="D10" s="80">
        <f t="shared" si="1"/>
        <v>0</v>
      </c>
      <c r="E10" s="82">
        <f>SUMIF(TRECHOS_LONGOS!$A:$A, $A10, TRECHOS_LONGOS!Y:Y)</f>
        <v>7319.28</v>
      </c>
      <c r="F10" s="82">
        <f>SUMIF(TRANSLADO!A:A, A10, TRANSLADO!J:J)</f>
        <v>0</v>
      </c>
      <c r="G10" s="82">
        <f>SUMIF(HOSPEDAGEM!A:A, A10, HOSPEDAGEM!J:J)</f>
        <v>0</v>
      </c>
      <c r="H10" s="82">
        <f t="shared" si="2"/>
        <v>7319.28</v>
      </c>
      <c r="I10" s="83">
        <f>SUMIF(TRECHOS_LONGOS!$A:$A, $A10, TRECHOS_LONGOS!Z:Z)</f>
        <v>0</v>
      </c>
    </row>
    <row r="11" ht="26.25" customHeight="1">
      <c r="A11" s="80">
        <f>IFERROR(__xludf.DUMMYFUNCTION("""COMPUTED_VALUE"""),10.0)</f>
        <v>10</v>
      </c>
      <c r="B11" s="81">
        <f>IFERROR(__xludf.DUMMYFUNCTION("if(isna(MIN(FILTER(TRECHOS_LONGOS!$F:$F, TRECHOS_LONGOS!$A:$A = $A11))), ""Apenas translado"", MIN(FILTER(TRECHOS_LONGOS!$F:$F, TRECHOS_LONGOS!$A:$A = $A11)))"),46072.0)</f>
        <v>46072</v>
      </c>
      <c r="C11" s="81">
        <f>IFERROR(__xludf.DUMMYFUNCTION("if(isna(max(FILTER(TRECHOS_LONGOS!$F:$F, TRECHOS_LONGOS!$A:$A = $A11))), ""Apenas translado"", MAX(FILTER(TRECHOS_LONGOS!$F:$F, TRECHOS_LONGOS!$A:$A = $A11)))"),46073.0)</f>
        <v>46073</v>
      </c>
      <c r="D11" s="80">
        <f t="shared" si="1"/>
        <v>1</v>
      </c>
      <c r="E11" s="82">
        <f>SUMIF(TRECHOS_LONGOS!$A:$A, $A11, TRECHOS_LONGOS!Y:Y)</f>
        <v>9988.95</v>
      </c>
      <c r="F11" s="82">
        <f>SUMIF(TRANSLADO!A:A, A11, TRANSLADO!J:J)</f>
        <v>0</v>
      </c>
      <c r="G11" s="82">
        <f>SUMIF(HOSPEDAGEM!A:A, A11, HOSPEDAGEM!J:J)</f>
        <v>0</v>
      </c>
      <c r="H11" s="82">
        <f t="shared" si="2"/>
        <v>9988.95</v>
      </c>
      <c r="I11" s="83">
        <f>SUMIF(TRECHOS_LONGOS!$A:$A, $A11, TRECHOS_LONGOS!Z:Z)</f>
        <v>0</v>
      </c>
    </row>
    <row r="12" ht="26.25" customHeight="1">
      <c r="A12" s="80">
        <f>IFERROR(__xludf.DUMMYFUNCTION("""COMPUTED_VALUE"""),11.0)</f>
        <v>11</v>
      </c>
      <c r="B12" s="81">
        <f>IFERROR(__xludf.DUMMYFUNCTION("if(isna(MIN(FILTER(TRECHOS_LONGOS!$F:$F, TRECHOS_LONGOS!$A:$A = $A12))), ""Apenas translado"", MIN(FILTER(TRECHOS_LONGOS!$F:$F, TRECHOS_LONGOS!$A:$A = $A12)))"),46076.0)</f>
        <v>46076</v>
      </c>
      <c r="C12" s="81">
        <f>IFERROR(__xludf.DUMMYFUNCTION("if(isna(max(FILTER(TRECHOS_LONGOS!$F:$F, TRECHOS_LONGOS!$A:$A = $A12))), ""Apenas translado"", MAX(FILTER(TRECHOS_LONGOS!$F:$F, TRECHOS_LONGOS!$A:$A = $A12)))"),46078.0)</f>
        <v>46078</v>
      </c>
      <c r="D12" s="80">
        <f t="shared" si="1"/>
        <v>2</v>
      </c>
      <c r="E12" s="82">
        <f>SUMIF(TRECHOS_LONGOS!$A:$A, $A12, TRECHOS_LONGOS!Y:Y)</f>
        <v>14666.3</v>
      </c>
      <c r="F12" s="82">
        <f>SUMIF(TRANSLADO!A:A, A12, TRANSLADO!J:J)</f>
        <v>0</v>
      </c>
      <c r="G12" s="82">
        <f>SUMIF(HOSPEDAGEM!A:A, A12, HOSPEDAGEM!J:J)</f>
        <v>3643.5</v>
      </c>
      <c r="H12" s="82">
        <f t="shared" si="2"/>
        <v>18309.8</v>
      </c>
      <c r="I12" s="83">
        <f>SUMIF(TRECHOS_LONGOS!$A:$A, $A12, TRECHOS_LONGOS!Z:Z)</f>
        <v>0</v>
      </c>
    </row>
    <row r="13" ht="26.25" customHeight="1">
      <c r="A13" s="80">
        <f>IFERROR(__xludf.DUMMYFUNCTION("""COMPUTED_VALUE"""),12.0)</f>
        <v>12</v>
      </c>
      <c r="B13" s="81">
        <f>IFERROR(__xludf.DUMMYFUNCTION("if(isna(MIN(FILTER(TRECHOS_LONGOS!$F:$F, TRECHOS_LONGOS!$A:$A = $A13))), ""Apenas translado"", MIN(FILTER(TRECHOS_LONGOS!$F:$F, TRECHOS_LONGOS!$A:$A = $A13)))"),46082.0)</f>
        <v>46082</v>
      </c>
      <c r="C13" s="81">
        <f>IFERROR(__xludf.DUMMYFUNCTION("if(isna(max(FILTER(TRECHOS_LONGOS!$F:$F, TRECHOS_LONGOS!$A:$A = $A13))), ""Apenas translado"", MAX(FILTER(TRECHOS_LONGOS!$F:$F, TRECHOS_LONGOS!$A:$A = $A13)))"),46085.0)</f>
        <v>46085</v>
      </c>
      <c r="D13" s="80">
        <f t="shared" si="1"/>
        <v>3</v>
      </c>
      <c r="E13" s="82">
        <f>SUMIF(TRECHOS_LONGOS!$A:$A, $A13, TRECHOS_LONGOS!Y:Y)</f>
        <v>4482.76</v>
      </c>
      <c r="F13" s="82">
        <f>SUMIF(TRANSLADO!A:A, A13, TRANSLADO!J:J)</f>
        <v>200</v>
      </c>
      <c r="G13" s="82">
        <f>SUMIF(HOSPEDAGEM!A:A, A13, HOSPEDAGEM!J:J)</f>
        <v>1013.49</v>
      </c>
      <c r="H13" s="82">
        <f t="shared" si="2"/>
        <v>5696.25</v>
      </c>
      <c r="I13" s="83">
        <f>SUMIF(TRECHOS_LONGOS!$A:$A, $A13, TRECHOS_LONGOS!Z:Z)</f>
        <v>0</v>
      </c>
    </row>
    <row r="14" ht="26.25" customHeight="1">
      <c r="A14" s="80">
        <f>IFERROR(__xludf.DUMMYFUNCTION("""COMPUTED_VALUE"""),13.0)</f>
        <v>13</v>
      </c>
      <c r="B14" s="81">
        <f>IFERROR(__xludf.DUMMYFUNCTION("if(isna(MIN(FILTER(TRECHOS_LONGOS!$F:$F, TRECHOS_LONGOS!$A:$A = $A14))), ""Apenas translado"", MIN(FILTER(TRECHOS_LONGOS!$F:$F, TRECHOS_LONGOS!$A:$A = $A14)))"),46083.0)</f>
        <v>46083</v>
      </c>
      <c r="C14" s="81">
        <f>IFERROR(__xludf.DUMMYFUNCTION("if(isna(max(FILTER(TRECHOS_LONGOS!$F:$F, TRECHOS_LONGOS!$A:$A = $A14))), ""Apenas translado"", MAX(FILTER(TRECHOS_LONGOS!$F:$F, TRECHOS_LONGOS!$A:$A = $A14)))"),46085.0)</f>
        <v>46085</v>
      </c>
      <c r="D14" s="80">
        <f t="shared" si="1"/>
        <v>2</v>
      </c>
      <c r="E14" s="82">
        <f>SUMIF(TRECHOS_LONGOS!$A:$A, $A14, TRECHOS_LONGOS!Y:Y)</f>
        <v>10358.73</v>
      </c>
      <c r="F14" s="82">
        <f>SUMIF(TRANSLADO!A:A, A14, TRANSLADO!J:J)</f>
        <v>0</v>
      </c>
      <c r="G14" s="82">
        <f>SUMIF(HOSPEDAGEM!A:A, A14, HOSPEDAGEM!J:J)</f>
        <v>2145.61</v>
      </c>
      <c r="H14" s="82">
        <f t="shared" si="2"/>
        <v>12504.34</v>
      </c>
      <c r="I14" s="83">
        <f>SUMIF(TRECHOS_LONGOS!$A:$A, $A14, TRECHOS_LONGOS!Z:Z)</f>
        <v>0</v>
      </c>
    </row>
    <row r="15" ht="26.25" customHeight="1">
      <c r="A15" s="80">
        <f>IFERROR(__xludf.DUMMYFUNCTION("""COMPUTED_VALUE"""),14.0)</f>
        <v>14</v>
      </c>
      <c r="B15" s="81">
        <f>IFERROR(__xludf.DUMMYFUNCTION("if(isna(MIN(FILTER(TRECHOS_LONGOS!$F:$F, TRECHOS_LONGOS!$A:$A = $A15))), ""Apenas translado"", MIN(FILTER(TRECHOS_LONGOS!$F:$F, TRECHOS_LONGOS!$A:$A = $A15)))"),46084.0)</f>
        <v>46084</v>
      </c>
      <c r="C15" s="81">
        <f>IFERROR(__xludf.DUMMYFUNCTION("if(isna(max(FILTER(TRECHOS_LONGOS!$F:$F, TRECHOS_LONGOS!$A:$A = $A15))), ""Apenas translado"", MAX(FILTER(TRECHOS_LONGOS!$F:$F, TRECHOS_LONGOS!$A:$A = $A15)))"),46086.0)</f>
        <v>46086</v>
      </c>
      <c r="D15" s="80">
        <f t="shared" si="1"/>
        <v>2</v>
      </c>
      <c r="E15" s="82">
        <f>SUMIF(TRECHOS_LONGOS!$A:$A, $A15, TRECHOS_LONGOS!Y:Y)</f>
        <v>7881.6</v>
      </c>
      <c r="F15" s="82">
        <f>SUMIF(TRANSLADO!A:A, A15, TRANSLADO!J:J)</f>
        <v>0</v>
      </c>
      <c r="G15" s="82">
        <f>SUMIF(HOSPEDAGEM!A:A, A15, HOSPEDAGEM!J:J)</f>
        <v>1007.36</v>
      </c>
      <c r="H15" s="82">
        <f t="shared" si="2"/>
        <v>8888.96</v>
      </c>
      <c r="I15" s="83">
        <f>SUMIF(TRECHOS_LONGOS!$A:$A, $A15, TRECHOS_LONGOS!Z:Z)</f>
        <v>0</v>
      </c>
    </row>
    <row r="16" ht="26.25" customHeight="1">
      <c r="A16" s="80">
        <f>IFERROR(__xludf.DUMMYFUNCTION("""COMPUTED_VALUE"""),15.0)</f>
        <v>15</v>
      </c>
      <c r="B16" s="81">
        <f>IFERROR(__xludf.DUMMYFUNCTION("if(isna(MIN(FILTER(TRECHOS_LONGOS!$F:$F, TRECHOS_LONGOS!$A:$A = $A16))), ""Apenas translado"", MIN(FILTER(TRECHOS_LONGOS!$F:$F, TRECHOS_LONGOS!$A:$A = $A16)))"),46087.0)</f>
        <v>46087</v>
      </c>
      <c r="C16" s="81">
        <f>IFERROR(__xludf.DUMMYFUNCTION("if(isna(max(FILTER(TRECHOS_LONGOS!$F:$F, TRECHOS_LONGOS!$A:$A = $A16))), ""Apenas translado"", MAX(FILTER(TRECHOS_LONGOS!$F:$F, TRECHOS_LONGOS!$A:$A = $A16)))"),46087.0)</f>
        <v>46087</v>
      </c>
      <c r="D16" s="80">
        <f t="shared" si="1"/>
        <v>0</v>
      </c>
      <c r="E16" s="82">
        <f>SUMIF(TRECHOS_LONGOS!$A:$A, $A16, TRECHOS_LONGOS!Y:Y)</f>
        <v>10366.44</v>
      </c>
      <c r="F16" s="82">
        <f>SUMIF(TRANSLADO!A:A, A16, TRANSLADO!J:J)</f>
        <v>0</v>
      </c>
      <c r="G16" s="82">
        <f>SUMIF(HOSPEDAGEM!A:A, A16, HOSPEDAGEM!J:J)</f>
        <v>0</v>
      </c>
      <c r="H16" s="82">
        <f t="shared" si="2"/>
        <v>10366.44</v>
      </c>
      <c r="I16" s="83">
        <f>SUMIF(TRECHOS_LONGOS!$A:$A, $A16, TRECHOS_LONGOS!Z:Z)</f>
        <v>0</v>
      </c>
    </row>
    <row r="17" ht="26.25" customHeight="1">
      <c r="A17" s="80">
        <f>IFERROR(__xludf.DUMMYFUNCTION("""COMPUTED_VALUE"""),16.0)</f>
        <v>16</v>
      </c>
      <c r="B17" s="81">
        <f>IFERROR(__xludf.DUMMYFUNCTION("if(isna(MIN(FILTER(TRECHOS_LONGOS!$F:$F, TRECHOS_LONGOS!$A:$A = $A17))), ""Apenas translado"", MIN(FILTER(TRECHOS_LONGOS!$F:$F, TRECHOS_LONGOS!$A:$A = $A17)))"),46091.0)</f>
        <v>46091</v>
      </c>
      <c r="C17" s="81">
        <f>IFERROR(__xludf.DUMMYFUNCTION("if(isna(max(FILTER(TRECHOS_LONGOS!$F:$F, TRECHOS_LONGOS!$A:$A = $A17))), ""Apenas translado"", MAX(FILTER(TRECHOS_LONGOS!$F:$F, TRECHOS_LONGOS!$A:$A = $A17)))"),46092.0)</f>
        <v>46092</v>
      </c>
      <c r="D17" s="80">
        <f t="shared" si="1"/>
        <v>1</v>
      </c>
      <c r="E17" s="82">
        <f>SUMIF(TRECHOS_LONGOS!$A:$A, $A17, TRECHOS_LONGOS!Y:Y)</f>
        <v>14115.66</v>
      </c>
      <c r="F17" s="82">
        <f>SUMIF(TRANSLADO!A:A, A17, TRANSLADO!J:J)</f>
        <v>0</v>
      </c>
      <c r="G17" s="82">
        <f>SUMIF(HOSPEDAGEM!A:A, A17, HOSPEDAGEM!J:J)</f>
        <v>1944.27</v>
      </c>
      <c r="H17" s="82">
        <f t="shared" si="2"/>
        <v>16059.93</v>
      </c>
      <c r="I17" s="83">
        <f>SUMIF(TRECHOS_LONGOS!$A:$A, $A17, TRECHOS_LONGOS!Z:Z)</f>
        <v>0</v>
      </c>
    </row>
    <row r="18" ht="26.25" customHeight="1">
      <c r="A18" s="80">
        <f>IFERROR(__xludf.DUMMYFUNCTION("""COMPUTED_VALUE"""),17.0)</f>
        <v>17</v>
      </c>
      <c r="B18" s="81">
        <f>IFERROR(__xludf.DUMMYFUNCTION("if(isna(MIN(FILTER(TRECHOS_LONGOS!$F:$F, TRECHOS_LONGOS!$A:$A = $A18))), ""Apenas translado"", MIN(FILTER(TRECHOS_LONGOS!$F:$F, TRECHOS_LONGOS!$A:$A = $A18)))"),46093.0)</f>
        <v>46093</v>
      </c>
      <c r="C18" s="81">
        <f>IFERROR(__xludf.DUMMYFUNCTION("if(isna(max(FILTER(TRECHOS_LONGOS!$F:$F, TRECHOS_LONGOS!$A:$A = $A18))), ""Apenas translado"", MAX(FILTER(TRECHOS_LONGOS!$F:$F, TRECHOS_LONGOS!$A:$A = $A18)))"),46095.0)</f>
        <v>46095</v>
      </c>
      <c r="D18" s="80">
        <f t="shared" si="1"/>
        <v>2</v>
      </c>
      <c r="E18" s="82">
        <f>SUMIF(TRECHOS_LONGOS!$A:$A, $A18, TRECHOS_LONGOS!Y:Y)</f>
        <v>4012.76</v>
      </c>
      <c r="F18" s="82">
        <f>SUMIF(TRANSLADO!A:A, A18, TRANSLADO!J:J)</f>
        <v>200</v>
      </c>
      <c r="G18" s="82">
        <f>SUMIF(HOSPEDAGEM!A:A, A18, HOSPEDAGEM!J:J)</f>
        <v>576.02</v>
      </c>
      <c r="H18" s="82">
        <f t="shared" si="2"/>
        <v>4788.78</v>
      </c>
      <c r="I18" s="83">
        <f>SUMIF(TRECHOS_LONGOS!$A:$A, $A18, TRECHOS_LONGOS!Z:Z)</f>
        <v>0</v>
      </c>
    </row>
    <row r="19" ht="26.25" customHeight="1">
      <c r="A19" s="80">
        <f>IFERROR(__xludf.DUMMYFUNCTION("""COMPUTED_VALUE"""),18.0)</f>
        <v>18</v>
      </c>
      <c r="B19" s="81">
        <f>IFERROR(__xludf.DUMMYFUNCTION("if(isna(MIN(FILTER(TRECHOS_LONGOS!$F:$F, TRECHOS_LONGOS!$A:$A = $A19))), ""Apenas translado"", MIN(FILTER(TRECHOS_LONGOS!$F:$F, TRECHOS_LONGOS!$A:$A = $A19)))"),46097.0)</f>
        <v>46097</v>
      </c>
      <c r="C19" s="81">
        <f>IFERROR(__xludf.DUMMYFUNCTION("if(isna(max(FILTER(TRECHOS_LONGOS!$F:$F, TRECHOS_LONGOS!$A:$A = $A19))), ""Apenas translado"", MAX(FILTER(TRECHOS_LONGOS!$F:$F, TRECHOS_LONGOS!$A:$A = $A19)))"),46097.0)</f>
        <v>46097</v>
      </c>
      <c r="D19" s="80">
        <f t="shared" si="1"/>
        <v>0</v>
      </c>
      <c r="E19" s="82">
        <f>SUMIF(TRECHOS_LONGOS!$A:$A, $A19, TRECHOS_LONGOS!Y:Y)</f>
        <v>11491.86</v>
      </c>
      <c r="F19" s="82">
        <f>SUMIF(TRANSLADO!A:A, A19, TRANSLADO!J:J)</f>
        <v>0</v>
      </c>
      <c r="G19" s="82">
        <f>SUMIF(HOSPEDAGEM!A:A, A19, HOSPEDAGEM!J:J)</f>
        <v>2800.96</v>
      </c>
      <c r="H19" s="82">
        <f t="shared" si="2"/>
        <v>14292.82</v>
      </c>
      <c r="I19" s="83">
        <f>SUMIF(TRECHOS_LONGOS!$A:$A, $A19, TRECHOS_LONGOS!Z:Z)</f>
        <v>0</v>
      </c>
    </row>
    <row r="20" ht="26.25" customHeight="1">
      <c r="A20" s="80">
        <f>IFERROR(__xludf.DUMMYFUNCTION("""COMPUTED_VALUE"""),19.0)</f>
        <v>19</v>
      </c>
      <c r="B20" s="81">
        <f>IFERROR(__xludf.DUMMYFUNCTION("if(isna(MIN(FILTER(TRECHOS_LONGOS!$F:$F, TRECHOS_LONGOS!$A:$A = $A20))), ""Apenas translado"", MIN(FILTER(TRECHOS_LONGOS!$F:$F, TRECHOS_LONGOS!$A:$A = $A20)))"),46098.0)</f>
        <v>46098</v>
      </c>
      <c r="C20" s="81">
        <f>IFERROR(__xludf.DUMMYFUNCTION("if(isna(max(FILTER(TRECHOS_LONGOS!$F:$F, TRECHOS_LONGOS!$A:$A = $A20))), ""Apenas translado"", MAX(FILTER(TRECHOS_LONGOS!$F:$F, TRECHOS_LONGOS!$A:$A = $A20)))"),46098.0)</f>
        <v>46098</v>
      </c>
      <c r="D20" s="80">
        <f t="shared" si="1"/>
        <v>0</v>
      </c>
      <c r="E20" s="82">
        <f>SUMIF(TRECHOS_LONGOS!$A:$A, $A20, TRECHOS_LONGOS!Y:Y)</f>
        <v>4960.04</v>
      </c>
      <c r="F20" s="82">
        <f>SUMIF(TRANSLADO!A:A, A20, TRANSLADO!J:J)</f>
        <v>0</v>
      </c>
      <c r="G20" s="82">
        <f>SUMIF(HOSPEDAGEM!A:A, A20, HOSPEDAGEM!J:J)</f>
        <v>0</v>
      </c>
      <c r="H20" s="82">
        <f t="shared" si="2"/>
        <v>4960.04</v>
      </c>
      <c r="I20" s="83">
        <f>SUMIF(TRECHOS_LONGOS!$A:$A, $A20, TRECHOS_LONGOS!Z:Z)</f>
        <v>0</v>
      </c>
    </row>
    <row r="21" ht="26.25" customHeight="1">
      <c r="A21" s="80">
        <f>IFERROR(__xludf.DUMMYFUNCTION("""COMPUTED_VALUE"""),20.0)</f>
        <v>20</v>
      </c>
      <c r="B21" s="81">
        <f>IFERROR(__xludf.DUMMYFUNCTION("if(isna(MIN(FILTER(TRECHOS_LONGOS!$F:$F, TRECHOS_LONGOS!$A:$A = $A21))), ""Apenas translado"", MIN(FILTER(TRECHOS_LONGOS!$F:$F, TRECHOS_LONGOS!$A:$A = $A21)))"),46098.0)</f>
        <v>46098</v>
      </c>
      <c r="C21" s="81">
        <f>IFERROR(__xludf.DUMMYFUNCTION("if(isna(max(FILTER(TRECHOS_LONGOS!$F:$F, TRECHOS_LONGOS!$A:$A = $A21))), ""Apenas translado"", MAX(FILTER(TRECHOS_LONGOS!$F:$F, TRECHOS_LONGOS!$A:$A = $A21)))"),46098.0)</f>
        <v>46098</v>
      </c>
      <c r="D21" s="80">
        <f t="shared" si="1"/>
        <v>0</v>
      </c>
      <c r="E21" s="82">
        <f>SUMIF(TRECHOS_LONGOS!$A:$A, $A21, TRECHOS_LONGOS!Y:Y)</f>
        <v>651.68</v>
      </c>
      <c r="F21" s="82">
        <f>SUMIF(TRANSLADO!A:A, A21, TRANSLADO!J:J)</f>
        <v>0</v>
      </c>
      <c r="G21" s="82">
        <f>SUMIF(HOSPEDAGEM!A:A, A21, HOSPEDAGEM!J:J)</f>
        <v>2568.52</v>
      </c>
      <c r="H21" s="82">
        <f t="shared" si="2"/>
        <v>3220.2</v>
      </c>
      <c r="I21" s="83">
        <f>SUMIF(TRECHOS_LONGOS!$A:$A, $A21, TRECHOS_LONGOS!Z:Z)</f>
        <v>265200</v>
      </c>
    </row>
    <row r="22" ht="26.25" customHeight="1">
      <c r="A22" s="80">
        <f>IFERROR(__xludf.DUMMYFUNCTION("""COMPUTED_VALUE"""),21.0)</f>
        <v>21</v>
      </c>
      <c r="B22" s="81">
        <f>IFERROR(__xludf.DUMMYFUNCTION("if(isna(MIN(FILTER(TRECHOS_LONGOS!$F:$F, TRECHOS_LONGOS!$A:$A = $A22))), ""Apenas translado"", MIN(FILTER(TRECHOS_LONGOS!$F:$F, TRECHOS_LONGOS!$A:$A = $A22)))"),46099.0)</f>
        <v>46099</v>
      </c>
      <c r="C22" s="81">
        <f>IFERROR(__xludf.DUMMYFUNCTION("if(isna(max(FILTER(TRECHOS_LONGOS!$F:$F, TRECHOS_LONGOS!$A:$A = $A22))), ""Apenas translado"", MAX(FILTER(TRECHOS_LONGOS!$F:$F, TRECHOS_LONGOS!$A:$A = $A22)))"),46101.0)</f>
        <v>46101</v>
      </c>
      <c r="D22" s="80">
        <f t="shared" si="1"/>
        <v>2</v>
      </c>
      <c r="E22" s="82">
        <f>SUMIF(TRECHOS_LONGOS!$A:$A, $A22, TRECHOS_LONGOS!Y:Y)</f>
        <v>6142</v>
      </c>
      <c r="F22" s="82">
        <f>SUMIF(TRANSLADO!A:A, A22, TRANSLADO!J:J)</f>
        <v>0</v>
      </c>
      <c r="G22" s="82">
        <f>SUMIF(HOSPEDAGEM!A:A, A22, HOSPEDAGEM!J:J)</f>
        <v>576.2</v>
      </c>
      <c r="H22" s="82">
        <f t="shared" si="2"/>
        <v>6718.2</v>
      </c>
      <c r="I22" s="83">
        <f>SUMIF(TRECHOS_LONGOS!$A:$A, $A22, TRECHOS_LONGOS!Z:Z)</f>
        <v>0</v>
      </c>
    </row>
    <row r="23" ht="26.25" customHeight="1">
      <c r="A23" s="80">
        <f>IFERROR(__xludf.DUMMYFUNCTION("""COMPUTED_VALUE"""),22.0)</f>
        <v>22</v>
      </c>
      <c r="B23" s="81">
        <f>IFERROR(__xludf.DUMMYFUNCTION("if(isna(MIN(FILTER(TRECHOS_LONGOS!$F:$F, TRECHOS_LONGOS!$A:$A = $A23))), ""Apenas translado"", MIN(FILTER(TRECHOS_LONGOS!$F:$F, TRECHOS_LONGOS!$A:$A = $A23)))"),46099.0)</f>
        <v>46099</v>
      </c>
      <c r="C23" s="81">
        <f>IFERROR(__xludf.DUMMYFUNCTION("if(isna(max(FILTER(TRECHOS_LONGOS!$F:$F, TRECHOS_LONGOS!$A:$A = $A23))), ""Apenas translado"", MAX(FILTER(TRECHOS_LONGOS!$F:$F, TRECHOS_LONGOS!$A:$A = $A23)))"),46101.0)</f>
        <v>46101</v>
      </c>
      <c r="D23" s="80">
        <f t="shared" si="1"/>
        <v>2</v>
      </c>
      <c r="E23" s="82">
        <f>SUMIF(TRECHOS_LONGOS!$A:$A, $A23, TRECHOS_LONGOS!Y:Y)</f>
        <v>16149.21</v>
      </c>
      <c r="F23" s="82">
        <f>SUMIF(TRANSLADO!A:A, A23, TRANSLADO!J:J)</f>
        <v>0</v>
      </c>
      <c r="G23" s="82">
        <f>SUMIF(HOSPEDAGEM!A:A, A23, HOSPEDAGEM!J:J)</f>
        <v>6463.8</v>
      </c>
      <c r="H23" s="82">
        <f t="shared" si="2"/>
        <v>22613.01</v>
      </c>
      <c r="I23" s="83">
        <f>SUMIF(TRECHOS_LONGOS!$A:$A, $A23, TRECHOS_LONGOS!Z:Z)</f>
        <v>265200</v>
      </c>
    </row>
    <row r="24" ht="26.25" customHeight="1">
      <c r="A24" s="80">
        <f>IFERROR(__xludf.DUMMYFUNCTION("""COMPUTED_VALUE"""),23.0)</f>
        <v>23</v>
      </c>
      <c r="B24" s="81">
        <f>IFERROR(__xludf.DUMMYFUNCTION("if(isna(MIN(FILTER(TRECHOS_LONGOS!$F:$F, TRECHOS_LONGOS!$A:$A = $A24))), ""Apenas translado"", MIN(FILTER(TRECHOS_LONGOS!$F:$F, TRECHOS_LONGOS!$A:$A = $A24)))"),46104.0)</f>
        <v>46104</v>
      </c>
      <c r="C24" s="81">
        <f>IFERROR(__xludf.DUMMYFUNCTION("if(isna(max(FILTER(TRECHOS_LONGOS!$F:$F, TRECHOS_LONGOS!$A:$A = $A24))), ""Apenas translado"", MAX(FILTER(TRECHOS_LONGOS!$F:$F, TRECHOS_LONGOS!$A:$A = $A24)))"),46104.0)</f>
        <v>46104</v>
      </c>
      <c r="D24" s="80">
        <f t="shared" si="1"/>
        <v>0</v>
      </c>
      <c r="E24" s="82">
        <f>SUMIF(TRECHOS_LONGOS!$A:$A, $A24, TRECHOS_LONGOS!Y:Y)</f>
        <v>20329.17</v>
      </c>
      <c r="F24" s="82">
        <f>SUMIF(TRANSLADO!A:A, A24, TRANSLADO!J:J)</f>
        <v>0</v>
      </c>
      <c r="G24" s="82">
        <f>SUMIF(HOSPEDAGEM!A:A, A24, HOSPEDAGEM!J:J)</f>
        <v>0</v>
      </c>
      <c r="H24" s="82">
        <f t="shared" si="2"/>
        <v>20329.17</v>
      </c>
      <c r="I24" s="83">
        <f>SUMIF(TRECHOS_LONGOS!$A:$A, $A24, TRECHOS_LONGOS!Z:Z)</f>
        <v>0</v>
      </c>
    </row>
    <row r="25" ht="26.25" customHeight="1">
      <c r="A25" s="80">
        <f>IFERROR(__xludf.DUMMYFUNCTION("""COMPUTED_VALUE"""),24.0)</f>
        <v>24</v>
      </c>
      <c r="B25" s="81">
        <f>IFERROR(__xludf.DUMMYFUNCTION("if(isna(MIN(FILTER(TRECHOS_LONGOS!$F:$F, TRECHOS_LONGOS!$A:$A = $A25))), ""Apenas translado"", MIN(FILTER(TRECHOS_LONGOS!$F:$F, TRECHOS_LONGOS!$A:$A = $A25)))"),46101.0)</f>
        <v>46101</v>
      </c>
      <c r="C25" s="81">
        <f>IFERROR(__xludf.DUMMYFUNCTION("if(isna(max(FILTER(TRECHOS_LONGOS!$F:$F, TRECHOS_LONGOS!$A:$A = $A25))), ""Apenas translado"", MAX(FILTER(TRECHOS_LONGOS!$F:$F, TRECHOS_LONGOS!$A:$A = $A25)))"),46108.0)</f>
        <v>46108</v>
      </c>
      <c r="D25" s="80">
        <f t="shared" si="1"/>
        <v>7</v>
      </c>
      <c r="E25" s="82">
        <f>SUMIF(TRECHOS_LONGOS!$A:$A, $A25, TRECHOS_LONGOS!Y:Y)</f>
        <v>9037.52</v>
      </c>
      <c r="F25" s="82">
        <f>SUMIF(TRANSLADO!A:A, A25, TRANSLADO!J:J)</f>
        <v>0</v>
      </c>
      <c r="G25" s="82">
        <f>SUMIF(HOSPEDAGEM!A:A, A25, HOSPEDAGEM!J:J)</f>
        <v>0</v>
      </c>
      <c r="H25" s="82">
        <f t="shared" si="2"/>
        <v>9037.52</v>
      </c>
      <c r="I25" s="83">
        <f>SUMIF(TRECHOS_LONGOS!$A:$A, $A25, TRECHOS_LONGOS!Z:Z)</f>
        <v>0</v>
      </c>
    </row>
    <row r="26" ht="26.25" customHeight="1">
      <c r="A26" s="80"/>
      <c r="B26" s="80" t="str">
        <f>IFERROR(__xludf.DUMMYFUNCTION("if(isna(MIN(FILTER(TRECHOS_LONGOS!$F:$F, TRECHOS_LONGOS!$A:$A = $A26))), ""Apenas translado"", MIN(FILTER(TRECHOS_LONGOS!$F:$F, TRECHOS_LONGOS!$A:$A = $A26)))"),"Apenas translado")</f>
        <v>Apenas translado</v>
      </c>
      <c r="C26" s="80" t="str">
        <f>IFERROR(__xludf.DUMMYFUNCTION("if(isna(max(FILTER(TRECHOS_LONGOS!$F:$F, TRECHOS_LONGOS!$A:$A = $A26))), ""Apenas translado"", MAX(FILTER(TRECHOS_LONGOS!$F:$F, TRECHOS_LONGOS!$A:$A = $A26)))"),"Apenas translado")</f>
        <v>Apenas translado</v>
      </c>
      <c r="D26" s="80">
        <f t="shared" si="1"/>
        <v>0</v>
      </c>
      <c r="E26" s="82">
        <f>SUMIF(TRECHOS_LONGOS!$A:$A, $A26, TRECHOS_LONGOS!Y:Y)</f>
        <v>0</v>
      </c>
      <c r="F26" s="82">
        <f>SUMIF(TRANSLADO!A:A, A26, TRANSLADO!J:J)</f>
        <v>0</v>
      </c>
      <c r="G26" s="82">
        <f>SUMIF(HOSPEDAGEM!A:A, A26, HOSPEDAGEM!J:J)</f>
        <v>0</v>
      </c>
      <c r="H26" s="82">
        <f t="shared" si="2"/>
        <v>0</v>
      </c>
      <c r="I26" s="83">
        <f>SUMIF(TRECHOS_LONGOS!$A:$A, $A26, TRECHOS_LONGOS!Z:Z)</f>
        <v>0</v>
      </c>
    </row>
    <row r="27" ht="26.25" customHeight="1">
      <c r="A27" s="80"/>
      <c r="B27" s="80" t="str">
        <f>IFERROR(__xludf.DUMMYFUNCTION("if(isna(MIN(FILTER(TRECHOS_LONGOS!$F:$F, TRECHOS_LONGOS!$A:$A = $A27))), ""Apenas translado"", MIN(FILTER(TRECHOS_LONGOS!$F:$F, TRECHOS_LONGOS!$A:$A = $A27)))"),"Apenas translado")</f>
        <v>Apenas translado</v>
      </c>
      <c r="C27" s="80" t="str">
        <f>IFERROR(__xludf.DUMMYFUNCTION("if(isna(max(FILTER(TRECHOS_LONGOS!$F:$F, TRECHOS_LONGOS!$A:$A = $A27))), ""Apenas translado"", MAX(FILTER(TRECHOS_LONGOS!$F:$F, TRECHOS_LONGOS!$A:$A = $A27)))"),"Apenas translado")</f>
        <v>Apenas translado</v>
      </c>
      <c r="D27" s="80">
        <f t="shared" si="1"/>
        <v>0</v>
      </c>
      <c r="E27" s="82">
        <f>SUMIF(TRECHOS_LONGOS!$A:$A, $A27, TRECHOS_LONGOS!Y:Y)</f>
        <v>0</v>
      </c>
      <c r="F27" s="82">
        <f>SUMIF(TRANSLADO!A:A, A27, TRANSLADO!J:J)</f>
        <v>0</v>
      </c>
      <c r="G27" s="82">
        <f>SUMIF(HOSPEDAGEM!A:A, A27, HOSPEDAGEM!J:J)</f>
        <v>0</v>
      </c>
      <c r="H27" s="82">
        <f t="shared" si="2"/>
        <v>0</v>
      </c>
      <c r="I27" s="83">
        <f>SUMIF(TRECHOS_LONGOS!$A:$A, $A27, TRECHOS_LONGOS!Z:Z)</f>
        <v>0</v>
      </c>
    </row>
    <row r="28" ht="26.25" customHeight="1">
      <c r="A28" s="80"/>
      <c r="B28" s="80" t="str">
        <f>IFERROR(__xludf.DUMMYFUNCTION("if(isna(MIN(FILTER(TRECHOS_LONGOS!$F:$F, TRECHOS_LONGOS!$A:$A = $A28))), ""Apenas translado"", MIN(FILTER(TRECHOS_LONGOS!$F:$F, TRECHOS_LONGOS!$A:$A = $A28)))"),"Apenas translado")</f>
        <v>Apenas translado</v>
      </c>
      <c r="C28" s="80" t="str">
        <f>IFERROR(__xludf.DUMMYFUNCTION("if(isna(max(FILTER(TRECHOS_LONGOS!$F:$F, TRECHOS_LONGOS!$A:$A = $A28))), ""Apenas translado"", MAX(FILTER(TRECHOS_LONGOS!$F:$F, TRECHOS_LONGOS!$A:$A = $A28)))"),"Apenas translado")</f>
        <v>Apenas translado</v>
      </c>
      <c r="D28" s="80">
        <f t="shared" si="1"/>
        <v>0</v>
      </c>
      <c r="E28" s="82">
        <f>SUMIF(TRECHOS_LONGOS!$A:$A, $A28, TRECHOS_LONGOS!Y:Y)</f>
        <v>0</v>
      </c>
      <c r="F28" s="82">
        <f>SUMIF(TRANSLADO!A:A, A28, TRANSLADO!J:J)</f>
        <v>0</v>
      </c>
      <c r="G28" s="82">
        <f>SUMIF(HOSPEDAGEM!A:A, A28, HOSPEDAGEM!J:J)</f>
        <v>0</v>
      </c>
      <c r="H28" s="82">
        <f t="shared" si="2"/>
        <v>0</v>
      </c>
      <c r="I28" s="83">
        <f>SUMIF(TRECHOS_LONGOS!$A:$A, $A28, TRECHOS_LONGOS!Z:Z)</f>
        <v>0</v>
      </c>
    </row>
    <row r="29" ht="26.25" customHeight="1">
      <c r="A29" s="80"/>
      <c r="B29" s="80" t="str">
        <f>IFERROR(__xludf.DUMMYFUNCTION("if(isna(MIN(FILTER(TRECHOS_LONGOS!$F:$F, TRECHOS_LONGOS!$A:$A = $A29))), ""Apenas translado"", MIN(FILTER(TRECHOS_LONGOS!$F:$F, TRECHOS_LONGOS!$A:$A = $A29)))"),"Apenas translado")</f>
        <v>Apenas translado</v>
      </c>
      <c r="C29" s="80" t="str">
        <f>IFERROR(__xludf.DUMMYFUNCTION("if(isna(max(FILTER(TRECHOS_LONGOS!$F:$F, TRECHOS_LONGOS!$A:$A = $A29))), ""Apenas translado"", MAX(FILTER(TRECHOS_LONGOS!$F:$F, TRECHOS_LONGOS!$A:$A = $A29)))"),"Apenas translado")</f>
        <v>Apenas translado</v>
      </c>
      <c r="D29" s="80">
        <f t="shared" si="1"/>
        <v>0</v>
      </c>
      <c r="E29" s="82">
        <f>SUMIF(TRECHOS_LONGOS!$A:$A, $A29, TRECHOS_LONGOS!Y:Y)</f>
        <v>0</v>
      </c>
      <c r="F29" s="82">
        <f>SUMIF(TRANSLADO!A:A, A29, TRANSLADO!J:J)</f>
        <v>0</v>
      </c>
      <c r="G29" s="82">
        <f>SUMIF(HOSPEDAGEM!A:A, A29, HOSPEDAGEM!J:J)</f>
        <v>0</v>
      </c>
      <c r="H29" s="82">
        <f t="shared" si="2"/>
        <v>0</v>
      </c>
      <c r="I29" s="83">
        <f>SUMIF(TRECHOS_LONGOS!$A:$A, $A29, TRECHOS_LONGOS!Z:Z)</f>
        <v>0</v>
      </c>
    </row>
    <row r="30" ht="26.25" customHeight="1">
      <c r="A30" s="80"/>
      <c r="B30" s="80" t="str">
        <f>IFERROR(__xludf.DUMMYFUNCTION("if(isna(MIN(FILTER(TRECHOS_LONGOS!$F:$F, TRECHOS_LONGOS!$A:$A = $A30))), ""Apenas translado"", MIN(FILTER(TRECHOS_LONGOS!$F:$F, TRECHOS_LONGOS!$A:$A = $A30)))"),"Apenas translado")</f>
        <v>Apenas translado</v>
      </c>
      <c r="C30" s="80" t="str">
        <f>IFERROR(__xludf.DUMMYFUNCTION("if(isna(max(FILTER(TRECHOS_LONGOS!$F:$F, TRECHOS_LONGOS!$A:$A = $A30))), ""Apenas translado"", MAX(FILTER(TRECHOS_LONGOS!$F:$F, TRECHOS_LONGOS!$A:$A = $A30)))"),"Apenas translado")</f>
        <v>Apenas translado</v>
      </c>
      <c r="D30" s="80">
        <f t="shared" si="1"/>
        <v>0</v>
      </c>
      <c r="E30" s="82">
        <f>SUMIF(TRECHOS_LONGOS!$A:$A, $A30, TRECHOS_LONGOS!Y:Y)</f>
        <v>0</v>
      </c>
      <c r="F30" s="82">
        <f>SUMIF(TRANSLADO!A:A, A30, TRANSLADO!J:J)</f>
        <v>0</v>
      </c>
      <c r="G30" s="82">
        <f>SUMIF(HOSPEDAGEM!A:A, A30, HOSPEDAGEM!J:J)</f>
        <v>0</v>
      </c>
      <c r="H30" s="82">
        <f t="shared" si="2"/>
        <v>0</v>
      </c>
      <c r="I30" s="83">
        <f>SUMIF(TRECHOS_LONGOS!$A:$A, $A30, TRECHOS_LONGOS!Z:Z)</f>
        <v>0</v>
      </c>
    </row>
    <row r="31" ht="26.25" customHeight="1">
      <c r="A31" s="80"/>
      <c r="B31" s="80" t="str">
        <f>IFERROR(__xludf.DUMMYFUNCTION("if(isna(MIN(FILTER(TRECHOS_LONGOS!$F:$F, TRECHOS_LONGOS!$A:$A = $A31))), ""Apenas translado"", MIN(FILTER(TRECHOS_LONGOS!$F:$F, TRECHOS_LONGOS!$A:$A = $A31)))"),"Apenas translado")</f>
        <v>Apenas translado</v>
      </c>
      <c r="C31" s="80" t="str">
        <f>IFERROR(__xludf.DUMMYFUNCTION("if(isna(max(FILTER(TRECHOS_LONGOS!$F:$F, TRECHOS_LONGOS!$A:$A = $A31))), ""Apenas translado"", MAX(FILTER(TRECHOS_LONGOS!$F:$F, TRECHOS_LONGOS!$A:$A = $A31)))"),"Apenas translado")</f>
        <v>Apenas translado</v>
      </c>
      <c r="D31" s="80">
        <f t="shared" si="1"/>
        <v>0</v>
      </c>
      <c r="E31" s="82">
        <f>SUMIF(TRECHOS_LONGOS!$A:$A, $A31, TRECHOS_LONGOS!Y:Y)</f>
        <v>0</v>
      </c>
      <c r="F31" s="82">
        <f>SUMIF(TRANSLADO!A:A, A31, TRANSLADO!J:J)</f>
        <v>0</v>
      </c>
      <c r="G31" s="82">
        <f>SUMIF(HOSPEDAGEM!A:A, A31, HOSPEDAGEM!J:J)</f>
        <v>0</v>
      </c>
      <c r="H31" s="82">
        <f t="shared" si="2"/>
        <v>0</v>
      </c>
      <c r="I31" s="83">
        <f>SUMIF(TRECHOS_LONGOS!$A:$A, $A31, TRECHOS_LONGOS!Z:Z)</f>
        <v>0</v>
      </c>
    </row>
    <row r="32" ht="26.25" customHeight="1">
      <c r="A32" s="80"/>
      <c r="B32" s="80" t="str">
        <f>IFERROR(__xludf.DUMMYFUNCTION("if(isna(MIN(FILTER(TRECHOS_LONGOS!$F:$F, TRECHOS_LONGOS!$A:$A = $A32))), ""Apenas translado"", MIN(FILTER(TRECHOS_LONGOS!$F:$F, TRECHOS_LONGOS!$A:$A = $A32)))"),"Apenas translado")</f>
        <v>Apenas translado</v>
      </c>
      <c r="C32" s="80" t="str">
        <f>IFERROR(__xludf.DUMMYFUNCTION("if(isna(max(FILTER(TRECHOS_LONGOS!$F:$F, TRECHOS_LONGOS!$A:$A = $A32))), ""Apenas translado"", MAX(FILTER(TRECHOS_LONGOS!$F:$F, TRECHOS_LONGOS!$A:$A = $A32)))"),"Apenas translado")</f>
        <v>Apenas translado</v>
      </c>
      <c r="D32" s="80">
        <f t="shared" si="1"/>
        <v>0</v>
      </c>
      <c r="E32" s="82">
        <f>SUMIF(TRECHOS_LONGOS!$A:$A, $A32, TRECHOS_LONGOS!Y:Y)</f>
        <v>0</v>
      </c>
      <c r="F32" s="82">
        <f>SUMIF(TRANSLADO!A:A, A32, TRANSLADO!J:J)</f>
        <v>0</v>
      </c>
      <c r="G32" s="82">
        <f>SUMIF(HOSPEDAGEM!A:A, A32, HOSPEDAGEM!J:J)</f>
        <v>0</v>
      </c>
      <c r="H32" s="82">
        <f t="shared" si="2"/>
        <v>0</v>
      </c>
      <c r="I32" s="83">
        <f>SUMIF(TRECHOS_LONGOS!$A:$A, $A32, TRECHOS_LONGOS!Z:Z)</f>
        <v>0</v>
      </c>
    </row>
    <row r="33" ht="26.25" customHeight="1">
      <c r="A33" s="80"/>
      <c r="B33" s="80" t="str">
        <f>IFERROR(__xludf.DUMMYFUNCTION("if(isna(MIN(FILTER(TRECHOS_LONGOS!$F:$F, TRECHOS_LONGOS!$A:$A = $A33))), ""Apenas translado"", MIN(FILTER(TRECHOS_LONGOS!$F:$F, TRECHOS_LONGOS!$A:$A = $A33)))"),"Apenas translado")</f>
        <v>Apenas translado</v>
      </c>
      <c r="C33" s="80" t="str">
        <f>IFERROR(__xludf.DUMMYFUNCTION("if(isna(max(FILTER(TRECHOS_LONGOS!$F:$F, TRECHOS_LONGOS!$A:$A = $A33))), ""Apenas translado"", MAX(FILTER(TRECHOS_LONGOS!$F:$F, TRECHOS_LONGOS!$A:$A = $A33)))"),"Apenas translado")</f>
        <v>Apenas translado</v>
      </c>
      <c r="D33" s="80">
        <f t="shared" si="1"/>
        <v>0</v>
      </c>
      <c r="E33" s="82">
        <f>SUMIF(TRECHOS_LONGOS!$A:$A, $A33, TRECHOS_LONGOS!Y:Y)</f>
        <v>0</v>
      </c>
      <c r="F33" s="82">
        <f>SUMIF(TRANSLADO!A:A, A33, TRANSLADO!J:J)</f>
        <v>0</v>
      </c>
      <c r="G33" s="82">
        <f>SUMIF(HOSPEDAGEM!A:A, A33, HOSPEDAGEM!J:J)</f>
        <v>0</v>
      </c>
      <c r="H33" s="82">
        <f t="shared" si="2"/>
        <v>0</v>
      </c>
      <c r="I33" s="83">
        <f>SUMIF(TRECHOS_LONGOS!$A:$A, $A33, TRECHOS_LONGOS!Z:Z)</f>
        <v>0</v>
      </c>
    </row>
    <row r="34" ht="26.25" customHeight="1">
      <c r="A34" s="80"/>
      <c r="B34" s="80" t="str">
        <f>IFERROR(__xludf.DUMMYFUNCTION("if(isna(MIN(FILTER(TRECHOS_LONGOS!$F:$F, TRECHOS_LONGOS!$A:$A = $A34))), ""Apenas translado"", MIN(FILTER(TRECHOS_LONGOS!$F:$F, TRECHOS_LONGOS!$A:$A = $A34)))"),"Apenas translado")</f>
        <v>Apenas translado</v>
      </c>
      <c r="C34" s="80" t="str">
        <f>IFERROR(__xludf.DUMMYFUNCTION("if(isna(max(FILTER(TRECHOS_LONGOS!$F:$F, TRECHOS_LONGOS!$A:$A = $A34))), ""Apenas translado"", MAX(FILTER(TRECHOS_LONGOS!$F:$F, TRECHOS_LONGOS!$A:$A = $A34)))"),"Apenas translado")</f>
        <v>Apenas translado</v>
      </c>
      <c r="D34" s="80">
        <f t="shared" si="1"/>
        <v>0</v>
      </c>
      <c r="E34" s="82">
        <f>SUMIF(TRECHOS_LONGOS!$A:$A, $A34, TRECHOS_LONGOS!Y:Y)</f>
        <v>0</v>
      </c>
      <c r="F34" s="82">
        <f>SUMIF(TRANSLADO!A:A, A34, TRANSLADO!J:J)</f>
        <v>0</v>
      </c>
      <c r="G34" s="82">
        <f>SUMIF(HOSPEDAGEM!A:A, A34, HOSPEDAGEM!J:J)</f>
        <v>0</v>
      </c>
      <c r="H34" s="82">
        <f t="shared" si="2"/>
        <v>0</v>
      </c>
      <c r="I34" s="83">
        <f>SUMIF(TRECHOS_LONGOS!$A:$A, $A34, TRECHOS_LONGOS!Z:Z)</f>
        <v>0</v>
      </c>
    </row>
    <row r="35" ht="26.25" customHeight="1">
      <c r="A35" s="80"/>
      <c r="B35" s="80" t="str">
        <f>IFERROR(__xludf.DUMMYFUNCTION("if(isna(MIN(FILTER(TRECHOS_LONGOS!$F:$F, TRECHOS_LONGOS!$A:$A = $A35))), ""Apenas translado"", MIN(FILTER(TRECHOS_LONGOS!$F:$F, TRECHOS_LONGOS!$A:$A = $A35)))"),"Apenas translado")</f>
        <v>Apenas translado</v>
      </c>
      <c r="C35" s="80" t="str">
        <f>IFERROR(__xludf.DUMMYFUNCTION("if(isna(max(FILTER(TRECHOS_LONGOS!$F:$F, TRECHOS_LONGOS!$A:$A = $A35))), ""Apenas translado"", MAX(FILTER(TRECHOS_LONGOS!$F:$F, TRECHOS_LONGOS!$A:$A = $A35)))"),"Apenas translado")</f>
        <v>Apenas translado</v>
      </c>
      <c r="D35" s="80">
        <f t="shared" si="1"/>
        <v>0</v>
      </c>
      <c r="E35" s="82">
        <f>SUMIF(TRECHOS_LONGOS!$A:$A, $A35, TRECHOS_LONGOS!Y:Y)</f>
        <v>0</v>
      </c>
      <c r="F35" s="82">
        <f>SUMIF(TRANSLADO!A:A, A35, TRANSLADO!J:J)</f>
        <v>0</v>
      </c>
      <c r="G35" s="82">
        <f>SUMIF(HOSPEDAGEM!A:A, A35, HOSPEDAGEM!J:J)</f>
        <v>0</v>
      </c>
      <c r="H35" s="82">
        <f t="shared" si="2"/>
        <v>0</v>
      </c>
      <c r="I35" s="83">
        <f>SUMIF(TRECHOS_LONGOS!$A:$A, $A35, TRECHOS_LONGOS!Z:Z)</f>
        <v>0</v>
      </c>
    </row>
    <row r="36" ht="26.25" customHeight="1">
      <c r="A36" s="80"/>
      <c r="B36" s="80" t="str">
        <f>IFERROR(__xludf.DUMMYFUNCTION("if(isna(MIN(FILTER(TRECHOS_LONGOS!$F:$F, TRECHOS_LONGOS!$A:$A = $A36))), ""Apenas translado"", MIN(FILTER(TRECHOS_LONGOS!$F:$F, TRECHOS_LONGOS!$A:$A = $A36)))"),"Apenas translado")</f>
        <v>Apenas translado</v>
      </c>
      <c r="C36" s="80" t="str">
        <f>IFERROR(__xludf.DUMMYFUNCTION("if(isna(max(FILTER(TRECHOS_LONGOS!$F:$F, TRECHOS_LONGOS!$A:$A = $A36))), ""Apenas translado"", MAX(FILTER(TRECHOS_LONGOS!$F:$F, TRECHOS_LONGOS!$A:$A = $A36)))"),"Apenas translado")</f>
        <v>Apenas translado</v>
      </c>
      <c r="D36" s="80">
        <f t="shared" si="1"/>
        <v>0</v>
      </c>
      <c r="E36" s="82">
        <f>SUMIF(TRECHOS_LONGOS!$A:$A, $A36, TRECHOS_LONGOS!Y:Y)</f>
        <v>0</v>
      </c>
      <c r="F36" s="82">
        <f>SUMIF(TRANSLADO!A:A, A36, TRANSLADO!J:J)</f>
        <v>0</v>
      </c>
      <c r="G36" s="82">
        <f>SUMIF(HOSPEDAGEM!A:A, A36, HOSPEDAGEM!J:J)</f>
        <v>0</v>
      </c>
      <c r="H36" s="82">
        <f t="shared" si="2"/>
        <v>0</v>
      </c>
      <c r="I36" s="83">
        <f>SUMIF(TRECHOS_LONGOS!$A:$A, $A36, TRECHOS_LONGOS!Z:Z)</f>
        <v>0</v>
      </c>
    </row>
    <row r="37" ht="26.25" customHeight="1">
      <c r="A37" s="80"/>
      <c r="B37" s="80" t="str">
        <f>IFERROR(__xludf.DUMMYFUNCTION("if(isna(MIN(FILTER(TRECHOS_LONGOS!$F:$F, TRECHOS_LONGOS!$A:$A = $A37))), ""Apenas translado"", MIN(FILTER(TRECHOS_LONGOS!$F:$F, TRECHOS_LONGOS!$A:$A = $A37)))"),"Apenas translado")</f>
        <v>Apenas translado</v>
      </c>
      <c r="C37" s="80" t="str">
        <f>IFERROR(__xludf.DUMMYFUNCTION("if(isna(max(FILTER(TRECHOS_LONGOS!$F:$F, TRECHOS_LONGOS!$A:$A = $A37))), ""Apenas translado"", MAX(FILTER(TRECHOS_LONGOS!$F:$F, TRECHOS_LONGOS!$A:$A = $A37)))"),"Apenas translado")</f>
        <v>Apenas translado</v>
      </c>
      <c r="D37" s="80">
        <f t="shared" si="1"/>
        <v>0</v>
      </c>
      <c r="E37" s="82">
        <f>SUMIF(TRECHOS_LONGOS!$A:$A, $A37, TRECHOS_LONGOS!Y:Y)</f>
        <v>0</v>
      </c>
      <c r="F37" s="82">
        <f>SUMIF(TRANSLADO!A:A, A37, TRANSLADO!J:J)</f>
        <v>0</v>
      </c>
      <c r="G37" s="82">
        <f>SUMIF(HOSPEDAGEM!A:A, A37, HOSPEDAGEM!J:J)</f>
        <v>0</v>
      </c>
      <c r="H37" s="82">
        <f t="shared" si="2"/>
        <v>0</v>
      </c>
      <c r="I37" s="83">
        <f>SUMIF(TRECHOS_LONGOS!$A:$A, $A37, TRECHOS_LONGOS!Z:Z)</f>
        <v>0</v>
      </c>
    </row>
    <row r="38" ht="26.25" customHeight="1">
      <c r="A38" s="80"/>
      <c r="B38" s="80" t="str">
        <f>IFERROR(__xludf.DUMMYFUNCTION("if(isna(MIN(FILTER(TRECHOS_LONGOS!$F:$F, TRECHOS_LONGOS!$A:$A = $A38))), ""Apenas translado"", MIN(FILTER(TRECHOS_LONGOS!$F:$F, TRECHOS_LONGOS!$A:$A = $A38)))"),"Apenas translado")</f>
        <v>Apenas translado</v>
      </c>
      <c r="C38" s="80" t="str">
        <f>IFERROR(__xludf.DUMMYFUNCTION("if(isna(max(FILTER(TRECHOS_LONGOS!$F:$F, TRECHOS_LONGOS!$A:$A = $A38))), ""Apenas translado"", MAX(FILTER(TRECHOS_LONGOS!$F:$F, TRECHOS_LONGOS!$A:$A = $A38)))"),"Apenas translado")</f>
        <v>Apenas translado</v>
      </c>
      <c r="D38" s="80">
        <f t="shared" si="1"/>
        <v>0</v>
      </c>
      <c r="E38" s="82">
        <f>SUMIF(TRECHOS_LONGOS!$A:$A, $A38, TRECHOS_LONGOS!Y:Y)</f>
        <v>0</v>
      </c>
      <c r="F38" s="82">
        <f>SUMIF(TRANSLADO!A:A, A38, TRANSLADO!J:J)</f>
        <v>0</v>
      </c>
      <c r="G38" s="82">
        <f>SUMIF(HOSPEDAGEM!A:A, A38, HOSPEDAGEM!J:J)</f>
        <v>0</v>
      </c>
      <c r="H38" s="82">
        <f t="shared" si="2"/>
        <v>0</v>
      </c>
      <c r="I38" s="83">
        <f>SUMIF(TRECHOS_LONGOS!$A:$A, $A38, TRECHOS_LONGOS!Z:Z)</f>
        <v>0</v>
      </c>
    </row>
    <row r="39" ht="26.25" customHeight="1">
      <c r="A39" s="80"/>
      <c r="B39" s="80" t="str">
        <f>IFERROR(__xludf.DUMMYFUNCTION("if(isna(MIN(FILTER(TRECHOS_LONGOS!$F:$F, TRECHOS_LONGOS!$A:$A = $A39))), ""Apenas translado"", MIN(FILTER(TRECHOS_LONGOS!$F:$F, TRECHOS_LONGOS!$A:$A = $A39)))"),"Apenas translado")</f>
        <v>Apenas translado</v>
      </c>
      <c r="C39" s="80" t="str">
        <f>IFERROR(__xludf.DUMMYFUNCTION("if(isna(max(FILTER(TRECHOS_LONGOS!$F:$F, TRECHOS_LONGOS!$A:$A = $A39))), ""Apenas translado"", MAX(FILTER(TRECHOS_LONGOS!$F:$F, TRECHOS_LONGOS!$A:$A = $A39)))"),"Apenas translado")</f>
        <v>Apenas translado</v>
      </c>
      <c r="D39" s="80">
        <f t="shared" si="1"/>
        <v>0</v>
      </c>
      <c r="E39" s="82">
        <f>SUMIF(TRECHOS_LONGOS!$A:$A, $A39, TRECHOS_LONGOS!Y:Y)</f>
        <v>0</v>
      </c>
      <c r="F39" s="82">
        <f>SUMIF(TRANSLADO!A:A, A39, TRANSLADO!J:J)</f>
        <v>0</v>
      </c>
      <c r="G39" s="82">
        <f>SUMIF(HOSPEDAGEM!A:A, A39, HOSPEDAGEM!J:J)</f>
        <v>0</v>
      </c>
      <c r="H39" s="82">
        <f t="shared" si="2"/>
        <v>0</v>
      </c>
      <c r="I39" s="83">
        <f>SUMIF(TRECHOS_LONGOS!$A:$A, $A39, TRECHOS_LONGOS!Z:Z)</f>
        <v>0</v>
      </c>
    </row>
    <row r="40" ht="26.25" customHeight="1">
      <c r="A40" s="80"/>
      <c r="B40" s="80" t="str">
        <f>IFERROR(__xludf.DUMMYFUNCTION("if(isna(MIN(FILTER(TRECHOS_LONGOS!$F:$F, TRECHOS_LONGOS!$A:$A = $A40))), ""Apenas translado"", MIN(FILTER(TRECHOS_LONGOS!$F:$F, TRECHOS_LONGOS!$A:$A = $A40)))"),"Apenas translado")</f>
        <v>Apenas translado</v>
      </c>
      <c r="C40" s="80" t="str">
        <f>IFERROR(__xludf.DUMMYFUNCTION("if(isna(max(FILTER(TRECHOS_LONGOS!$F:$F, TRECHOS_LONGOS!$A:$A = $A40))), ""Apenas translado"", MAX(FILTER(TRECHOS_LONGOS!$F:$F, TRECHOS_LONGOS!$A:$A = $A40)))"),"Apenas translado")</f>
        <v>Apenas translado</v>
      </c>
      <c r="D40" s="80">
        <f t="shared" si="1"/>
        <v>0</v>
      </c>
      <c r="E40" s="82">
        <f>SUMIF(TRECHOS_LONGOS!$A:$A, $A40, TRECHOS_LONGOS!Y:Y)</f>
        <v>0</v>
      </c>
      <c r="F40" s="82">
        <f>SUMIF(TRANSLADO!A:A, A40, TRANSLADO!J:J)</f>
        <v>0</v>
      </c>
      <c r="G40" s="82">
        <f>SUMIF(HOSPEDAGEM!A:A, A40, HOSPEDAGEM!J:J)</f>
        <v>0</v>
      </c>
      <c r="H40" s="82">
        <f t="shared" si="2"/>
        <v>0</v>
      </c>
      <c r="I40" s="83">
        <f>SUMIF(TRECHOS_LONGOS!$A:$A, $A40, TRECHOS_LONGOS!Z:Z)</f>
        <v>0</v>
      </c>
    </row>
    <row r="41" ht="26.25" customHeight="1">
      <c r="A41" s="80"/>
      <c r="B41" s="80" t="str">
        <f>IFERROR(__xludf.DUMMYFUNCTION("if(isna(MIN(FILTER(TRECHOS_LONGOS!$F:$F, TRECHOS_LONGOS!$A:$A = $A41))), ""Apenas translado"", MIN(FILTER(TRECHOS_LONGOS!$F:$F, TRECHOS_LONGOS!$A:$A = $A41)))"),"Apenas translado")</f>
        <v>Apenas translado</v>
      </c>
      <c r="C41" s="80" t="str">
        <f>IFERROR(__xludf.DUMMYFUNCTION("if(isna(max(FILTER(TRECHOS_LONGOS!$F:$F, TRECHOS_LONGOS!$A:$A = $A41))), ""Apenas translado"", MAX(FILTER(TRECHOS_LONGOS!$F:$F, TRECHOS_LONGOS!$A:$A = $A41)))"),"Apenas translado")</f>
        <v>Apenas translado</v>
      </c>
      <c r="D41" s="80">
        <f t="shared" si="1"/>
        <v>0</v>
      </c>
      <c r="E41" s="82">
        <f>SUMIF(TRECHOS_LONGOS!$A:$A, $A41, TRECHOS_LONGOS!Y:Y)</f>
        <v>0</v>
      </c>
      <c r="F41" s="82">
        <f>SUMIF(TRANSLADO!A:A, A41, TRANSLADO!J:J)</f>
        <v>0</v>
      </c>
      <c r="G41" s="82">
        <f>SUMIF(HOSPEDAGEM!A:A, A41, HOSPEDAGEM!J:J)</f>
        <v>0</v>
      </c>
      <c r="H41" s="82">
        <f t="shared" si="2"/>
        <v>0</v>
      </c>
      <c r="I41" s="83">
        <f>SUMIF(TRECHOS_LONGOS!$A:$A, $A41, TRECHOS_LONGOS!Z:Z)</f>
        <v>0</v>
      </c>
    </row>
    <row r="42" ht="26.25" customHeight="1">
      <c r="A42" s="80"/>
      <c r="B42" s="80" t="str">
        <f>IFERROR(__xludf.DUMMYFUNCTION("if(isna(MIN(FILTER(TRECHOS_LONGOS!$F:$F, TRECHOS_LONGOS!$A:$A = $A42))), ""Apenas translado"", MIN(FILTER(TRECHOS_LONGOS!$F:$F, TRECHOS_LONGOS!$A:$A = $A42)))"),"Apenas translado")</f>
        <v>Apenas translado</v>
      </c>
      <c r="C42" s="80" t="str">
        <f>IFERROR(__xludf.DUMMYFUNCTION("if(isna(max(FILTER(TRECHOS_LONGOS!$F:$F, TRECHOS_LONGOS!$A:$A = $A42))), ""Apenas translado"", MAX(FILTER(TRECHOS_LONGOS!$F:$F, TRECHOS_LONGOS!$A:$A = $A42)))"),"Apenas translado")</f>
        <v>Apenas translado</v>
      </c>
      <c r="D42" s="80">
        <f t="shared" si="1"/>
        <v>0</v>
      </c>
      <c r="E42" s="82">
        <f>SUMIF(TRECHOS_LONGOS!$A:$A, $A42, TRECHOS_LONGOS!Y:Y)</f>
        <v>0</v>
      </c>
      <c r="F42" s="82">
        <f>SUMIF(TRANSLADO!A:A, A42, TRANSLADO!J:J)</f>
        <v>0</v>
      </c>
      <c r="G42" s="82">
        <f>SUMIF(HOSPEDAGEM!A:A, A42, HOSPEDAGEM!J:J)</f>
        <v>0</v>
      </c>
      <c r="H42" s="82">
        <f t="shared" si="2"/>
        <v>0</v>
      </c>
      <c r="I42" s="83">
        <f>SUMIF(TRECHOS_LONGOS!$A:$A, $A42, TRECHOS_LONGOS!Z:Z)</f>
        <v>0</v>
      </c>
    </row>
    <row r="43" ht="26.25" customHeight="1">
      <c r="A43" s="80"/>
      <c r="B43" s="80" t="str">
        <f>IFERROR(__xludf.DUMMYFUNCTION("if(isna(MIN(FILTER(TRECHOS_LONGOS!$F:$F, TRECHOS_LONGOS!$A:$A = $A43))), ""Apenas translado"", MIN(FILTER(TRECHOS_LONGOS!$F:$F, TRECHOS_LONGOS!$A:$A = $A43)))"),"Apenas translado")</f>
        <v>Apenas translado</v>
      </c>
      <c r="C43" s="80" t="str">
        <f>IFERROR(__xludf.DUMMYFUNCTION("if(isna(max(FILTER(TRECHOS_LONGOS!$F:$F, TRECHOS_LONGOS!$A:$A = $A43))), ""Apenas translado"", MAX(FILTER(TRECHOS_LONGOS!$F:$F, TRECHOS_LONGOS!$A:$A = $A43)))"),"Apenas translado")</f>
        <v>Apenas translado</v>
      </c>
      <c r="D43" s="80">
        <f t="shared" si="1"/>
        <v>0</v>
      </c>
      <c r="E43" s="82">
        <f>SUMIF(TRECHOS_LONGOS!$A:$A, $A43, TRECHOS_LONGOS!Y:Y)</f>
        <v>0</v>
      </c>
      <c r="F43" s="82">
        <f>SUMIF(TRANSLADO!A:A, A43, TRANSLADO!J:J)</f>
        <v>0</v>
      </c>
      <c r="G43" s="82">
        <f>SUMIF(HOSPEDAGEM!A:A, A43, HOSPEDAGEM!J:J)</f>
        <v>0</v>
      </c>
      <c r="H43" s="82">
        <f t="shared" si="2"/>
        <v>0</v>
      </c>
      <c r="I43" s="83">
        <f>SUMIF(TRECHOS_LONGOS!$A:$A, $A43, TRECHOS_LONGOS!Z:Z)</f>
        <v>0</v>
      </c>
    </row>
    <row r="44" ht="26.25" customHeight="1">
      <c r="A44" s="80"/>
      <c r="B44" s="80" t="str">
        <f>IFERROR(__xludf.DUMMYFUNCTION("if(isna(MIN(FILTER(TRECHOS_LONGOS!$F:$F, TRECHOS_LONGOS!$A:$A = $A44))), ""Apenas translado"", MIN(FILTER(TRECHOS_LONGOS!$F:$F, TRECHOS_LONGOS!$A:$A = $A44)))"),"Apenas translado")</f>
        <v>Apenas translado</v>
      </c>
      <c r="C44" s="80" t="str">
        <f>IFERROR(__xludf.DUMMYFUNCTION("if(isna(max(FILTER(TRECHOS_LONGOS!$F:$F, TRECHOS_LONGOS!$A:$A = $A44))), ""Apenas translado"", MAX(FILTER(TRECHOS_LONGOS!$F:$F, TRECHOS_LONGOS!$A:$A = $A44)))"),"Apenas translado")</f>
        <v>Apenas translado</v>
      </c>
      <c r="D44" s="80">
        <f t="shared" si="1"/>
        <v>0</v>
      </c>
      <c r="E44" s="82">
        <f>SUMIF(TRECHOS_LONGOS!$A:$A, $A44, TRECHOS_LONGOS!Y:Y)</f>
        <v>0</v>
      </c>
      <c r="F44" s="82">
        <f>SUMIF(TRANSLADO!A:A, A44, TRANSLADO!J:J)</f>
        <v>0</v>
      </c>
      <c r="G44" s="82">
        <f>SUMIF(HOSPEDAGEM!A:A, A44, HOSPEDAGEM!J:J)</f>
        <v>0</v>
      </c>
      <c r="H44" s="82">
        <f t="shared" si="2"/>
        <v>0</v>
      </c>
      <c r="I44" s="83">
        <f>SUMIF(TRECHOS_LONGOS!$A:$A, $A44, TRECHOS_LONGOS!Z:Z)</f>
        <v>0</v>
      </c>
    </row>
    <row r="45" ht="26.25" customHeight="1">
      <c r="A45" s="80"/>
      <c r="B45" s="80" t="str">
        <f>IFERROR(__xludf.DUMMYFUNCTION("if(isna(MIN(FILTER(TRECHOS_LONGOS!$F:$F, TRECHOS_LONGOS!$A:$A = $A45))), ""Apenas translado"", MIN(FILTER(TRECHOS_LONGOS!$F:$F, TRECHOS_LONGOS!$A:$A = $A45)))"),"Apenas translado")</f>
        <v>Apenas translado</v>
      </c>
      <c r="C45" s="80" t="str">
        <f>IFERROR(__xludf.DUMMYFUNCTION("if(isna(max(FILTER(TRECHOS_LONGOS!$F:$F, TRECHOS_LONGOS!$A:$A = $A45))), ""Apenas translado"", MAX(FILTER(TRECHOS_LONGOS!$F:$F, TRECHOS_LONGOS!$A:$A = $A45)))"),"Apenas translado")</f>
        <v>Apenas translado</v>
      </c>
      <c r="D45" s="80">
        <f t="shared" si="1"/>
        <v>0</v>
      </c>
      <c r="E45" s="82">
        <f>SUMIF(TRECHOS_LONGOS!$A:$A, $A45, TRECHOS_LONGOS!Y:Y)</f>
        <v>0</v>
      </c>
      <c r="F45" s="82">
        <f>SUMIF(TRANSLADO!A:A, A45, TRANSLADO!J:J)</f>
        <v>0</v>
      </c>
      <c r="G45" s="82">
        <f>SUMIF(HOSPEDAGEM!A:A, A45, HOSPEDAGEM!J:J)</f>
        <v>0</v>
      </c>
      <c r="H45" s="82">
        <f t="shared" si="2"/>
        <v>0</v>
      </c>
      <c r="I45" s="83">
        <f>SUMIF(TRECHOS_LONGOS!$A:$A, $A45, TRECHOS_LONGOS!Z:Z)</f>
        <v>0</v>
      </c>
    </row>
    <row r="46" ht="26.25" customHeight="1">
      <c r="A46" s="80"/>
      <c r="B46" s="80" t="str">
        <f>IFERROR(__xludf.DUMMYFUNCTION("if(isna(MIN(FILTER(TRECHOS_LONGOS!$F:$F, TRECHOS_LONGOS!$A:$A = $A46))), ""Apenas translado"", MIN(FILTER(TRECHOS_LONGOS!$F:$F, TRECHOS_LONGOS!$A:$A = $A46)))"),"Apenas translado")</f>
        <v>Apenas translado</v>
      </c>
      <c r="C46" s="80" t="str">
        <f>IFERROR(__xludf.DUMMYFUNCTION("if(isna(max(FILTER(TRECHOS_LONGOS!$F:$F, TRECHOS_LONGOS!$A:$A = $A46))), ""Apenas translado"", MAX(FILTER(TRECHOS_LONGOS!$F:$F, TRECHOS_LONGOS!$A:$A = $A46)))"),"Apenas translado")</f>
        <v>Apenas translado</v>
      </c>
      <c r="D46" s="80">
        <f t="shared" si="1"/>
        <v>0</v>
      </c>
      <c r="E46" s="82">
        <f>SUMIF(TRECHOS_LONGOS!$A:$A, $A46, TRECHOS_LONGOS!Y:Y)</f>
        <v>0</v>
      </c>
      <c r="F46" s="82">
        <f>SUMIF(TRANSLADO!A:A, A46, TRANSLADO!J:J)</f>
        <v>0</v>
      </c>
      <c r="G46" s="82">
        <f>SUMIF(HOSPEDAGEM!A:A, A46, HOSPEDAGEM!J:J)</f>
        <v>0</v>
      </c>
      <c r="H46" s="82">
        <f t="shared" si="2"/>
        <v>0</v>
      </c>
      <c r="I46" s="83">
        <f>SUMIF(TRECHOS_LONGOS!$A:$A, $A46, TRECHOS_LONGOS!Z:Z)</f>
        <v>0</v>
      </c>
    </row>
    <row r="47" ht="26.25" customHeight="1">
      <c r="A47" s="80"/>
      <c r="B47" s="80" t="str">
        <f>IFERROR(__xludf.DUMMYFUNCTION("if(isna(MIN(FILTER(TRECHOS_LONGOS!$F:$F, TRECHOS_LONGOS!$A:$A = $A47))), ""Apenas translado"", MIN(FILTER(TRECHOS_LONGOS!$F:$F, TRECHOS_LONGOS!$A:$A = $A47)))"),"Apenas translado")</f>
        <v>Apenas translado</v>
      </c>
      <c r="C47" s="80" t="str">
        <f>IFERROR(__xludf.DUMMYFUNCTION("if(isna(max(FILTER(TRECHOS_LONGOS!$F:$F, TRECHOS_LONGOS!$A:$A = $A47))), ""Apenas translado"", MAX(FILTER(TRECHOS_LONGOS!$F:$F, TRECHOS_LONGOS!$A:$A = $A47)))"),"Apenas translado")</f>
        <v>Apenas translado</v>
      </c>
      <c r="D47" s="80">
        <f t="shared" si="1"/>
        <v>0</v>
      </c>
      <c r="E47" s="82">
        <f>SUMIF(TRECHOS_LONGOS!$A:$A, $A47, TRECHOS_LONGOS!Y:Y)</f>
        <v>0</v>
      </c>
      <c r="F47" s="82">
        <f>SUMIF(TRANSLADO!A:A, A47, TRANSLADO!J:J)</f>
        <v>0</v>
      </c>
      <c r="G47" s="82">
        <f>SUMIF(HOSPEDAGEM!A:A, A47, HOSPEDAGEM!J:J)</f>
        <v>0</v>
      </c>
      <c r="H47" s="82">
        <f t="shared" si="2"/>
        <v>0</v>
      </c>
      <c r="I47" s="83">
        <f>SUMIF(TRECHOS_LONGOS!$A:$A, $A47, TRECHOS_LONGOS!Z:Z)</f>
        <v>0</v>
      </c>
    </row>
    <row r="48" ht="26.25" customHeight="1">
      <c r="A48" s="80"/>
      <c r="B48" s="80" t="str">
        <f>IFERROR(__xludf.DUMMYFUNCTION("if(isna(MIN(FILTER(TRECHOS_LONGOS!$F:$F, TRECHOS_LONGOS!$A:$A = $A48))), ""Apenas translado"", MIN(FILTER(TRECHOS_LONGOS!$F:$F, TRECHOS_LONGOS!$A:$A = $A48)))"),"Apenas translado")</f>
        <v>Apenas translado</v>
      </c>
      <c r="C48" s="80" t="str">
        <f>IFERROR(__xludf.DUMMYFUNCTION("if(isna(max(FILTER(TRECHOS_LONGOS!$F:$F, TRECHOS_LONGOS!$A:$A = $A48))), ""Apenas translado"", MAX(FILTER(TRECHOS_LONGOS!$F:$F, TRECHOS_LONGOS!$A:$A = $A48)))"),"Apenas translado")</f>
        <v>Apenas translado</v>
      </c>
      <c r="D48" s="80">
        <f t="shared" si="1"/>
        <v>0</v>
      </c>
      <c r="E48" s="82">
        <f>SUMIF(TRECHOS_LONGOS!$A:$A, $A48, TRECHOS_LONGOS!Y:Y)</f>
        <v>0</v>
      </c>
      <c r="F48" s="82">
        <f>SUMIF(TRANSLADO!A:A, A48, TRANSLADO!J:J)</f>
        <v>0</v>
      </c>
      <c r="G48" s="82">
        <f>SUMIF(HOSPEDAGEM!A:A, A48, HOSPEDAGEM!J:J)</f>
        <v>0</v>
      </c>
      <c r="H48" s="82">
        <f t="shared" si="2"/>
        <v>0</v>
      </c>
      <c r="I48" s="83">
        <f>SUMIF(TRECHOS_LONGOS!$A:$A, $A48, TRECHOS_LONGOS!Z:Z)</f>
        <v>0</v>
      </c>
    </row>
    <row r="49" ht="26.25" customHeight="1">
      <c r="A49" s="80"/>
      <c r="B49" s="80" t="str">
        <f>IFERROR(__xludf.DUMMYFUNCTION("if(isna(MIN(FILTER(TRECHOS_LONGOS!$F:$F, TRECHOS_LONGOS!$A:$A = $A49))), ""Apenas translado"", MIN(FILTER(TRECHOS_LONGOS!$F:$F, TRECHOS_LONGOS!$A:$A = $A49)))"),"Apenas translado")</f>
        <v>Apenas translado</v>
      </c>
      <c r="C49" s="80" t="str">
        <f>IFERROR(__xludf.DUMMYFUNCTION("if(isna(max(FILTER(TRECHOS_LONGOS!$F:$F, TRECHOS_LONGOS!$A:$A = $A49))), ""Apenas translado"", MAX(FILTER(TRECHOS_LONGOS!$F:$F, TRECHOS_LONGOS!$A:$A = $A49)))"),"Apenas translado")</f>
        <v>Apenas translado</v>
      </c>
      <c r="D49" s="80">
        <f t="shared" si="1"/>
        <v>0</v>
      </c>
      <c r="E49" s="82">
        <f>SUMIF(TRECHOS_LONGOS!$A:$A, $A49, TRECHOS_LONGOS!Y:Y)</f>
        <v>0</v>
      </c>
      <c r="F49" s="82">
        <f>SUMIF(TRANSLADO!A:A, A49, TRANSLADO!J:J)</f>
        <v>0</v>
      </c>
      <c r="G49" s="82">
        <f>SUMIF(HOSPEDAGEM!A:A, A49, HOSPEDAGEM!J:J)</f>
        <v>0</v>
      </c>
      <c r="H49" s="82">
        <f t="shared" si="2"/>
        <v>0</v>
      </c>
      <c r="I49" s="83">
        <f>SUMIF(TRECHOS_LONGOS!$A:$A, $A49, TRECHOS_LONGOS!Z:Z)</f>
        <v>0</v>
      </c>
    </row>
    <row r="50" ht="26.25" customHeight="1">
      <c r="A50" s="80"/>
      <c r="B50" s="80" t="str">
        <f>IFERROR(__xludf.DUMMYFUNCTION("if(isna(MIN(FILTER(TRECHOS_LONGOS!$F:$F, TRECHOS_LONGOS!$A:$A = $A50))), ""Apenas translado"", MIN(FILTER(TRECHOS_LONGOS!$F:$F, TRECHOS_LONGOS!$A:$A = $A50)))"),"Apenas translado")</f>
        <v>Apenas translado</v>
      </c>
      <c r="C50" s="80" t="str">
        <f>IFERROR(__xludf.DUMMYFUNCTION("if(isna(max(FILTER(TRECHOS_LONGOS!$F:$F, TRECHOS_LONGOS!$A:$A = $A50))), ""Apenas translado"", MAX(FILTER(TRECHOS_LONGOS!$F:$F, TRECHOS_LONGOS!$A:$A = $A50)))"),"Apenas translado")</f>
        <v>Apenas translado</v>
      </c>
      <c r="D50" s="80">
        <f t="shared" si="1"/>
        <v>0</v>
      </c>
      <c r="E50" s="82">
        <f>SUMIF(TRECHOS_LONGOS!$A:$A, $A50, TRECHOS_LONGOS!Y:Y)</f>
        <v>0</v>
      </c>
      <c r="F50" s="82">
        <f>SUMIF(TRANSLADO!A:A, A50, TRANSLADO!J:J)</f>
        <v>0</v>
      </c>
      <c r="G50" s="82">
        <f>SUMIF(HOSPEDAGEM!A:A, A50, HOSPEDAGEM!J:J)</f>
        <v>0</v>
      </c>
      <c r="H50" s="82">
        <f t="shared" si="2"/>
        <v>0</v>
      </c>
      <c r="I50" s="83">
        <f>SUMIF(TRECHOS_LONGOS!$A:$A, $A50, TRECHOS_LONGOS!Z:Z)</f>
        <v>0</v>
      </c>
    </row>
    <row r="51" ht="26.25" customHeight="1">
      <c r="A51" s="80"/>
      <c r="B51" s="80" t="str">
        <f>IFERROR(__xludf.DUMMYFUNCTION("if(isna(MIN(FILTER(TRECHOS_LONGOS!$F:$F, TRECHOS_LONGOS!$A:$A = $A51))), ""Apenas translado"", MIN(FILTER(TRECHOS_LONGOS!$F:$F, TRECHOS_LONGOS!$A:$A = $A51)))"),"Apenas translado")</f>
        <v>Apenas translado</v>
      </c>
      <c r="C51" s="80" t="str">
        <f>IFERROR(__xludf.DUMMYFUNCTION("if(isna(max(FILTER(TRECHOS_LONGOS!$F:$F, TRECHOS_LONGOS!$A:$A = $A51))), ""Apenas translado"", MAX(FILTER(TRECHOS_LONGOS!$F:$F, TRECHOS_LONGOS!$A:$A = $A51)))"),"Apenas translado")</f>
        <v>Apenas translado</v>
      </c>
      <c r="D51" s="80">
        <f t="shared" si="1"/>
        <v>0</v>
      </c>
      <c r="E51" s="82">
        <f>SUMIF(TRECHOS_LONGOS!$A:$A, $A51, TRECHOS_LONGOS!Y:Y)</f>
        <v>0</v>
      </c>
      <c r="F51" s="82">
        <f>SUMIF(TRANSLADO!A:A, A51, TRANSLADO!J:J)</f>
        <v>0</v>
      </c>
      <c r="G51" s="82">
        <f>SUMIF(HOSPEDAGEM!A:A, A51, HOSPEDAGEM!J:J)</f>
        <v>0</v>
      </c>
      <c r="H51" s="82">
        <f t="shared" si="2"/>
        <v>0</v>
      </c>
      <c r="I51" s="83">
        <f>SUMIF(TRECHOS_LONGOS!$A:$A, $A51, TRECHOS_LONGOS!Z:Z)</f>
        <v>0</v>
      </c>
    </row>
    <row r="52" ht="26.25" customHeight="1">
      <c r="A52" s="80"/>
      <c r="B52" s="80" t="str">
        <f>IFERROR(__xludf.DUMMYFUNCTION("if(isna(MIN(FILTER(TRECHOS_LONGOS!$F:$F, TRECHOS_LONGOS!$A:$A = $A52))), ""Apenas translado"", MIN(FILTER(TRECHOS_LONGOS!$F:$F, TRECHOS_LONGOS!$A:$A = $A52)))"),"Apenas translado")</f>
        <v>Apenas translado</v>
      </c>
      <c r="C52" s="80" t="str">
        <f>IFERROR(__xludf.DUMMYFUNCTION("if(isna(max(FILTER(TRECHOS_LONGOS!$F:$F, TRECHOS_LONGOS!$A:$A = $A52))), ""Apenas translado"", MAX(FILTER(TRECHOS_LONGOS!$F:$F, TRECHOS_LONGOS!$A:$A = $A52)))"),"Apenas translado")</f>
        <v>Apenas translado</v>
      </c>
      <c r="D52" s="80">
        <f t="shared" si="1"/>
        <v>0</v>
      </c>
      <c r="E52" s="82">
        <f>SUMIF(TRECHOS_LONGOS!$A:$A, $A52, TRECHOS_LONGOS!Y:Y)</f>
        <v>0</v>
      </c>
      <c r="F52" s="82">
        <f>SUMIF(TRANSLADO!A:A, A52, TRANSLADO!J:J)</f>
        <v>0</v>
      </c>
      <c r="G52" s="82">
        <f>SUMIF(HOSPEDAGEM!A:A, A52, HOSPEDAGEM!J:J)</f>
        <v>0</v>
      </c>
      <c r="H52" s="82">
        <f t="shared" si="2"/>
        <v>0</v>
      </c>
      <c r="I52" s="83">
        <f>SUMIF(TRECHOS_LONGOS!$A:$A, $A52, TRECHOS_LONGOS!Z:Z)</f>
        <v>0</v>
      </c>
    </row>
    <row r="53" ht="26.25" customHeight="1">
      <c r="A53" s="80"/>
      <c r="H53" s="55" t="str">
        <f t="shared" si="2"/>
        <v/>
      </c>
    </row>
    <row r="54" ht="26.25" customHeight="1">
      <c r="A54" s="80"/>
      <c r="H54" s="55" t="str">
        <f t="shared" si="2"/>
        <v/>
      </c>
    </row>
    <row r="55" ht="26.25" customHeight="1">
      <c r="A55" s="80"/>
      <c r="H55" s="55" t="str">
        <f t="shared" si="2"/>
        <v/>
      </c>
    </row>
    <row r="56" ht="26.25" customHeight="1">
      <c r="A56" s="80"/>
      <c r="H56" s="55" t="str">
        <f t="shared" si="2"/>
        <v/>
      </c>
    </row>
    <row r="57" ht="26.25" customHeight="1">
      <c r="A57" s="80"/>
      <c r="H57" s="55" t="str">
        <f t="shared" si="2"/>
        <v/>
      </c>
    </row>
    <row r="58" ht="26.25" customHeight="1">
      <c r="A58" s="80"/>
      <c r="H58" s="55" t="str">
        <f t="shared" si="2"/>
        <v/>
      </c>
    </row>
    <row r="59" ht="26.25" customHeight="1">
      <c r="A59" s="80"/>
      <c r="H59" s="55" t="str">
        <f t="shared" si="2"/>
        <v/>
      </c>
    </row>
    <row r="60" ht="26.25" customHeight="1">
      <c r="A60" s="80"/>
      <c r="H60" s="55" t="str">
        <f t="shared" si="2"/>
        <v/>
      </c>
    </row>
    <row r="61" ht="26.25" customHeight="1">
      <c r="A61" s="80"/>
      <c r="H61" s="55" t="str">
        <f t="shared" si="2"/>
        <v/>
      </c>
    </row>
    <row r="62" ht="26.25" customHeight="1">
      <c r="A62" s="80"/>
      <c r="H62" s="55" t="str">
        <f t="shared" si="2"/>
        <v/>
      </c>
    </row>
    <row r="63" ht="26.25" customHeight="1">
      <c r="A63" s="80"/>
      <c r="H63" s="55" t="str">
        <f t="shared" si="2"/>
        <v/>
      </c>
    </row>
    <row r="64" ht="26.25" customHeight="1">
      <c r="A64" s="80"/>
      <c r="H64" s="55" t="str">
        <f t="shared" si="2"/>
        <v/>
      </c>
    </row>
    <row r="65" ht="26.25" customHeight="1">
      <c r="A65" s="80"/>
      <c r="H65" s="55" t="str">
        <f t="shared" si="2"/>
        <v/>
      </c>
    </row>
    <row r="66" ht="26.25" customHeight="1">
      <c r="A66" s="80"/>
      <c r="H66" s="55" t="str">
        <f t="shared" si="2"/>
        <v/>
      </c>
    </row>
    <row r="67" ht="26.25" customHeight="1">
      <c r="A67" s="80"/>
      <c r="H67" s="55" t="str">
        <f t="shared" si="2"/>
        <v/>
      </c>
    </row>
    <row r="68" ht="26.25" customHeight="1">
      <c r="A68" s="80"/>
      <c r="H68" s="55" t="str">
        <f t="shared" si="2"/>
        <v/>
      </c>
    </row>
    <row r="69" ht="26.25" customHeight="1">
      <c r="A69" s="80"/>
      <c r="H69" s="55" t="str">
        <f t="shared" si="2"/>
        <v/>
      </c>
    </row>
    <row r="70" ht="26.25" customHeight="1">
      <c r="A70" s="80"/>
      <c r="H70" s="55" t="str">
        <f t="shared" si="2"/>
        <v/>
      </c>
    </row>
    <row r="71" ht="26.25" customHeight="1">
      <c r="A71" s="80"/>
      <c r="H71" s="55" t="str">
        <f t="shared" si="2"/>
        <v/>
      </c>
    </row>
    <row r="72" ht="26.25" customHeight="1">
      <c r="A72" s="80"/>
      <c r="H72" s="55" t="str">
        <f t="shared" si="2"/>
        <v/>
      </c>
    </row>
    <row r="73" ht="26.25" customHeight="1">
      <c r="A73" s="80"/>
      <c r="H73" s="55" t="str">
        <f t="shared" si="2"/>
        <v/>
      </c>
    </row>
    <row r="74" ht="26.25" customHeight="1">
      <c r="H74" s="55" t="str">
        <f t="shared" si="2"/>
        <v/>
      </c>
    </row>
    <row r="75" ht="26.25" customHeight="1">
      <c r="H75" s="55" t="str">
        <f t="shared" si="2"/>
        <v/>
      </c>
    </row>
    <row r="76" ht="26.25" customHeight="1">
      <c r="H76" s="55" t="str">
        <f t="shared" si="2"/>
        <v/>
      </c>
    </row>
    <row r="77" ht="26.25" customHeight="1">
      <c r="H77" s="55" t="str">
        <f t="shared" si="2"/>
        <v/>
      </c>
    </row>
    <row r="78" ht="26.25" customHeight="1">
      <c r="H78" s="55" t="str">
        <f t="shared" si="2"/>
        <v/>
      </c>
    </row>
    <row r="79" ht="26.25" customHeight="1">
      <c r="H79" s="55" t="str">
        <f t="shared" si="2"/>
        <v/>
      </c>
    </row>
    <row r="80" ht="26.25" customHeight="1">
      <c r="H80" s="55" t="str">
        <f t="shared" si="2"/>
        <v/>
      </c>
    </row>
    <row r="81" ht="26.25" customHeight="1">
      <c r="H81" s="55" t="str">
        <f t="shared" si="2"/>
        <v/>
      </c>
    </row>
    <row r="82" ht="26.25" customHeight="1">
      <c r="H82" s="55" t="str">
        <f t="shared" si="2"/>
        <v/>
      </c>
    </row>
    <row r="83" ht="26.25" customHeight="1">
      <c r="H83" s="55" t="str">
        <f t="shared" si="2"/>
        <v/>
      </c>
    </row>
    <row r="84" ht="26.25" customHeight="1">
      <c r="H84" s="55" t="str">
        <f t="shared" si="2"/>
        <v/>
      </c>
    </row>
    <row r="85" ht="26.25" customHeight="1">
      <c r="H85" s="55" t="str">
        <f t="shared" si="2"/>
        <v/>
      </c>
    </row>
    <row r="86" ht="26.25" customHeight="1">
      <c r="H86" s="55" t="str">
        <f t="shared" si="2"/>
        <v/>
      </c>
    </row>
    <row r="87" ht="26.25" customHeight="1">
      <c r="H87" s="55" t="str">
        <f t="shared" si="2"/>
        <v/>
      </c>
    </row>
    <row r="88" ht="26.25" customHeight="1">
      <c r="H88" s="55" t="str">
        <f t="shared" si="2"/>
        <v/>
      </c>
    </row>
    <row r="89" ht="26.25" customHeight="1">
      <c r="H89" s="55" t="str">
        <f t="shared" si="2"/>
        <v/>
      </c>
    </row>
    <row r="90" ht="26.25" customHeight="1">
      <c r="H90" s="55" t="str">
        <f t="shared" si="2"/>
        <v/>
      </c>
    </row>
    <row r="91" ht="26.25" customHeight="1">
      <c r="H91" s="55" t="str">
        <f t="shared" si="2"/>
        <v/>
      </c>
    </row>
    <row r="92" ht="26.25" customHeight="1">
      <c r="H92" s="55" t="str">
        <f t="shared" si="2"/>
        <v/>
      </c>
    </row>
    <row r="93" ht="26.25" customHeight="1">
      <c r="H93" s="55" t="str">
        <f t="shared" si="2"/>
        <v/>
      </c>
    </row>
    <row r="94" ht="26.25" customHeight="1">
      <c r="H94" s="55" t="str">
        <f t="shared" si="2"/>
        <v/>
      </c>
    </row>
    <row r="95" ht="26.25" customHeight="1">
      <c r="H95" s="55" t="str">
        <f t="shared" si="2"/>
        <v/>
      </c>
    </row>
    <row r="96" ht="26.25" customHeight="1">
      <c r="H96" s="55" t="str">
        <f t="shared" si="2"/>
        <v/>
      </c>
    </row>
    <row r="97" ht="26.25" customHeight="1">
      <c r="H97" s="55" t="str">
        <f t="shared" si="2"/>
        <v/>
      </c>
    </row>
    <row r="98" ht="26.25" customHeight="1">
      <c r="H98" s="55" t="str">
        <f t="shared" si="2"/>
        <v/>
      </c>
    </row>
    <row r="99" ht="26.25" customHeight="1">
      <c r="H99" s="55" t="str">
        <f t="shared" si="2"/>
        <v/>
      </c>
    </row>
    <row r="100" ht="26.25" customHeight="1">
      <c r="H100" s="55" t="str">
        <f t="shared" si="2"/>
        <v/>
      </c>
    </row>
    <row r="101" ht="26.25" customHeight="1">
      <c r="H101" s="55" t="str">
        <f t="shared" si="2"/>
        <v/>
      </c>
    </row>
    <row r="102" ht="26.25" customHeight="1">
      <c r="H102" s="55" t="str">
        <f t="shared" si="2"/>
        <v/>
      </c>
    </row>
    <row r="103" ht="26.25" customHeight="1">
      <c r="H103" s="55" t="str">
        <f t="shared" si="2"/>
        <v/>
      </c>
    </row>
    <row r="104" ht="26.25" customHeight="1">
      <c r="H104" s="55" t="str">
        <f t="shared" si="2"/>
        <v/>
      </c>
    </row>
    <row r="105" ht="26.25" customHeight="1">
      <c r="H105" s="55" t="str">
        <f t="shared" si="2"/>
        <v/>
      </c>
    </row>
    <row r="106" ht="26.25" customHeight="1">
      <c r="H106" s="55" t="str">
        <f t="shared" si="2"/>
        <v/>
      </c>
    </row>
    <row r="107" ht="26.25" customHeight="1">
      <c r="H107" s="55" t="str">
        <f t="shared" si="2"/>
        <v/>
      </c>
    </row>
    <row r="108" ht="26.25" customHeight="1">
      <c r="H108" s="55" t="str">
        <f t="shared" si="2"/>
        <v/>
      </c>
    </row>
    <row r="109" ht="26.25" customHeight="1">
      <c r="H109" s="55" t="str">
        <f t="shared" si="2"/>
        <v/>
      </c>
    </row>
    <row r="110" ht="26.25" customHeight="1">
      <c r="H110" s="55" t="str">
        <f t="shared" si="2"/>
        <v/>
      </c>
    </row>
    <row r="111" ht="26.25" customHeight="1">
      <c r="H111" s="55" t="str">
        <f t="shared" si="2"/>
        <v/>
      </c>
    </row>
    <row r="112" ht="26.25" customHeight="1">
      <c r="H112" s="55" t="str">
        <f t="shared" si="2"/>
        <v/>
      </c>
    </row>
    <row r="113" ht="26.25" customHeight="1">
      <c r="H113" s="55" t="str">
        <f t="shared" si="2"/>
        <v/>
      </c>
    </row>
    <row r="114" ht="26.25" customHeight="1">
      <c r="H114" s="55" t="str">
        <f t="shared" si="2"/>
        <v/>
      </c>
    </row>
    <row r="115" ht="26.25" customHeight="1">
      <c r="H115" s="55" t="str">
        <f t="shared" si="2"/>
        <v/>
      </c>
    </row>
    <row r="116" ht="26.25" customHeight="1">
      <c r="H116" s="55" t="str">
        <f t="shared" si="2"/>
        <v/>
      </c>
    </row>
    <row r="117" ht="26.25" customHeight="1">
      <c r="H117" s="55" t="str">
        <f t="shared" si="2"/>
        <v/>
      </c>
    </row>
    <row r="118" ht="26.25" customHeight="1">
      <c r="H118" s="55" t="str">
        <f t="shared" si="2"/>
        <v/>
      </c>
    </row>
    <row r="119" ht="26.25" customHeight="1">
      <c r="H119" s="55" t="str">
        <f t="shared" si="2"/>
        <v/>
      </c>
    </row>
    <row r="120" ht="26.25" customHeight="1">
      <c r="H120" s="55" t="str">
        <f t="shared" si="2"/>
        <v/>
      </c>
    </row>
    <row r="121" ht="26.25" customHeight="1">
      <c r="H121" s="55" t="str">
        <f t="shared" si="2"/>
        <v/>
      </c>
    </row>
    <row r="122" ht="26.25" customHeight="1">
      <c r="H122" s="55" t="str">
        <f t="shared" si="2"/>
        <v/>
      </c>
    </row>
    <row r="123" ht="26.25" customHeight="1">
      <c r="H123" s="55" t="str">
        <f t="shared" si="2"/>
        <v/>
      </c>
    </row>
    <row r="124" ht="26.25" customHeight="1">
      <c r="H124" s="55" t="str">
        <f t="shared" si="2"/>
        <v/>
      </c>
    </row>
    <row r="125" ht="26.25" customHeight="1">
      <c r="H125" s="55" t="str">
        <f t="shared" si="2"/>
        <v/>
      </c>
    </row>
    <row r="126" ht="26.25" customHeight="1">
      <c r="H126" s="55" t="str">
        <f t="shared" si="2"/>
        <v/>
      </c>
    </row>
    <row r="127" ht="26.25" customHeight="1">
      <c r="H127" s="55" t="str">
        <f t="shared" si="2"/>
        <v/>
      </c>
    </row>
    <row r="128" ht="26.25" customHeight="1">
      <c r="H128" s="55" t="str">
        <f t="shared" si="2"/>
        <v/>
      </c>
    </row>
    <row r="129" ht="26.25" customHeight="1">
      <c r="H129" s="55" t="str">
        <f t="shared" si="2"/>
        <v/>
      </c>
    </row>
    <row r="130" ht="26.25" customHeight="1">
      <c r="H130" s="55" t="str">
        <f t="shared" si="2"/>
        <v/>
      </c>
    </row>
    <row r="131" ht="26.25" customHeight="1">
      <c r="H131" s="55" t="str">
        <f t="shared" si="2"/>
        <v/>
      </c>
    </row>
    <row r="132" ht="26.25" customHeight="1">
      <c r="H132" s="55" t="str">
        <f t="shared" si="2"/>
        <v/>
      </c>
    </row>
    <row r="133" ht="26.25" customHeight="1">
      <c r="H133" s="55" t="str">
        <f t="shared" si="2"/>
        <v/>
      </c>
    </row>
    <row r="134" ht="26.25" customHeight="1">
      <c r="H134" s="55" t="str">
        <f t="shared" si="2"/>
        <v/>
      </c>
    </row>
    <row r="135" ht="26.25" customHeight="1">
      <c r="H135" s="55" t="str">
        <f t="shared" si="2"/>
        <v/>
      </c>
    </row>
    <row r="136" ht="26.25" customHeight="1">
      <c r="H136" s="55" t="str">
        <f t="shared" si="2"/>
        <v/>
      </c>
    </row>
    <row r="137" ht="26.25" customHeight="1">
      <c r="H137" s="55" t="str">
        <f t="shared" si="2"/>
        <v/>
      </c>
    </row>
    <row r="138" ht="26.25" customHeight="1">
      <c r="H138" s="55" t="str">
        <f t="shared" si="2"/>
        <v/>
      </c>
    </row>
    <row r="139" ht="26.25" customHeight="1">
      <c r="H139" s="55" t="str">
        <f t="shared" si="2"/>
        <v/>
      </c>
    </row>
    <row r="140" ht="26.25" customHeight="1">
      <c r="H140" s="55" t="str">
        <f t="shared" si="2"/>
        <v/>
      </c>
    </row>
    <row r="141" ht="26.25" customHeight="1">
      <c r="H141" s="55" t="str">
        <f t="shared" si="2"/>
        <v/>
      </c>
    </row>
    <row r="142" ht="26.25" customHeight="1">
      <c r="H142" s="55" t="str">
        <f t="shared" si="2"/>
        <v/>
      </c>
    </row>
    <row r="143" ht="26.25" customHeight="1">
      <c r="H143" s="55" t="str">
        <f t="shared" si="2"/>
        <v/>
      </c>
    </row>
    <row r="144" ht="26.25" customHeight="1">
      <c r="H144" s="55" t="str">
        <f t="shared" si="2"/>
        <v/>
      </c>
    </row>
    <row r="145" ht="26.25" customHeight="1">
      <c r="H145" s="55" t="str">
        <f t="shared" si="2"/>
        <v/>
      </c>
    </row>
    <row r="146" ht="26.25" customHeight="1">
      <c r="H146" s="55" t="str">
        <f t="shared" si="2"/>
        <v/>
      </c>
    </row>
    <row r="147" ht="26.25" customHeight="1">
      <c r="H147" s="55" t="str">
        <f t="shared" si="2"/>
        <v/>
      </c>
    </row>
    <row r="148" ht="26.25" customHeight="1">
      <c r="H148" s="55" t="str">
        <f t="shared" si="2"/>
        <v/>
      </c>
    </row>
    <row r="149" ht="26.25" customHeight="1">
      <c r="H149" s="55" t="str">
        <f t="shared" si="2"/>
        <v/>
      </c>
    </row>
    <row r="150" ht="26.25" customHeight="1">
      <c r="H150" s="55" t="str">
        <f t="shared" si="2"/>
        <v/>
      </c>
    </row>
    <row r="151" ht="26.25" customHeight="1">
      <c r="H151" s="55" t="str">
        <f t="shared" si="2"/>
        <v/>
      </c>
    </row>
    <row r="152" ht="26.25" customHeight="1">
      <c r="H152" s="55" t="str">
        <f t="shared" si="2"/>
        <v/>
      </c>
    </row>
    <row r="153" ht="26.25" customHeight="1">
      <c r="H153" s="55" t="str">
        <f t="shared" si="2"/>
        <v/>
      </c>
    </row>
    <row r="154" ht="26.25" customHeight="1">
      <c r="H154" s="55" t="str">
        <f t="shared" si="2"/>
        <v/>
      </c>
    </row>
    <row r="155" ht="26.25" customHeight="1">
      <c r="H155" s="55" t="str">
        <f t="shared" si="2"/>
        <v/>
      </c>
    </row>
    <row r="156" ht="26.25" customHeight="1">
      <c r="H156" s="55" t="str">
        <f t="shared" si="2"/>
        <v/>
      </c>
    </row>
    <row r="157" ht="26.25" customHeight="1">
      <c r="H157" s="55" t="str">
        <f t="shared" si="2"/>
        <v/>
      </c>
    </row>
    <row r="158" ht="26.25" customHeight="1">
      <c r="H158" s="55" t="str">
        <f t="shared" si="2"/>
        <v/>
      </c>
    </row>
    <row r="159" ht="26.25" customHeight="1">
      <c r="H159" s="55" t="str">
        <f t="shared" si="2"/>
        <v/>
      </c>
    </row>
    <row r="160" ht="26.25" customHeight="1">
      <c r="H160" s="55" t="str">
        <f t="shared" si="2"/>
        <v/>
      </c>
    </row>
    <row r="161" ht="26.25" customHeight="1">
      <c r="H161" s="55" t="str">
        <f t="shared" si="2"/>
        <v/>
      </c>
    </row>
    <row r="162" ht="26.25" customHeight="1">
      <c r="H162" s="55" t="str">
        <f t="shared" si="2"/>
        <v/>
      </c>
    </row>
    <row r="163" ht="26.25" customHeight="1">
      <c r="H163" s="55" t="str">
        <f t="shared" si="2"/>
        <v/>
      </c>
    </row>
    <row r="164" ht="26.25" customHeight="1">
      <c r="H164" s="55" t="str">
        <f t="shared" si="2"/>
        <v/>
      </c>
    </row>
    <row r="165" ht="26.25" customHeight="1">
      <c r="H165" s="55" t="str">
        <f t="shared" si="2"/>
        <v/>
      </c>
    </row>
    <row r="166" ht="26.25" customHeight="1">
      <c r="H166" s="55" t="str">
        <f t="shared" si="2"/>
        <v/>
      </c>
    </row>
    <row r="167" ht="26.25" customHeight="1">
      <c r="H167" s="55" t="str">
        <f t="shared" si="2"/>
        <v/>
      </c>
    </row>
    <row r="168" ht="26.25" customHeight="1">
      <c r="H168" s="55" t="str">
        <f t="shared" si="2"/>
        <v/>
      </c>
    </row>
    <row r="169" ht="26.25" customHeight="1">
      <c r="H169" s="55" t="str">
        <f t="shared" si="2"/>
        <v/>
      </c>
    </row>
    <row r="170" ht="26.25" customHeight="1">
      <c r="H170" s="55" t="str">
        <f t="shared" si="2"/>
        <v/>
      </c>
    </row>
    <row r="171" ht="26.25" customHeight="1">
      <c r="H171" s="55" t="str">
        <f t="shared" si="2"/>
        <v/>
      </c>
    </row>
    <row r="172" ht="26.25" customHeight="1">
      <c r="H172" s="55" t="str">
        <f t="shared" si="2"/>
        <v/>
      </c>
    </row>
    <row r="173" ht="26.25" customHeight="1">
      <c r="H173" s="55" t="str">
        <f t="shared" si="2"/>
        <v/>
      </c>
    </row>
    <row r="174" ht="26.25" customHeight="1">
      <c r="H174" s="55" t="str">
        <f t="shared" si="2"/>
        <v/>
      </c>
    </row>
    <row r="175" ht="26.25" customHeight="1">
      <c r="H175" s="55" t="str">
        <f t="shared" si="2"/>
        <v/>
      </c>
    </row>
    <row r="176" ht="26.25" customHeight="1">
      <c r="H176" s="55" t="str">
        <f t="shared" si="2"/>
        <v/>
      </c>
    </row>
    <row r="177" ht="26.25" customHeight="1">
      <c r="H177" s="55" t="str">
        <f t="shared" si="2"/>
        <v/>
      </c>
    </row>
    <row r="178" ht="26.25" customHeight="1">
      <c r="H178" s="55" t="str">
        <f t="shared" si="2"/>
        <v/>
      </c>
    </row>
    <row r="179" ht="26.25" customHeight="1">
      <c r="H179" s="55" t="str">
        <f t="shared" si="2"/>
        <v/>
      </c>
    </row>
    <row r="180" ht="26.25" customHeight="1">
      <c r="H180" s="55" t="str">
        <f t="shared" si="2"/>
        <v/>
      </c>
    </row>
    <row r="181" ht="26.25" customHeight="1">
      <c r="H181" s="55" t="str">
        <f t="shared" si="2"/>
        <v/>
      </c>
    </row>
    <row r="182" ht="26.25" customHeight="1">
      <c r="H182" s="55" t="str">
        <f t="shared" si="2"/>
        <v/>
      </c>
    </row>
    <row r="183" ht="26.25" customHeight="1">
      <c r="H183" s="55" t="str">
        <f t="shared" si="2"/>
        <v/>
      </c>
    </row>
    <row r="184" ht="26.25" customHeight="1">
      <c r="H184" s="55" t="str">
        <f t="shared" si="2"/>
        <v/>
      </c>
    </row>
    <row r="185" ht="26.25" customHeight="1">
      <c r="H185" s="55" t="str">
        <f t="shared" si="2"/>
        <v/>
      </c>
    </row>
    <row r="186" ht="26.25" customHeight="1">
      <c r="H186" s="55" t="str">
        <f t="shared" si="2"/>
        <v/>
      </c>
    </row>
    <row r="187" ht="26.25" customHeight="1">
      <c r="H187" s="55" t="str">
        <f t="shared" si="2"/>
        <v/>
      </c>
    </row>
    <row r="188" ht="26.25" customHeight="1">
      <c r="H188" s="55" t="str">
        <f t="shared" si="2"/>
        <v/>
      </c>
    </row>
    <row r="189" ht="26.25" customHeight="1">
      <c r="H189" s="55" t="str">
        <f t="shared" si="2"/>
        <v/>
      </c>
    </row>
    <row r="190" ht="26.25" customHeight="1">
      <c r="H190" s="55" t="str">
        <f t="shared" si="2"/>
        <v/>
      </c>
    </row>
    <row r="191" ht="26.25" customHeight="1">
      <c r="H191" s="55" t="str">
        <f t="shared" si="2"/>
        <v/>
      </c>
    </row>
    <row r="192" ht="26.25" customHeight="1">
      <c r="H192" s="55" t="str">
        <f t="shared" si="2"/>
        <v/>
      </c>
    </row>
    <row r="193" ht="26.25" customHeight="1">
      <c r="H193" s="55" t="str">
        <f t="shared" si="2"/>
        <v/>
      </c>
    </row>
    <row r="194" ht="26.25" customHeight="1">
      <c r="H194" s="55" t="str">
        <f t="shared" si="2"/>
        <v/>
      </c>
    </row>
    <row r="195" ht="26.25" customHeight="1">
      <c r="H195" s="55" t="str">
        <f t="shared" si="2"/>
        <v/>
      </c>
    </row>
    <row r="196" ht="26.25" customHeight="1">
      <c r="H196" s="55" t="str">
        <f t="shared" si="2"/>
        <v/>
      </c>
    </row>
    <row r="197" ht="26.25" customHeight="1">
      <c r="H197" s="55" t="str">
        <f t="shared" si="2"/>
        <v/>
      </c>
    </row>
    <row r="198" ht="26.25" customHeight="1">
      <c r="H198" s="55" t="str">
        <f t="shared" si="2"/>
        <v/>
      </c>
    </row>
    <row r="199" ht="26.25" customHeight="1">
      <c r="H199" s="55" t="str">
        <f t="shared" si="2"/>
        <v/>
      </c>
    </row>
    <row r="200" ht="26.25" customHeight="1">
      <c r="H200" s="55" t="str">
        <f t="shared" si="2"/>
        <v/>
      </c>
    </row>
    <row r="201" ht="26.25" customHeight="1">
      <c r="H201" s="55" t="str">
        <f t="shared" si="2"/>
        <v/>
      </c>
    </row>
    <row r="202" ht="26.25" customHeight="1">
      <c r="H202" s="55" t="str">
        <f t="shared" si="2"/>
        <v/>
      </c>
    </row>
    <row r="203" ht="26.25" customHeight="1">
      <c r="H203" s="55" t="str">
        <f t="shared" si="2"/>
        <v/>
      </c>
    </row>
    <row r="204" ht="26.25" customHeight="1">
      <c r="H204" s="55" t="str">
        <f t="shared" si="2"/>
        <v/>
      </c>
    </row>
    <row r="205" ht="26.25" customHeight="1">
      <c r="H205" s="55" t="str">
        <f t="shared" si="2"/>
        <v/>
      </c>
    </row>
    <row r="206" ht="26.25" customHeight="1">
      <c r="H206" s="55" t="str">
        <f t="shared" si="2"/>
        <v/>
      </c>
    </row>
    <row r="207" ht="26.25" customHeight="1">
      <c r="H207" s="55" t="str">
        <f t="shared" si="2"/>
        <v/>
      </c>
    </row>
    <row r="208" ht="26.25" customHeight="1">
      <c r="H208" s="55" t="str">
        <f t="shared" si="2"/>
        <v/>
      </c>
    </row>
    <row r="209" ht="26.25" customHeight="1">
      <c r="H209" s="55" t="str">
        <f t="shared" si="2"/>
        <v/>
      </c>
    </row>
    <row r="210" ht="26.25" customHeight="1">
      <c r="H210" s="55" t="str">
        <f t="shared" si="2"/>
        <v/>
      </c>
    </row>
    <row r="211" ht="26.25" customHeight="1">
      <c r="H211" s="55" t="str">
        <f t="shared" si="2"/>
        <v/>
      </c>
    </row>
    <row r="212" ht="26.25" customHeight="1">
      <c r="H212" s="55" t="str">
        <f t="shared" si="2"/>
        <v/>
      </c>
    </row>
    <row r="213" ht="26.25" customHeight="1">
      <c r="H213" s="55" t="str">
        <f t="shared" si="2"/>
        <v/>
      </c>
    </row>
    <row r="214" ht="26.25" customHeight="1">
      <c r="H214" s="55" t="str">
        <f t="shared" si="2"/>
        <v/>
      </c>
    </row>
    <row r="215" ht="26.25" customHeight="1">
      <c r="H215" s="55" t="str">
        <f t="shared" si="2"/>
        <v/>
      </c>
    </row>
    <row r="216" ht="26.25" customHeight="1">
      <c r="H216" s="55" t="str">
        <f t="shared" si="2"/>
        <v/>
      </c>
    </row>
    <row r="217" ht="26.25" customHeight="1">
      <c r="H217" s="55" t="str">
        <f t="shared" si="2"/>
        <v/>
      </c>
    </row>
    <row r="218" ht="26.25" customHeight="1">
      <c r="H218" s="55" t="str">
        <f t="shared" si="2"/>
        <v/>
      </c>
    </row>
    <row r="219" ht="26.25" customHeight="1">
      <c r="H219" s="55" t="str">
        <f t="shared" si="2"/>
        <v/>
      </c>
    </row>
    <row r="220" ht="26.25" customHeight="1">
      <c r="H220" s="55" t="str">
        <f t="shared" si="2"/>
        <v/>
      </c>
    </row>
    <row r="221" ht="26.25" customHeight="1">
      <c r="H221" s="55" t="str">
        <f t="shared" si="2"/>
        <v/>
      </c>
    </row>
    <row r="222" ht="26.25" customHeight="1">
      <c r="H222" s="55" t="str">
        <f t="shared" si="2"/>
        <v/>
      </c>
    </row>
    <row r="223" ht="26.25" customHeight="1">
      <c r="H223" s="55" t="str">
        <f t="shared" si="2"/>
        <v/>
      </c>
    </row>
    <row r="224" ht="26.25" customHeight="1">
      <c r="H224" s="55" t="str">
        <f t="shared" si="2"/>
        <v/>
      </c>
    </row>
    <row r="225" ht="26.25" customHeight="1">
      <c r="H225" s="55" t="str">
        <f t="shared" si="2"/>
        <v/>
      </c>
    </row>
    <row r="226" ht="26.25" customHeight="1">
      <c r="H226" s="55" t="str">
        <f t="shared" si="2"/>
        <v/>
      </c>
    </row>
    <row r="227" ht="26.25" customHeight="1">
      <c r="H227" s="55" t="str">
        <f t="shared" si="2"/>
        <v/>
      </c>
    </row>
    <row r="228" ht="26.25" customHeight="1">
      <c r="H228" s="55" t="str">
        <f t="shared" si="2"/>
        <v/>
      </c>
    </row>
    <row r="229" ht="26.25" customHeight="1">
      <c r="H229" s="55" t="str">
        <f t="shared" si="2"/>
        <v/>
      </c>
    </row>
    <row r="230" ht="26.25" customHeight="1">
      <c r="H230" s="55" t="str">
        <f t="shared" si="2"/>
        <v/>
      </c>
    </row>
    <row r="231" ht="26.25" customHeight="1">
      <c r="H231" s="55" t="str">
        <f t="shared" si="2"/>
        <v/>
      </c>
    </row>
    <row r="232" ht="26.25" customHeight="1">
      <c r="H232" s="55" t="str">
        <f t="shared" si="2"/>
        <v/>
      </c>
    </row>
    <row r="233" ht="26.25" customHeight="1">
      <c r="H233" s="55" t="str">
        <f t="shared" si="2"/>
        <v/>
      </c>
    </row>
    <row r="234" ht="26.25" customHeight="1">
      <c r="H234" s="55" t="str">
        <f t="shared" si="2"/>
        <v/>
      </c>
    </row>
    <row r="235" ht="26.25" customHeight="1">
      <c r="H235" s="55" t="str">
        <f t="shared" si="2"/>
        <v/>
      </c>
    </row>
    <row r="236" ht="26.25" customHeight="1">
      <c r="H236" s="55" t="str">
        <f t="shared" si="2"/>
        <v/>
      </c>
    </row>
    <row r="237" ht="26.25" customHeight="1">
      <c r="H237" s="55" t="str">
        <f t="shared" si="2"/>
        <v/>
      </c>
    </row>
    <row r="238" ht="26.25" customHeight="1">
      <c r="H238" s="55" t="str">
        <f t="shared" si="2"/>
        <v/>
      </c>
    </row>
    <row r="239" ht="26.25" customHeight="1">
      <c r="H239" s="55" t="str">
        <f t="shared" si="2"/>
        <v/>
      </c>
    </row>
    <row r="240" ht="26.25" customHeight="1">
      <c r="H240" s="55" t="str">
        <f t="shared" si="2"/>
        <v/>
      </c>
    </row>
    <row r="241" ht="26.25" customHeight="1">
      <c r="H241" s="55" t="str">
        <f t="shared" si="2"/>
        <v/>
      </c>
    </row>
    <row r="242" ht="26.25" customHeight="1">
      <c r="H242" s="55" t="str">
        <f t="shared" si="2"/>
        <v/>
      </c>
    </row>
    <row r="243" ht="26.25" customHeight="1">
      <c r="H243" s="55" t="str">
        <f t="shared" si="2"/>
        <v/>
      </c>
    </row>
    <row r="244" ht="26.25" customHeight="1">
      <c r="H244" s="55" t="str">
        <f t="shared" si="2"/>
        <v/>
      </c>
    </row>
    <row r="245" ht="26.25" customHeight="1">
      <c r="H245" s="55" t="str">
        <f t="shared" si="2"/>
        <v/>
      </c>
    </row>
    <row r="246" ht="26.25" customHeight="1">
      <c r="H246" s="55" t="str">
        <f t="shared" si="2"/>
        <v/>
      </c>
    </row>
    <row r="247" ht="26.25" customHeight="1">
      <c r="H247" s="55" t="str">
        <f t="shared" si="2"/>
        <v/>
      </c>
    </row>
    <row r="248" ht="26.25" customHeight="1">
      <c r="H248" s="55" t="str">
        <f t="shared" si="2"/>
        <v/>
      </c>
    </row>
    <row r="249" ht="26.25" customHeight="1">
      <c r="H249" s="55" t="str">
        <f t="shared" si="2"/>
        <v/>
      </c>
    </row>
    <row r="250" ht="26.25" customHeight="1">
      <c r="H250" s="55" t="str">
        <f t="shared" si="2"/>
        <v/>
      </c>
    </row>
    <row r="251" ht="26.25" customHeight="1">
      <c r="H251" s="55" t="str">
        <f t="shared" si="2"/>
        <v/>
      </c>
    </row>
    <row r="252" ht="26.25" customHeight="1">
      <c r="H252" s="55" t="str">
        <f t="shared" si="2"/>
        <v/>
      </c>
    </row>
    <row r="253" ht="26.25" customHeight="1">
      <c r="H253" s="55" t="str">
        <f t="shared" si="2"/>
        <v/>
      </c>
    </row>
    <row r="254" ht="26.25" customHeight="1">
      <c r="H254" s="55" t="str">
        <f t="shared" si="2"/>
        <v/>
      </c>
    </row>
    <row r="255" ht="26.25" customHeight="1">
      <c r="H255" s="55" t="str">
        <f t="shared" si="2"/>
        <v/>
      </c>
    </row>
    <row r="256" ht="26.25" customHeight="1">
      <c r="H256" s="55" t="str">
        <f t="shared" si="2"/>
        <v/>
      </c>
    </row>
    <row r="257" ht="26.25" customHeight="1">
      <c r="H257" s="55" t="str">
        <f t="shared" si="2"/>
        <v/>
      </c>
    </row>
    <row r="258" ht="26.25" customHeight="1">
      <c r="H258" s="55" t="str">
        <f t="shared" si="2"/>
        <v/>
      </c>
    </row>
    <row r="259" ht="26.25" customHeight="1">
      <c r="H259" s="55" t="str">
        <f t="shared" si="2"/>
        <v/>
      </c>
    </row>
    <row r="260" ht="26.25" customHeight="1">
      <c r="H260" s="55" t="str">
        <f t="shared" si="2"/>
        <v/>
      </c>
    </row>
    <row r="261" ht="26.25" customHeight="1">
      <c r="H261" s="55" t="str">
        <f t="shared" si="2"/>
        <v/>
      </c>
    </row>
    <row r="262" ht="26.25" customHeight="1">
      <c r="H262" s="55" t="str">
        <f t="shared" si="2"/>
        <v/>
      </c>
    </row>
    <row r="263" ht="26.25" customHeight="1">
      <c r="H263" s="55" t="str">
        <f t="shared" si="2"/>
        <v/>
      </c>
    </row>
    <row r="264" ht="26.25" customHeight="1">
      <c r="H264" s="55" t="str">
        <f t="shared" si="2"/>
        <v/>
      </c>
    </row>
    <row r="265" ht="26.25" customHeight="1">
      <c r="H265" s="55" t="str">
        <f t="shared" si="2"/>
        <v/>
      </c>
    </row>
    <row r="266" ht="26.25" customHeight="1">
      <c r="H266" s="55" t="str">
        <f t="shared" si="2"/>
        <v/>
      </c>
    </row>
    <row r="267" ht="26.25" customHeight="1">
      <c r="H267" s="55" t="str">
        <f t="shared" si="2"/>
        <v/>
      </c>
    </row>
    <row r="268" ht="26.25" customHeight="1">
      <c r="H268" s="55" t="str">
        <f t="shared" si="2"/>
        <v/>
      </c>
    </row>
    <row r="269" ht="26.25" customHeight="1">
      <c r="H269" s="55" t="str">
        <f t="shared" si="2"/>
        <v/>
      </c>
    </row>
    <row r="270" ht="26.25" customHeight="1">
      <c r="H270" s="55" t="str">
        <f t="shared" si="2"/>
        <v/>
      </c>
    </row>
    <row r="271" ht="26.25" customHeight="1">
      <c r="H271" s="55" t="str">
        <f t="shared" si="2"/>
        <v/>
      </c>
    </row>
    <row r="272" ht="26.25" customHeight="1">
      <c r="H272" s="55" t="str">
        <f t="shared" si="2"/>
        <v/>
      </c>
    </row>
    <row r="273" ht="26.25" customHeight="1">
      <c r="H273" s="55" t="str">
        <f t="shared" si="2"/>
        <v/>
      </c>
    </row>
    <row r="274" ht="26.25" customHeight="1">
      <c r="H274" s="55" t="str">
        <f t="shared" si="2"/>
        <v/>
      </c>
    </row>
    <row r="275" ht="26.25" customHeight="1">
      <c r="H275" s="55" t="str">
        <f t="shared" si="2"/>
        <v/>
      </c>
    </row>
    <row r="276" ht="26.25" customHeight="1">
      <c r="H276" s="55" t="str">
        <f t="shared" si="2"/>
        <v/>
      </c>
    </row>
    <row r="277" ht="26.25" customHeight="1">
      <c r="H277" s="55" t="str">
        <f t="shared" si="2"/>
        <v/>
      </c>
    </row>
    <row r="278" ht="26.25" customHeight="1">
      <c r="H278" s="55" t="str">
        <f t="shared" si="2"/>
        <v/>
      </c>
    </row>
    <row r="279" ht="26.25" customHeight="1">
      <c r="H279" s="55" t="str">
        <f t="shared" si="2"/>
        <v/>
      </c>
    </row>
    <row r="280" ht="26.25" customHeight="1">
      <c r="H280" s="55" t="str">
        <f t="shared" si="2"/>
        <v/>
      </c>
    </row>
    <row r="281" ht="26.25" customHeight="1">
      <c r="H281" s="55" t="str">
        <f t="shared" si="2"/>
        <v/>
      </c>
    </row>
    <row r="282" ht="26.25" customHeight="1">
      <c r="H282" s="55" t="str">
        <f t="shared" si="2"/>
        <v/>
      </c>
    </row>
    <row r="283" ht="26.25" customHeight="1">
      <c r="H283" s="55" t="str">
        <f t="shared" si="2"/>
        <v/>
      </c>
    </row>
    <row r="284" ht="26.25" customHeight="1">
      <c r="H284" s="55" t="str">
        <f t="shared" si="2"/>
        <v/>
      </c>
    </row>
    <row r="285" ht="26.25" customHeight="1">
      <c r="H285" s="55" t="str">
        <f t="shared" si="2"/>
        <v/>
      </c>
    </row>
    <row r="286" ht="26.25" customHeight="1">
      <c r="H286" s="55" t="str">
        <f t="shared" si="2"/>
        <v/>
      </c>
    </row>
    <row r="287" ht="26.25" customHeight="1">
      <c r="H287" s="55" t="str">
        <f t="shared" si="2"/>
        <v/>
      </c>
    </row>
    <row r="288" ht="26.25" customHeight="1">
      <c r="H288" s="55" t="str">
        <f t="shared" si="2"/>
        <v/>
      </c>
    </row>
    <row r="289" ht="26.25" customHeight="1">
      <c r="H289" s="55" t="str">
        <f t="shared" si="2"/>
        <v/>
      </c>
    </row>
    <row r="290" ht="26.25" customHeight="1">
      <c r="H290" s="55" t="str">
        <f t="shared" si="2"/>
        <v/>
      </c>
    </row>
    <row r="291" ht="26.25" customHeight="1">
      <c r="H291" s="55" t="str">
        <f t="shared" si="2"/>
        <v/>
      </c>
    </row>
    <row r="292" ht="26.25" customHeight="1">
      <c r="H292" s="55" t="str">
        <f t="shared" si="2"/>
        <v/>
      </c>
    </row>
    <row r="293" ht="26.25" customHeight="1">
      <c r="H293" s="55" t="str">
        <f t="shared" si="2"/>
        <v/>
      </c>
    </row>
    <row r="294" ht="26.25" customHeight="1">
      <c r="H294" s="55" t="str">
        <f t="shared" si="2"/>
        <v/>
      </c>
    </row>
    <row r="295" ht="26.25" customHeight="1">
      <c r="H295" s="55" t="str">
        <f t="shared" si="2"/>
        <v/>
      </c>
    </row>
    <row r="296" ht="26.25" customHeight="1">
      <c r="H296" s="55" t="str">
        <f t="shared" si="2"/>
        <v/>
      </c>
    </row>
    <row r="297" ht="26.25" customHeight="1">
      <c r="H297" s="55" t="str">
        <f t="shared" si="2"/>
        <v/>
      </c>
    </row>
    <row r="298" ht="26.25" customHeight="1">
      <c r="H298" s="55" t="str">
        <f t="shared" si="2"/>
        <v/>
      </c>
    </row>
    <row r="299" ht="26.25" customHeight="1">
      <c r="H299" s="55" t="str">
        <f t="shared" si="2"/>
        <v/>
      </c>
    </row>
    <row r="300" ht="26.25" customHeight="1">
      <c r="H300" s="55" t="str">
        <f t="shared" si="2"/>
        <v/>
      </c>
    </row>
    <row r="301" ht="26.25" customHeight="1">
      <c r="H301" s="55" t="str">
        <f t="shared" si="2"/>
        <v/>
      </c>
    </row>
    <row r="302" ht="26.25" customHeight="1">
      <c r="H302" s="55" t="str">
        <f t="shared" si="2"/>
        <v/>
      </c>
    </row>
    <row r="303" ht="26.25" customHeight="1">
      <c r="H303" s="55" t="str">
        <f t="shared" si="2"/>
        <v/>
      </c>
    </row>
    <row r="304" ht="26.25" customHeight="1">
      <c r="H304" s="55" t="str">
        <f t="shared" si="2"/>
        <v/>
      </c>
    </row>
    <row r="305" ht="26.25" customHeight="1">
      <c r="H305" s="55" t="str">
        <f t="shared" si="2"/>
        <v/>
      </c>
    </row>
    <row r="306" ht="26.25" customHeight="1">
      <c r="H306" s="55" t="str">
        <f t="shared" si="2"/>
        <v/>
      </c>
    </row>
    <row r="307" ht="26.25" customHeight="1">
      <c r="H307" s="55" t="str">
        <f t="shared" si="2"/>
        <v/>
      </c>
    </row>
    <row r="308" ht="26.25" customHeight="1">
      <c r="H308" s="55" t="str">
        <f t="shared" si="2"/>
        <v/>
      </c>
    </row>
    <row r="309" ht="26.25" customHeight="1">
      <c r="H309" s="55" t="str">
        <f t="shared" si="2"/>
        <v/>
      </c>
    </row>
    <row r="310" ht="26.25" customHeight="1">
      <c r="H310" s="55" t="str">
        <f t="shared" si="2"/>
        <v/>
      </c>
    </row>
    <row r="311" ht="26.25" customHeight="1">
      <c r="H311" s="55" t="str">
        <f t="shared" si="2"/>
        <v/>
      </c>
    </row>
    <row r="312" ht="26.25" customHeight="1">
      <c r="H312" s="55" t="str">
        <f t="shared" si="2"/>
        <v/>
      </c>
    </row>
    <row r="313" ht="26.25" customHeight="1">
      <c r="H313" s="55" t="str">
        <f t="shared" si="2"/>
        <v/>
      </c>
    </row>
    <row r="314" ht="26.25" customHeight="1">
      <c r="H314" s="55" t="str">
        <f t="shared" si="2"/>
        <v/>
      </c>
    </row>
    <row r="315" ht="26.25" customHeight="1">
      <c r="H315" s="55" t="str">
        <f t="shared" si="2"/>
        <v/>
      </c>
    </row>
    <row r="316" ht="26.25" customHeight="1">
      <c r="H316" s="55" t="str">
        <f t="shared" si="2"/>
        <v/>
      </c>
    </row>
    <row r="317" ht="26.25" customHeight="1">
      <c r="H317" s="55" t="str">
        <f t="shared" si="2"/>
        <v/>
      </c>
    </row>
    <row r="318" ht="26.25" customHeight="1">
      <c r="H318" s="55" t="str">
        <f t="shared" si="2"/>
        <v/>
      </c>
    </row>
    <row r="319" ht="26.25" customHeight="1">
      <c r="H319" s="55" t="str">
        <f t="shared" si="2"/>
        <v/>
      </c>
    </row>
    <row r="320" ht="26.25" customHeight="1">
      <c r="H320" s="55" t="str">
        <f t="shared" si="2"/>
        <v/>
      </c>
    </row>
    <row r="321" ht="26.25" customHeight="1">
      <c r="H321" s="55" t="str">
        <f t="shared" si="2"/>
        <v/>
      </c>
    </row>
    <row r="322" ht="26.25" customHeight="1">
      <c r="H322" s="55" t="str">
        <f t="shared" si="2"/>
        <v/>
      </c>
    </row>
    <row r="323" ht="26.25" customHeight="1">
      <c r="H323" s="55" t="str">
        <f t="shared" si="2"/>
        <v/>
      </c>
    </row>
    <row r="324" ht="26.25" customHeight="1">
      <c r="H324" s="55" t="str">
        <f t="shared" si="2"/>
        <v/>
      </c>
    </row>
    <row r="325" ht="26.25" customHeight="1">
      <c r="H325" s="55" t="str">
        <f t="shared" si="2"/>
        <v/>
      </c>
    </row>
    <row r="326" ht="26.25" customHeight="1">
      <c r="H326" s="55" t="str">
        <f t="shared" si="2"/>
        <v/>
      </c>
    </row>
    <row r="327" ht="26.25" customHeight="1">
      <c r="H327" s="55" t="str">
        <f t="shared" si="2"/>
        <v/>
      </c>
    </row>
    <row r="328" ht="26.25" customHeight="1">
      <c r="H328" s="55" t="str">
        <f t="shared" si="2"/>
        <v/>
      </c>
    </row>
    <row r="329" ht="26.25" customHeight="1">
      <c r="H329" s="55" t="str">
        <f t="shared" si="2"/>
        <v/>
      </c>
    </row>
    <row r="330" ht="26.25" customHeight="1">
      <c r="H330" s="55" t="str">
        <f t="shared" si="2"/>
        <v/>
      </c>
    </row>
    <row r="331" ht="26.25" customHeight="1">
      <c r="H331" s="55" t="str">
        <f t="shared" si="2"/>
        <v/>
      </c>
    </row>
    <row r="332" ht="26.25" customHeight="1">
      <c r="H332" s="55" t="str">
        <f t="shared" si="2"/>
        <v/>
      </c>
    </row>
    <row r="333" ht="26.25" customHeight="1">
      <c r="H333" s="55" t="str">
        <f t="shared" si="2"/>
        <v/>
      </c>
    </row>
    <row r="334" ht="26.25" customHeight="1">
      <c r="H334" s="55" t="str">
        <f t="shared" si="2"/>
        <v/>
      </c>
    </row>
    <row r="335" ht="26.25" customHeight="1">
      <c r="H335" s="55" t="str">
        <f t="shared" si="2"/>
        <v/>
      </c>
    </row>
    <row r="336" ht="26.25" customHeight="1">
      <c r="H336" s="55" t="str">
        <f t="shared" si="2"/>
        <v/>
      </c>
    </row>
    <row r="337" ht="26.25" customHeight="1">
      <c r="H337" s="55" t="str">
        <f t="shared" si="2"/>
        <v/>
      </c>
    </row>
    <row r="338" ht="26.25" customHeight="1">
      <c r="H338" s="55" t="str">
        <f t="shared" si="2"/>
        <v/>
      </c>
    </row>
    <row r="339" ht="26.25" customHeight="1">
      <c r="H339" s="55" t="str">
        <f t="shared" si="2"/>
        <v/>
      </c>
    </row>
    <row r="340" ht="26.25" customHeight="1">
      <c r="H340" s="55" t="str">
        <f t="shared" si="2"/>
        <v/>
      </c>
    </row>
    <row r="341" ht="26.25" customHeight="1">
      <c r="H341" s="55" t="str">
        <f t="shared" si="2"/>
        <v/>
      </c>
    </row>
    <row r="342" ht="26.25" customHeight="1">
      <c r="H342" s="55" t="str">
        <f t="shared" si="2"/>
        <v/>
      </c>
    </row>
    <row r="343" ht="26.25" customHeight="1">
      <c r="H343" s="55" t="str">
        <f t="shared" si="2"/>
        <v/>
      </c>
    </row>
    <row r="344" ht="26.25" customHeight="1">
      <c r="H344" s="55" t="str">
        <f t="shared" si="2"/>
        <v/>
      </c>
    </row>
    <row r="345" ht="26.25" customHeight="1">
      <c r="H345" s="55" t="str">
        <f t="shared" si="2"/>
        <v/>
      </c>
    </row>
    <row r="346" ht="26.25" customHeight="1">
      <c r="H346" s="55" t="str">
        <f t="shared" si="2"/>
        <v/>
      </c>
    </row>
    <row r="347" ht="26.25" customHeight="1">
      <c r="H347" s="55" t="str">
        <f t="shared" si="2"/>
        <v/>
      </c>
    </row>
    <row r="348" ht="26.25" customHeight="1">
      <c r="H348" s="55" t="str">
        <f t="shared" si="2"/>
        <v/>
      </c>
    </row>
    <row r="349" ht="26.25" customHeight="1">
      <c r="H349" s="55" t="str">
        <f t="shared" si="2"/>
        <v/>
      </c>
    </row>
    <row r="350" ht="26.25" customHeight="1">
      <c r="H350" s="55" t="str">
        <f t="shared" si="2"/>
        <v/>
      </c>
    </row>
    <row r="351" ht="26.25" customHeight="1">
      <c r="H351" s="55" t="str">
        <f t="shared" si="2"/>
        <v/>
      </c>
    </row>
    <row r="352" ht="26.25" customHeight="1">
      <c r="H352" s="55" t="str">
        <f t="shared" si="2"/>
        <v/>
      </c>
    </row>
    <row r="353" ht="26.25" customHeight="1">
      <c r="H353" s="55" t="str">
        <f t="shared" si="2"/>
        <v/>
      </c>
    </row>
    <row r="354" ht="26.25" customHeight="1">
      <c r="H354" s="55" t="str">
        <f t="shared" si="2"/>
        <v/>
      </c>
    </row>
    <row r="355" ht="26.25" customHeight="1">
      <c r="H355" s="55" t="str">
        <f t="shared" si="2"/>
        <v/>
      </c>
    </row>
    <row r="356" ht="26.25" customHeight="1">
      <c r="H356" s="55" t="str">
        <f t="shared" si="2"/>
        <v/>
      </c>
    </row>
    <row r="357" ht="26.25" customHeight="1">
      <c r="H357" s="55" t="str">
        <f t="shared" si="2"/>
        <v/>
      </c>
    </row>
    <row r="358" ht="26.25" customHeight="1">
      <c r="H358" s="55" t="str">
        <f t="shared" si="2"/>
        <v/>
      </c>
    </row>
    <row r="359" ht="26.25" customHeight="1">
      <c r="H359" s="55" t="str">
        <f t="shared" si="2"/>
        <v/>
      </c>
    </row>
    <row r="360" ht="26.25" customHeight="1">
      <c r="H360" s="55" t="str">
        <f t="shared" si="2"/>
        <v/>
      </c>
    </row>
    <row r="361" ht="26.25" customHeight="1">
      <c r="H361" s="55" t="str">
        <f t="shared" si="2"/>
        <v/>
      </c>
    </row>
    <row r="362" ht="26.25" customHeight="1">
      <c r="H362" s="55" t="str">
        <f t="shared" si="2"/>
        <v/>
      </c>
    </row>
    <row r="363" ht="26.25" customHeight="1">
      <c r="H363" s="55" t="str">
        <f t="shared" si="2"/>
        <v/>
      </c>
    </row>
    <row r="364" ht="26.25" customHeight="1">
      <c r="H364" s="55" t="str">
        <f t="shared" si="2"/>
        <v/>
      </c>
    </row>
    <row r="365" ht="26.25" customHeight="1">
      <c r="H365" s="55" t="str">
        <f t="shared" si="2"/>
        <v/>
      </c>
    </row>
    <row r="366" ht="26.25" customHeight="1">
      <c r="H366" s="55" t="str">
        <f t="shared" si="2"/>
        <v/>
      </c>
    </row>
    <row r="367" ht="26.25" customHeight="1">
      <c r="H367" s="55" t="str">
        <f t="shared" si="2"/>
        <v/>
      </c>
    </row>
    <row r="368" ht="26.25" customHeight="1">
      <c r="H368" s="55" t="str">
        <f t="shared" si="2"/>
        <v/>
      </c>
    </row>
    <row r="369" ht="26.25" customHeight="1">
      <c r="H369" s="55" t="str">
        <f t="shared" si="2"/>
        <v/>
      </c>
    </row>
    <row r="370" ht="26.25" customHeight="1">
      <c r="H370" s="55" t="str">
        <f t="shared" si="2"/>
        <v/>
      </c>
    </row>
    <row r="371" ht="26.25" customHeight="1">
      <c r="H371" s="55" t="str">
        <f t="shared" si="2"/>
        <v/>
      </c>
    </row>
    <row r="372" ht="26.25" customHeight="1">
      <c r="H372" s="55" t="str">
        <f t="shared" si="2"/>
        <v/>
      </c>
    </row>
    <row r="373" ht="26.25" customHeight="1">
      <c r="H373" s="55" t="str">
        <f t="shared" si="2"/>
        <v/>
      </c>
    </row>
    <row r="374" ht="26.25" customHeight="1">
      <c r="H374" s="55" t="str">
        <f t="shared" si="2"/>
        <v/>
      </c>
    </row>
    <row r="375" ht="26.25" customHeight="1">
      <c r="H375" s="55" t="str">
        <f t="shared" si="2"/>
        <v/>
      </c>
    </row>
    <row r="376" ht="26.25" customHeight="1">
      <c r="H376" s="55" t="str">
        <f t="shared" si="2"/>
        <v/>
      </c>
    </row>
    <row r="377" ht="26.25" customHeight="1">
      <c r="H377" s="55" t="str">
        <f t="shared" si="2"/>
        <v/>
      </c>
    </row>
    <row r="378" ht="26.25" customHeight="1">
      <c r="H378" s="55" t="str">
        <f t="shared" si="2"/>
        <v/>
      </c>
    </row>
    <row r="379" ht="26.25" customHeight="1">
      <c r="H379" s="55" t="str">
        <f t="shared" si="2"/>
        <v/>
      </c>
    </row>
    <row r="380" ht="26.25" customHeight="1">
      <c r="H380" s="55" t="str">
        <f t="shared" si="2"/>
        <v/>
      </c>
    </row>
    <row r="381" ht="26.25" customHeight="1">
      <c r="H381" s="55" t="str">
        <f t="shared" si="2"/>
        <v/>
      </c>
    </row>
    <row r="382" ht="26.25" customHeight="1">
      <c r="H382" s="55" t="str">
        <f t="shared" si="2"/>
        <v/>
      </c>
    </row>
    <row r="383" ht="26.25" customHeight="1">
      <c r="H383" s="55" t="str">
        <f t="shared" si="2"/>
        <v/>
      </c>
    </row>
    <row r="384" ht="26.25" customHeight="1">
      <c r="H384" s="55" t="str">
        <f t="shared" si="2"/>
        <v/>
      </c>
    </row>
    <row r="385" ht="26.25" customHeight="1">
      <c r="H385" s="55" t="str">
        <f t="shared" si="2"/>
        <v/>
      </c>
    </row>
    <row r="386" ht="26.25" customHeight="1">
      <c r="H386" s="55" t="str">
        <f t="shared" si="2"/>
        <v/>
      </c>
    </row>
    <row r="387" ht="26.25" customHeight="1">
      <c r="H387" s="55" t="str">
        <f t="shared" si="2"/>
        <v/>
      </c>
    </row>
    <row r="388" ht="26.25" customHeight="1">
      <c r="H388" s="55" t="str">
        <f t="shared" si="2"/>
        <v/>
      </c>
    </row>
    <row r="389" ht="26.25" customHeight="1">
      <c r="H389" s="55" t="str">
        <f t="shared" si="2"/>
        <v/>
      </c>
    </row>
    <row r="390" ht="26.25" customHeight="1">
      <c r="H390" s="55" t="str">
        <f t="shared" si="2"/>
        <v/>
      </c>
    </row>
    <row r="391" ht="26.25" customHeight="1">
      <c r="H391" s="55" t="str">
        <f t="shared" si="2"/>
        <v/>
      </c>
    </row>
    <row r="392" ht="26.25" customHeight="1">
      <c r="H392" s="55" t="str">
        <f t="shared" si="2"/>
        <v/>
      </c>
    </row>
    <row r="393" ht="26.25" customHeight="1">
      <c r="H393" s="55" t="str">
        <f t="shared" si="2"/>
        <v/>
      </c>
    </row>
    <row r="394" ht="26.25" customHeight="1">
      <c r="H394" s="55" t="str">
        <f t="shared" si="2"/>
        <v/>
      </c>
    </row>
    <row r="395" ht="26.25" customHeight="1">
      <c r="H395" s="55" t="str">
        <f t="shared" si="2"/>
        <v/>
      </c>
    </row>
    <row r="396" ht="26.25" customHeight="1">
      <c r="H396" s="55" t="str">
        <f t="shared" si="2"/>
        <v/>
      </c>
    </row>
    <row r="397" ht="26.25" customHeight="1">
      <c r="H397" s="55" t="str">
        <f t="shared" si="2"/>
        <v/>
      </c>
    </row>
    <row r="398" ht="26.25" customHeight="1">
      <c r="H398" s="55" t="str">
        <f t="shared" si="2"/>
        <v/>
      </c>
    </row>
    <row r="399" ht="26.25" customHeight="1">
      <c r="H399" s="55" t="str">
        <f t="shared" si="2"/>
        <v/>
      </c>
    </row>
    <row r="400" ht="26.25" customHeight="1">
      <c r="H400" s="55" t="str">
        <f t="shared" si="2"/>
        <v/>
      </c>
    </row>
    <row r="401" ht="26.25" customHeight="1">
      <c r="H401" s="55" t="str">
        <f t="shared" si="2"/>
        <v/>
      </c>
    </row>
    <row r="402" ht="26.25" customHeight="1">
      <c r="H402" s="55" t="str">
        <f t="shared" si="2"/>
        <v/>
      </c>
    </row>
    <row r="403" ht="26.25" customHeight="1">
      <c r="H403" s="55" t="str">
        <f t="shared" si="2"/>
        <v/>
      </c>
    </row>
    <row r="404" ht="26.25" customHeight="1">
      <c r="H404" s="55" t="str">
        <f t="shared" si="2"/>
        <v/>
      </c>
    </row>
    <row r="405" ht="26.25" customHeight="1">
      <c r="H405" s="55" t="str">
        <f t="shared" si="2"/>
        <v/>
      </c>
    </row>
    <row r="406" ht="26.25" customHeight="1">
      <c r="H406" s="55" t="str">
        <f t="shared" si="2"/>
        <v/>
      </c>
    </row>
    <row r="407" ht="26.25" customHeight="1">
      <c r="H407" s="55" t="str">
        <f t="shared" si="2"/>
        <v/>
      </c>
    </row>
    <row r="408" ht="26.25" customHeight="1">
      <c r="H408" s="55" t="str">
        <f t="shared" si="2"/>
        <v/>
      </c>
    </row>
    <row r="409" ht="26.25" customHeight="1">
      <c r="H409" s="55" t="str">
        <f t="shared" si="2"/>
        <v/>
      </c>
    </row>
    <row r="410" ht="26.25" customHeight="1">
      <c r="H410" s="55" t="str">
        <f t="shared" si="2"/>
        <v/>
      </c>
    </row>
    <row r="411" ht="26.25" customHeight="1">
      <c r="H411" s="55" t="str">
        <f t="shared" si="2"/>
        <v/>
      </c>
    </row>
    <row r="412" ht="26.25" customHeight="1">
      <c r="H412" s="55" t="str">
        <f t="shared" si="2"/>
        <v/>
      </c>
    </row>
    <row r="413" ht="26.25" customHeight="1">
      <c r="H413" s="55" t="str">
        <f t="shared" si="2"/>
        <v/>
      </c>
    </row>
    <row r="414" ht="26.25" customHeight="1">
      <c r="H414" s="55" t="str">
        <f t="shared" si="2"/>
        <v/>
      </c>
    </row>
    <row r="415" ht="26.25" customHeight="1">
      <c r="H415" s="55" t="str">
        <f t="shared" si="2"/>
        <v/>
      </c>
    </row>
    <row r="416" ht="26.25" customHeight="1">
      <c r="H416" s="55" t="str">
        <f t="shared" si="2"/>
        <v/>
      </c>
    </row>
    <row r="417" ht="26.25" customHeight="1">
      <c r="H417" s="55" t="str">
        <f t="shared" si="2"/>
        <v/>
      </c>
    </row>
    <row r="418" ht="26.25" customHeight="1">
      <c r="H418" s="55" t="str">
        <f t="shared" si="2"/>
        <v/>
      </c>
    </row>
    <row r="419" ht="26.25" customHeight="1">
      <c r="H419" s="55" t="str">
        <f t="shared" si="2"/>
        <v/>
      </c>
    </row>
    <row r="420" ht="26.25" customHeight="1">
      <c r="H420" s="55" t="str">
        <f t="shared" si="2"/>
        <v/>
      </c>
    </row>
    <row r="421" ht="26.25" customHeight="1">
      <c r="H421" s="55" t="str">
        <f t="shared" si="2"/>
        <v/>
      </c>
    </row>
    <row r="422" ht="26.25" customHeight="1">
      <c r="H422" s="55" t="str">
        <f t="shared" si="2"/>
        <v/>
      </c>
    </row>
    <row r="423" ht="26.25" customHeight="1">
      <c r="H423" s="55" t="str">
        <f t="shared" si="2"/>
        <v/>
      </c>
    </row>
    <row r="424" ht="26.25" customHeight="1">
      <c r="H424" s="55" t="str">
        <f t="shared" si="2"/>
        <v/>
      </c>
    </row>
    <row r="425" ht="26.25" customHeight="1">
      <c r="H425" s="55" t="str">
        <f t="shared" si="2"/>
        <v/>
      </c>
    </row>
    <row r="426" ht="26.25" customHeight="1">
      <c r="H426" s="55" t="str">
        <f t="shared" si="2"/>
        <v/>
      </c>
    </row>
    <row r="427" ht="26.25" customHeight="1">
      <c r="H427" s="55" t="str">
        <f t="shared" si="2"/>
        <v/>
      </c>
    </row>
    <row r="428" ht="26.25" customHeight="1">
      <c r="H428" s="55" t="str">
        <f t="shared" si="2"/>
        <v/>
      </c>
    </row>
    <row r="429" ht="26.25" customHeight="1">
      <c r="H429" s="55" t="str">
        <f t="shared" si="2"/>
        <v/>
      </c>
    </row>
    <row r="430" ht="26.25" customHeight="1">
      <c r="H430" s="55" t="str">
        <f t="shared" si="2"/>
        <v/>
      </c>
    </row>
    <row r="431" ht="26.25" customHeight="1">
      <c r="H431" s="55" t="str">
        <f t="shared" si="2"/>
        <v/>
      </c>
    </row>
    <row r="432" ht="26.25" customHeight="1">
      <c r="H432" s="55" t="str">
        <f t="shared" si="2"/>
        <v/>
      </c>
    </row>
    <row r="433" ht="26.25" customHeight="1">
      <c r="H433" s="55" t="str">
        <f t="shared" si="2"/>
        <v/>
      </c>
    </row>
    <row r="434" ht="26.25" customHeight="1">
      <c r="H434" s="55" t="str">
        <f t="shared" si="2"/>
        <v/>
      </c>
    </row>
    <row r="435" ht="26.25" customHeight="1">
      <c r="H435" s="55" t="str">
        <f t="shared" si="2"/>
        <v/>
      </c>
    </row>
    <row r="436" ht="26.25" customHeight="1">
      <c r="H436" s="55" t="str">
        <f t="shared" si="2"/>
        <v/>
      </c>
    </row>
    <row r="437" ht="26.25" customHeight="1">
      <c r="H437" s="55" t="str">
        <f t="shared" si="2"/>
        <v/>
      </c>
    </row>
    <row r="438" ht="26.25" customHeight="1">
      <c r="H438" s="55" t="str">
        <f t="shared" si="2"/>
        <v/>
      </c>
    </row>
    <row r="439" ht="26.25" customHeight="1">
      <c r="H439" s="55" t="str">
        <f t="shared" si="2"/>
        <v/>
      </c>
    </row>
    <row r="440" ht="26.25" customHeight="1">
      <c r="H440" s="55" t="str">
        <f t="shared" si="2"/>
        <v/>
      </c>
    </row>
    <row r="441" ht="26.25" customHeight="1">
      <c r="H441" s="55" t="str">
        <f t="shared" si="2"/>
        <v/>
      </c>
    </row>
    <row r="442" ht="26.25" customHeight="1">
      <c r="H442" s="55" t="str">
        <f t="shared" si="2"/>
        <v/>
      </c>
    </row>
    <row r="443" ht="26.25" customHeight="1">
      <c r="H443" s="55" t="str">
        <f t="shared" si="2"/>
        <v/>
      </c>
    </row>
    <row r="444" ht="26.25" customHeight="1">
      <c r="H444" s="55" t="str">
        <f t="shared" si="2"/>
        <v/>
      </c>
    </row>
    <row r="445" ht="26.25" customHeight="1">
      <c r="H445" s="55" t="str">
        <f t="shared" si="2"/>
        <v/>
      </c>
    </row>
    <row r="446" ht="26.25" customHeight="1">
      <c r="H446" s="55" t="str">
        <f t="shared" si="2"/>
        <v/>
      </c>
    </row>
    <row r="447" ht="26.25" customHeight="1">
      <c r="H447" s="55" t="str">
        <f t="shared" si="2"/>
        <v/>
      </c>
    </row>
    <row r="448" ht="26.25" customHeight="1">
      <c r="H448" s="55" t="str">
        <f t="shared" si="2"/>
        <v/>
      </c>
    </row>
    <row r="449" ht="26.25" customHeight="1">
      <c r="H449" s="55" t="str">
        <f t="shared" si="2"/>
        <v/>
      </c>
    </row>
    <row r="450" ht="26.25" customHeight="1">
      <c r="H450" s="55" t="str">
        <f t="shared" si="2"/>
        <v/>
      </c>
    </row>
    <row r="451" ht="26.25" customHeight="1">
      <c r="H451" s="55" t="str">
        <f t="shared" si="2"/>
        <v/>
      </c>
    </row>
    <row r="452" ht="26.25" customHeight="1">
      <c r="H452" s="55" t="str">
        <f t="shared" si="2"/>
        <v/>
      </c>
    </row>
    <row r="453" ht="26.25" customHeight="1">
      <c r="H453" s="55" t="str">
        <f t="shared" si="2"/>
        <v/>
      </c>
    </row>
    <row r="454" ht="26.25" customHeight="1">
      <c r="H454" s="55" t="str">
        <f t="shared" si="2"/>
        <v/>
      </c>
    </row>
    <row r="455" ht="26.25" customHeight="1">
      <c r="H455" s="55" t="str">
        <f t="shared" si="2"/>
        <v/>
      </c>
    </row>
    <row r="456" ht="26.25" customHeight="1">
      <c r="H456" s="55" t="str">
        <f t="shared" si="2"/>
        <v/>
      </c>
    </row>
    <row r="457" ht="26.25" customHeight="1">
      <c r="H457" s="55" t="str">
        <f t="shared" si="2"/>
        <v/>
      </c>
    </row>
    <row r="458" ht="26.25" customHeight="1">
      <c r="H458" s="55" t="str">
        <f t="shared" si="2"/>
        <v/>
      </c>
    </row>
    <row r="459" ht="26.25" customHeight="1">
      <c r="H459" s="55" t="str">
        <f t="shared" si="2"/>
        <v/>
      </c>
    </row>
    <row r="460" ht="26.25" customHeight="1">
      <c r="H460" s="55" t="str">
        <f t="shared" si="2"/>
        <v/>
      </c>
    </row>
    <row r="461" ht="26.25" customHeight="1">
      <c r="H461" s="55" t="str">
        <f t="shared" si="2"/>
        <v/>
      </c>
    </row>
    <row r="462" ht="26.25" customHeight="1">
      <c r="H462" s="55" t="str">
        <f t="shared" si="2"/>
        <v/>
      </c>
    </row>
    <row r="463" ht="26.25" customHeight="1">
      <c r="H463" s="55" t="str">
        <f t="shared" si="2"/>
        <v/>
      </c>
    </row>
    <row r="464" ht="26.25" customHeight="1">
      <c r="H464" s="55" t="str">
        <f t="shared" si="2"/>
        <v/>
      </c>
    </row>
    <row r="465" ht="26.25" customHeight="1">
      <c r="H465" s="55" t="str">
        <f t="shared" si="2"/>
        <v/>
      </c>
    </row>
    <row r="466" ht="26.25" customHeight="1">
      <c r="H466" s="55" t="str">
        <f t="shared" si="2"/>
        <v/>
      </c>
    </row>
    <row r="467" ht="26.25" customHeight="1">
      <c r="H467" s="55" t="str">
        <f t="shared" si="2"/>
        <v/>
      </c>
    </row>
    <row r="468" ht="26.25" customHeight="1">
      <c r="H468" s="55" t="str">
        <f t="shared" si="2"/>
        <v/>
      </c>
    </row>
    <row r="469" ht="26.25" customHeight="1">
      <c r="H469" s="55" t="str">
        <f t="shared" si="2"/>
        <v/>
      </c>
    </row>
    <row r="470" ht="26.25" customHeight="1">
      <c r="H470" s="55" t="str">
        <f t="shared" si="2"/>
        <v/>
      </c>
    </row>
    <row r="471" ht="26.25" customHeight="1">
      <c r="H471" s="55" t="str">
        <f t="shared" si="2"/>
        <v/>
      </c>
    </row>
    <row r="472" ht="26.25" customHeight="1">
      <c r="H472" s="55" t="str">
        <f t="shared" si="2"/>
        <v/>
      </c>
    </row>
    <row r="473" ht="26.25" customHeight="1">
      <c r="H473" s="55" t="str">
        <f t="shared" si="2"/>
        <v/>
      </c>
    </row>
    <row r="474" ht="26.25" customHeight="1">
      <c r="H474" s="55" t="str">
        <f t="shared" si="2"/>
        <v/>
      </c>
    </row>
    <row r="475" ht="26.25" customHeight="1">
      <c r="H475" s="55" t="str">
        <f t="shared" si="2"/>
        <v/>
      </c>
    </row>
    <row r="476" ht="26.25" customHeight="1">
      <c r="H476" s="55" t="str">
        <f t="shared" si="2"/>
        <v/>
      </c>
    </row>
    <row r="477" ht="26.25" customHeight="1">
      <c r="H477" s="55" t="str">
        <f t="shared" si="2"/>
        <v/>
      </c>
    </row>
    <row r="478" ht="26.25" customHeight="1">
      <c r="H478" s="55" t="str">
        <f t="shared" si="2"/>
        <v/>
      </c>
    </row>
    <row r="479" ht="26.25" customHeight="1">
      <c r="H479" s="55" t="str">
        <f t="shared" si="2"/>
        <v/>
      </c>
    </row>
    <row r="480" ht="26.25" customHeight="1">
      <c r="H480" s="55" t="str">
        <f t="shared" si="2"/>
        <v/>
      </c>
    </row>
    <row r="481" ht="26.25" customHeight="1">
      <c r="H481" s="55" t="str">
        <f t="shared" si="2"/>
        <v/>
      </c>
    </row>
    <row r="482" ht="26.25" customHeight="1">
      <c r="H482" s="55" t="str">
        <f t="shared" si="2"/>
        <v/>
      </c>
    </row>
    <row r="483" ht="26.25" customHeight="1">
      <c r="H483" s="55" t="str">
        <f t="shared" si="2"/>
        <v/>
      </c>
    </row>
    <row r="484" ht="26.25" customHeight="1">
      <c r="H484" s="55" t="str">
        <f t="shared" si="2"/>
        <v/>
      </c>
    </row>
    <row r="485" ht="26.25" customHeight="1">
      <c r="H485" s="55" t="str">
        <f t="shared" si="2"/>
        <v/>
      </c>
    </row>
    <row r="486" ht="26.25" customHeight="1">
      <c r="H486" s="55" t="str">
        <f t="shared" si="2"/>
        <v/>
      </c>
    </row>
    <row r="487" ht="26.25" customHeight="1">
      <c r="H487" s="55" t="str">
        <f t="shared" si="2"/>
        <v/>
      </c>
    </row>
    <row r="488" ht="26.25" customHeight="1">
      <c r="H488" s="55" t="str">
        <f t="shared" si="2"/>
        <v/>
      </c>
    </row>
    <row r="489" ht="26.25" customHeight="1">
      <c r="H489" s="55" t="str">
        <f t="shared" si="2"/>
        <v/>
      </c>
    </row>
    <row r="490" ht="26.25" customHeight="1">
      <c r="H490" s="55" t="str">
        <f t="shared" si="2"/>
        <v/>
      </c>
    </row>
    <row r="491" ht="26.25" customHeight="1">
      <c r="H491" s="55" t="str">
        <f t="shared" si="2"/>
        <v/>
      </c>
    </row>
    <row r="492" ht="26.25" customHeight="1">
      <c r="H492" s="55" t="str">
        <f t="shared" si="2"/>
        <v/>
      </c>
    </row>
    <row r="493" ht="26.25" customHeight="1">
      <c r="H493" s="55" t="str">
        <f t="shared" si="2"/>
        <v/>
      </c>
    </row>
    <row r="494" ht="26.25" customHeight="1">
      <c r="H494" s="55" t="str">
        <f t="shared" si="2"/>
        <v/>
      </c>
    </row>
    <row r="495" ht="26.25" customHeight="1">
      <c r="H495" s="55" t="str">
        <f t="shared" si="2"/>
        <v/>
      </c>
    </row>
    <row r="496" ht="26.25" customHeight="1">
      <c r="H496" s="55" t="str">
        <f t="shared" si="2"/>
        <v/>
      </c>
    </row>
    <row r="497" ht="26.25" customHeight="1">
      <c r="H497" s="55" t="str">
        <f t="shared" si="2"/>
        <v/>
      </c>
    </row>
    <row r="498" ht="26.25" customHeight="1">
      <c r="H498" s="55" t="str">
        <f t="shared" si="2"/>
        <v/>
      </c>
    </row>
    <row r="499" ht="26.25" customHeight="1">
      <c r="H499" s="55" t="str">
        <f t="shared" si="2"/>
        <v/>
      </c>
    </row>
    <row r="500" ht="26.25" customHeight="1">
      <c r="H500" s="55" t="str">
        <f t="shared" si="2"/>
        <v/>
      </c>
    </row>
    <row r="501" ht="26.25" customHeight="1">
      <c r="H501" s="55" t="str">
        <f t="shared" si="2"/>
        <v/>
      </c>
    </row>
    <row r="502" ht="26.25" customHeight="1">
      <c r="H502" s="55" t="str">
        <f t="shared" si="2"/>
        <v/>
      </c>
    </row>
    <row r="503" ht="26.25" customHeight="1">
      <c r="H503" s="55" t="str">
        <f t="shared" si="2"/>
        <v/>
      </c>
    </row>
    <row r="504" ht="26.25" customHeight="1">
      <c r="H504" s="55" t="str">
        <f t="shared" si="2"/>
        <v/>
      </c>
    </row>
    <row r="505" ht="26.25" customHeight="1">
      <c r="H505" s="55" t="str">
        <f t="shared" si="2"/>
        <v/>
      </c>
    </row>
    <row r="506" ht="26.25" customHeight="1">
      <c r="H506" s="55" t="str">
        <f t="shared" si="2"/>
        <v/>
      </c>
    </row>
    <row r="507" ht="26.25" customHeight="1">
      <c r="H507" s="55" t="str">
        <f t="shared" si="2"/>
        <v/>
      </c>
    </row>
    <row r="508" ht="26.25" customHeight="1">
      <c r="H508" s="55" t="str">
        <f t="shared" si="2"/>
        <v/>
      </c>
    </row>
    <row r="509" ht="26.25" customHeight="1">
      <c r="H509" s="55" t="str">
        <f t="shared" si="2"/>
        <v/>
      </c>
    </row>
    <row r="510" ht="26.25" customHeight="1">
      <c r="H510" s="55" t="str">
        <f t="shared" si="2"/>
        <v/>
      </c>
    </row>
    <row r="511" ht="26.25" customHeight="1">
      <c r="H511" s="55" t="str">
        <f t="shared" si="2"/>
        <v/>
      </c>
    </row>
    <row r="512" ht="26.25" customHeight="1">
      <c r="H512" s="55" t="str">
        <f t="shared" si="2"/>
        <v/>
      </c>
    </row>
    <row r="513" ht="26.25" customHeight="1">
      <c r="H513" s="55" t="str">
        <f t="shared" si="2"/>
        <v/>
      </c>
    </row>
    <row r="514" ht="26.25" customHeight="1">
      <c r="H514" s="55" t="str">
        <f t="shared" si="2"/>
        <v/>
      </c>
    </row>
    <row r="515" ht="26.25" customHeight="1">
      <c r="H515" s="55" t="str">
        <f t="shared" si="2"/>
        <v/>
      </c>
    </row>
    <row r="516" ht="26.25" customHeight="1">
      <c r="H516" s="55" t="str">
        <f t="shared" si="2"/>
        <v/>
      </c>
    </row>
    <row r="517" ht="26.25" customHeight="1">
      <c r="H517" s="55" t="str">
        <f t="shared" si="2"/>
        <v/>
      </c>
    </row>
    <row r="518" ht="26.25" customHeight="1">
      <c r="H518" s="55" t="str">
        <f t="shared" si="2"/>
        <v/>
      </c>
    </row>
    <row r="519" ht="26.25" customHeight="1">
      <c r="H519" s="55" t="str">
        <f t="shared" si="2"/>
        <v/>
      </c>
    </row>
    <row r="520" ht="26.25" customHeight="1">
      <c r="H520" s="55" t="str">
        <f t="shared" si="2"/>
        <v/>
      </c>
    </row>
    <row r="521" ht="26.25" customHeight="1">
      <c r="H521" s="55" t="str">
        <f t="shared" si="2"/>
        <v/>
      </c>
    </row>
    <row r="522" ht="26.25" customHeight="1">
      <c r="H522" s="55" t="str">
        <f t="shared" si="2"/>
        <v/>
      </c>
    </row>
    <row r="523" ht="26.25" customHeight="1">
      <c r="H523" s="55" t="str">
        <f t="shared" si="2"/>
        <v/>
      </c>
    </row>
    <row r="524" ht="26.25" customHeight="1">
      <c r="H524" s="55" t="str">
        <f t="shared" si="2"/>
        <v/>
      </c>
    </row>
    <row r="525" ht="26.25" customHeight="1">
      <c r="H525" s="55" t="str">
        <f t="shared" si="2"/>
        <v/>
      </c>
    </row>
    <row r="526" ht="26.25" customHeight="1">
      <c r="H526" s="55" t="str">
        <f t="shared" si="2"/>
        <v/>
      </c>
    </row>
    <row r="527" ht="26.25" customHeight="1">
      <c r="H527" s="55" t="str">
        <f t="shared" si="2"/>
        <v/>
      </c>
    </row>
    <row r="528" ht="26.25" customHeight="1">
      <c r="H528" s="55" t="str">
        <f t="shared" si="2"/>
        <v/>
      </c>
    </row>
    <row r="529" ht="26.25" customHeight="1">
      <c r="H529" s="55" t="str">
        <f t="shared" si="2"/>
        <v/>
      </c>
    </row>
    <row r="530" ht="26.25" customHeight="1">
      <c r="H530" s="55" t="str">
        <f t="shared" si="2"/>
        <v/>
      </c>
    </row>
    <row r="531" ht="26.25" customHeight="1">
      <c r="H531" s="55" t="str">
        <f t="shared" si="2"/>
        <v/>
      </c>
    </row>
    <row r="532" ht="26.25" customHeight="1">
      <c r="H532" s="55" t="str">
        <f t="shared" si="2"/>
        <v/>
      </c>
    </row>
    <row r="533" ht="26.25" customHeight="1">
      <c r="H533" s="55" t="str">
        <f t="shared" si="2"/>
        <v/>
      </c>
    </row>
    <row r="534" ht="26.25" customHeight="1">
      <c r="H534" s="55" t="str">
        <f t="shared" si="2"/>
        <v/>
      </c>
    </row>
    <row r="535" ht="26.25" customHeight="1">
      <c r="H535" s="55" t="str">
        <f t="shared" si="2"/>
        <v/>
      </c>
    </row>
    <row r="536" ht="26.25" customHeight="1">
      <c r="H536" s="55" t="str">
        <f t="shared" si="2"/>
        <v/>
      </c>
    </row>
    <row r="537" ht="26.25" customHeight="1">
      <c r="H537" s="55" t="str">
        <f t="shared" si="2"/>
        <v/>
      </c>
    </row>
    <row r="538" ht="26.25" customHeight="1">
      <c r="H538" s="55" t="str">
        <f t="shared" si="2"/>
        <v/>
      </c>
    </row>
    <row r="539" ht="26.25" customHeight="1">
      <c r="H539" s="55" t="str">
        <f t="shared" si="2"/>
        <v/>
      </c>
    </row>
    <row r="540" ht="26.25" customHeight="1">
      <c r="H540" s="55" t="str">
        <f t="shared" si="2"/>
        <v/>
      </c>
    </row>
    <row r="541" ht="26.25" customHeight="1">
      <c r="H541" s="55" t="str">
        <f t="shared" si="2"/>
        <v/>
      </c>
    </row>
    <row r="542" ht="26.25" customHeight="1">
      <c r="H542" s="55" t="str">
        <f t="shared" si="2"/>
        <v/>
      </c>
    </row>
    <row r="543" ht="26.25" customHeight="1">
      <c r="H543" s="55" t="str">
        <f t="shared" si="2"/>
        <v/>
      </c>
    </row>
    <row r="544" ht="26.25" customHeight="1">
      <c r="H544" s="55" t="str">
        <f t="shared" si="2"/>
        <v/>
      </c>
    </row>
    <row r="545" ht="26.25" customHeight="1">
      <c r="H545" s="55" t="str">
        <f t="shared" si="2"/>
        <v/>
      </c>
    </row>
    <row r="546" ht="26.25" customHeight="1">
      <c r="H546" s="55" t="str">
        <f t="shared" si="2"/>
        <v/>
      </c>
    </row>
    <row r="547" ht="26.25" customHeight="1">
      <c r="H547" s="55" t="str">
        <f t="shared" si="2"/>
        <v/>
      </c>
    </row>
    <row r="548" ht="26.25" customHeight="1">
      <c r="H548" s="55" t="str">
        <f t="shared" si="2"/>
        <v/>
      </c>
    </row>
    <row r="549" ht="26.25" customHeight="1">
      <c r="H549" s="55" t="str">
        <f t="shared" si="2"/>
        <v/>
      </c>
    </row>
    <row r="550" ht="26.25" customHeight="1">
      <c r="H550" s="55" t="str">
        <f t="shared" si="2"/>
        <v/>
      </c>
    </row>
    <row r="551" ht="26.25" customHeight="1">
      <c r="H551" s="55" t="str">
        <f t="shared" si="2"/>
        <v/>
      </c>
    </row>
    <row r="552" ht="26.25" customHeight="1">
      <c r="H552" s="55" t="str">
        <f t="shared" si="2"/>
        <v/>
      </c>
    </row>
    <row r="553" ht="26.25" customHeight="1">
      <c r="H553" s="55" t="str">
        <f t="shared" si="2"/>
        <v/>
      </c>
    </row>
    <row r="554" ht="26.25" customHeight="1">
      <c r="H554" s="55" t="str">
        <f t="shared" si="2"/>
        <v/>
      </c>
    </row>
    <row r="555" ht="26.25" customHeight="1">
      <c r="H555" s="55" t="str">
        <f t="shared" si="2"/>
        <v/>
      </c>
    </row>
    <row r="556" ht="26.25" customHeight="1">
      <c r="H556" s="55" t="str">
        <f t="shared" si="2"/>
        <v/>
      </c>
    </row>
    <row r="557" ht="26.25" customHeight="1">
      <c r="H557" s="55" t="str">
        <f t="shared" si="2"/>
        <v/>
      </c>
    </row>
    <row r="558" ht="26.25" customHeight="1">
      <c r="H558" s="55" t="str">
        <f t="shared" si="2"/>
        <v/>
      </c>
    </row>
    <row r="559" ht="26.25" customHeight="1">
      <c r="H559" s="55" t="str">
        <f t="shared" si="2"/>
        <v/>
      </c>
    </row>
    <row r="560" ht="26.25" customHeight="1">
      <c r="H560" s="55" t="str">
        <f t="shared" si="2"/>
        <v/>
      </c>
    </row>
    <row r="561" ht="26.25" customHeight="1">
      <c r="H561" s="55" t="str">
        <f t="shared" si="2"/>
        <v/>
      </c>
    </row>
    <row r="562" ht="26.25" customHeight="1">
      <c r="H562" s="55" t="str">
        <f t="shared" si="2"/>
        <v/>
      </c>
    </row>
    <row r="563" ht="26.25" customHeight="1">
      <c r="H563" s="55" t="str">
        <f t="shared" si="2"/>
        <v/>
      </c>
    </row>
    <row r="564" ht="26.25" customHeight="1">
      <c r="H564" s="55" t="str">
        <f t="shared" si="2"/>
        <v/>
      </c>
    </row>
    <row r="565" ht="26.25" customHeight="1">
      <c r="H565" s="55" t="str">
        <f t="shared" si="2"/>
        <v/>
      </c>
    </row>
    <row r="566" ht="26.25" customHeight="1">
      <c r="H566" s="55" t="str">
        <f t="shared" si="2"/>
        <v/>
      </c>
    </row>
    <row r="567" ht="26.25" customHeight="1">
      <c r="H567" s="55" t="str">
        <f t="shared" si="2"/>
        <v/>
      </c>
    </row>
    <row r="568" ht="26.25" customHeight="1">
      <c r="H568" s="55" t="str">
        <f t="shared" si="2"/>
        <v/>
      </c>
    </row>
    <row r="569" ht="26.25" customHeight="1">
      <c r="H569" s="55" t="str">
        <f t="shared" si="2"/>
        <v/>
      </c>
    </row>
    <row r="570" ht="26.25" customHeight="1">
      <c r="H570" s="55" t="str">
        <f t="shared" si="2"/>
        <v/>
      </c>
    </row>
    <row r="571" ht="26.25" customHeight="1">
      <c r="H571" s="55" t="str">
        <f t="shared" si="2"/>
        <v/>
      </c>
    </row>
    <row r="572" ht="26.25" customHeight="1">
      <c r="H572" s="55" t="str">
        <f t="shared" si="2"/>
        <v/>
      </c>
    </row>
    <row r="573" ht="26.25" customHeight="1">
      <c r="H573" s="55" t="str">
        <f t="shared" si="2"/>
        <v/>
      </c>
    </row>
    <row r="574" ht="26.25" customHeight="1">
      <c r="H574" s="55" t="str">
        <f t="shared" si="2"/>
        <v/>
      </c>
    </row>
    <row r="575" ht="26.25" customHeight="1">
      <c r="H575" s="55" t="str">
        <f t="shared" si="2"/>
        <v/>
      </c>
    </row>
    <row r="576" ht="26.25" customHeight="1">
      <c r="H576" s="55" t="str">
        <f t="shared" si="2"/>
        <v/>
      </c>
    </row>
    <row r="577" ht="26.25" customHeight="1">
      <c r="H577" s="55" t="str">
        <f t="shared" si="2"/>
        <v/>
      </c>
    </row>
    <row r="578" ht="26.25" customHeight="1">
      <c r="H578" s="55" t="str">
        <f t="shared" si="2"/>
        <v/>
      </c>
    </row>
    <row r="579" ht="26.25" customHeight="1">
      <c r="H579" s="55" t="str">
        <f t="shared" si="2"/>
        <v/>
      </c>
    </row>
    <row r="580" ht="26.25" customHeight="1">
      <c r="H580" s="55" t="str">
        <f t="shared" si="2"/>
        <v/>
      </c>
    </row>
    <row r="581" ht="26.25" customHeight="1">
      <c r="H581" s="55" t="str">
        <f t="shared" si="2"/>
        <v/>
      </c>
    </row>
    <row r="582" ht="26.25" customHeight="1">
      <c r="H582" s="55" t="str">
        <f t="shared" si="2"/>
        <v/>
      </c>
    </row>
    <row r="583" ht="26.25" customHeight="1">
      <c r="H583" s="55" t="str">
        <f t="shared" si="2"/>
        <v/>
      </c>
    </row>
    <row r="584" ht="26.25" customHeight="1">
      <c r="H584" s="55" t="str">
        <f t="shared" si="2"/>
        <v/>
      </c>
    </row>
    <row r="585" ht="26.25" customHeight="1">
      <c r="H585" s="55" t="str">
        <f t="shared" si="2"/>
        <v/>
      </c>
    </row>
    <row r="586" ht="26.25" customHeight="1">
      <c r="H586" s="55" t="str">
        <f t="shared" si="2"/>
        <v/>
      </c>
    </row>
    <row r="587" ht="26.25" customHeight="1">
      <c r="H587" s="55" t="str">
        <f t="shared" si="2"/>
        <v/>
      </c>
    </row>
    <row r="588" ht="26.25" customHeight="1">
      <c r="H588" s="55" t="str">
        <f t="shared" si="2"/>
        <v/>
      </c>
    </row>
    <row r="589" ht="26.25" customHeight="1">
      <c r="H589" s="55" t="str">
        <f t="shared" si="2"/>
        <v/>
      </c>
    </row>
    <row r="590" ht="26.25" customHeight="1">
      <c r="H590" s="55" t="str">
        <f t="shared" si="2"/>
        <v/>
      </c>
    </row>
    <row r="591" ht="26.25" customHeight="1">
      <c r="H591" s="55" t="str">
        <f t="shared" si="2"/>
        <v/>
      </c>
    </row>
    <row r="592" ht="26.25" customHeight="1">
      <c r="H592" s="55" t="str">
        <f t="shared" si="2"/>
        <v/>
      </c>
    </row>
    <row r="593" ht="26.25" customHeight="1">
      <c r="H593" s="55" t="str">
        <f t="shared" si="2"/>
        <v/>
      </c>
    </row>
    <row r="594" ht="26.25" customHeight="1">
      <c r="H594" s="55" t="str">
        <f t="shared" si="2"/>
        <v/>
      </c>
    </row>
    <row r="595" ht="26.25" customHeight="1">
      <c r="H595" s="55" t="str">
        <f t="shared" si="2"/>
        <v/>
      </c>
    </row>
    <row r="596" ht="26.25" customHeight="1">
      <c r="H596" s="55" t="str">
        <f t="shared" si="2"/>
        <v/>
      </c>
    </row>
    <row r="597" ht="26.25" customHeight="1">
      <c r="H597" s="55" t="str">
        <f t="shared" si="2"/>
        <v/>
      </c>
    </row>
    <row r="598" ht="26.25" customHeight="1">
      <c r="H598" s="55" t="str">
        <f t="shared" si="2"/>
        <v/>
      </c>
    </row>
    <row r="599" ht="26.25" customHeight="1">
      <c r="H599" s="55" t="str">
        <f t="shared" si="2"/>
        <v/>
      </c>
    </row>
    <row r="600" ht="26.25" customHeight="1">
      <c r="H600" s="55" t="str">
        <f t="shared" si="2"/>
        <v/>
      </c>
    </row>
    <row r="601" ht="26.25" customHeight="1">
      <c r="H601" s="55" t="str">
        <f t="shared" si="2"/>
        <v/>
      </c>
    </row>
    <row r="602" ht="26.25" customHeight="1">
      <c r="H602" s="55" t="str">
        <f t="shared" si="2"/>
        <v/>
      </c>
    </row>
    <row r="603" ht="26.25" customHeight="1">
      <c r="H603" s="55" t="str">
        <f t="shared" si="2"/>
        <v/>
      </c>
    </row>
    <row r="604" ht="26.25" customHeight="1">
      <c r="H604" s="55" t="str">
        <f t="shared" si="2"/>
        <v/>
      </c>
    </row>
    <row r="605" ht="26.25" customHeight="1">
      <c r="H605" s="55" t="str">
        <f t="shared" si="2"/>
        <v/>
      </c>
    </row>
    <row r="606" ht="26.25" customHeight="1">
      <c r="H606" s="55" t="str">
        <f t="shared" si="2"/>
        <v/>
      </c>
    </row>
    <row r="607" ht="26.25" customHeight="1">
      <c r="H607" s="55" t="str">
        <f t="shared" si="2"/>
        <v/>
      </c>
    </row>
    <row r="608" ht="26.25" customHeight="1">
      <c r="H608" s="55" t="str">
        <f t="shared" si="2"/>
        <v/>
      </c>
    </row>
    <row r="609" ht="26.25" customHeight="1">
      <c r="H609" s="55" t="str">
        <f t="shared" si="2"/>
        <v/>
      </c>
    </row>
    <row r="610" ht="26.25" customHeight="1">
      <c r="H610" s="55" t="str">
        <f t="shared" si="2"/>
        <v/>
      </c>
    </row>
    <row r="611" ht="26.25" customHeight="1">
      <c r="H611" s="55" t="str">
        <f t="shared" si="2"/>
        <v/>
      </c>
    </row>
    <row r="612" ht="26.25" customHeight="1">
      <c r="H612" s="55" t="str">
        <f t="shared" si="2"/>
        <v/>
      </c>
    </row>
    <row r="613" ht="26.25" customHeight="1">
      <c r="H613" s="55" t="str">
        <f t="shared" si="2"/>
        <v/>
      </c>
    </row>
    <row r="614" ht="26.25" customHeight="1">
      <c r="H614" s="55" t="str">
        <f t="shared" si="2"/>
        <v/>
      </c>
    </row>
    <row r="615" ht="26.25" customHeight="1">
      <c r="H615" s="55" t="str">
        <f t="shared" si="2"/>
        <v/>
      </c>
    </row>
    <row r="616" ht="26.25" customHeight="1">
      <c r="H616" s="55" t="str">
        <f t="shared" si="2"/>
        <v/>
      </c>
    </row>
    <row r="617" ht="26.25" customHeight="1">
      <c r="H617" s="55" t="str">
        <f t="shared" si="2"/>
        <v/>
      </c>
    </row>
    <row r="618" ht="26.25" customHeight="1">
      <c r="H618" s="55" t="str">
        <f t="shared" si="2"/>
        <v/>
      </c>
    </row>
    <row r="619" ht="26.25" customHeight="1">
      <c r="H619" s="55" t="str">
        <f t="shared" si="2"/>
        <v/>
      </c>
    </row>
    <row r="620" ht="26.25" customHeight="1">
      <c r="H620" s="55" t="str">
        <f t="shared" si="2"/>
        <v/>
      </c>
    </row>
    <row r="621" ht="26.25" customHeight="1">
      <c r="H621" s="55" t="str">
        <f t="shared" si="2"/>
        <v/>
      </c>
    </row>
    <row r="622" ht="26.25" customHeight="1">
      <c r="H622" s="55" t="str">
        <f t="shared" si="2"/>
        <v/>
      </c>
    </row>
    <row r="623" ht="26.25" customHeight="1">
      <c r="H623" s="55" t="str">
        <f t="shared" si="2"/>
        <v/>
      </c>
    </row>
    <row r="624" ht="26.25" customHeight="1">
      <c r="H624" s="55" t="str">
        <f t="shared" si="2"/>
        <v/>
      </c>
    </row>
    <row r="625" ht="26.25" customHeight="1">
      <c r="H625" s="55" t="str">
        <f t="shared" si="2"/>
        <v/>
      </c>
    </row>
    <row r="626" ht="26.25" customHeight="1">
      <c r="H626" s="55" t="str">
        <f t="shared" si="2"/>
        <v/>
      </c>
    </row>
    <row r="627" ht="26.25" customHeight="1">
      <c r="H627" s="55" t="str">
        <f t="shared" si="2"/>
        <v/>
      </c>
    </row>
    <row r="628" ht="26.25" customHeight="1">
      <c r="H628" s="55" t="str">
        <f t="shared" si="2"/>
        <v/>
      </c>
    </row>
    <row r="629" ht="26.25" customHeight="1">
      <c r="H629" s="55" t="str">
        <f t="shared" si="2"/>
        <v/>
      </c>
    </row>
    <row r="630" ht="26.25" customHeight="1">
      <c r="H630" s="55" t="str">
        <f t="shared" si="2"/>
        <v/>
      </c>
    </row>
    <row r="631" ht="26.25" customHeight="1">
      <c r="H631" s="55" t="str">
        <f t="shared" si="2"/>
        <v/>
      </c>
    </row>
    <row r="632" ht="26.25" customHeight="1">
      <c r="H632" s="55" t="str">
        <f t="shared" si="2"/>
        <v/>
      </c>
    </row>
    <row r="633" ht="26.25" customHeight="1">
      <c r="H633" s="55" t="str">
        <f t="shared" si="2"/>
        <v/>
      </c>
    </row>
    <row r="634" ht="26.25" customHeight="1">
      <c r="H634" s="55" t="str">
        <f t="shared" si="2"/>
        <v/>
      </c>
    </row>
    <row r="635" ht="26.25" customHeight="1">
      <c r="H635" s="55" t="str">
        <f t="shared" si="2"/>
        <v/>
      </c>
    </row>
    <row r="636" ht="26.25" customHeight="1">
      <c r="H636" s="55" t="str">
        <f t="shared" si="2"/>
        <v/>
      </c>
    </row>
    <row r="637" ht="26.25" customHeight="1">
      <c r="H637" s="55" t="str">
        <f t="shared" si="2"/>
        <v/>
      </c>
    </row>
    <row r="638" ht="26.25" customHeight="1">
      <c r="H638" s="55" t="str">
        <f t="shared" si="2"/>
        <v/>
      </c>
    </row>
    <row r="639" ht="26.25" customHeight="1">
      <c r="H639" s="55" t="str">
        <f t="shared" si="2"/>
        <v/>
      </c>
    </row>
    <row r="640" ht="26.25" customHeight="1">
      <c r="H640" s="55" t="str">
        <f t="shared" si="2"/>
        <v/>
      </c>
    </row>
    <row r="641" ht="26.25" customHeight="1">
      <c r="H641" s="55" t="str">
        <f t="shared" si="2"/>
        <v/>
      </c>
    </row>
    <row r="642" ht="26.25" customHeight="1">
      <c r="H642" s="55" t="str">
        <f t="shared" si="2"/>
        <v/>
      </c>
    </row>
    <row r="643" ht="26.25" customHeight="1">
      <c r="H643" s="55" t="str">
        <f t="shared" si="2"/>
        <v/>
      </c>
    </row>
    <row r="644" ht="26.25" customHeight="1">
      <c r="H644" s="55" t="str">
        <f t="shared" si="2"/>
        <v/>
      </c>
    </row>
    <row r="645" ht="26.25" customHeight="1">
      <c r="H645" s="55" t="str">
        <f t="shared" si="2"/>
        <v/>
      </c>
    </row>
    <row r="646" ht="26.25" customHeight="1">
      <c r="H646" s="55" t="str">
        <f t="shared" si="2"/>
        <v/>
      </c>
    </row>
    <row r="647" ht="26.25" customHeight="1">
      <c r="H647" s="55" t="str">
        <f t="shared" si="2"/>
        <v/>
      </c>
    </row>
    <row r="648" ht="26.25" customHeight="1">
      <c r="H648" s="55" t="str">
        <f t="shared" si="2"/>
        <v/>
      </c>
    </row>
    <row r="649" ht="26.25" customHeight="1">
      <c r="H649" s="55" t="str">
        <f t="shared" si="2"/>
        <v/>
      </c>
    </row>
    <row r="650" ht="26.25" customHeight="1">
      <c r="H650" s="55" t="str">
        <f t="shared" si="2"/>
        <v/>
      </c>
    </row>
    <row r="651" ht="26.25" customHeight="1">
      <c r="H651" s="55" t="str">
        <f t="shared" si="2"/>
        <v/>
      </c>
    </row>
    <row r="652" ht="26.25" customHeight="1">
      <c r="H652" s="55" t="str">
        <f t="shared" si="2"/>
        <v/>
      </c>
    </row>
    <row r="653" ht="26.25" customHeight="1">
      <c r="H653" s="55" t="str">
        <f t="shared" si="2"/>
        <v/>
      </c>
    </row>
    <row r="654" ht="26.25" customHeight="1">
      <c r="H654" s="55" t="str">
        <f t="shared" si="2"/>
        <v/>
      </c>
    </row>
    <row r="655" ht="26.25" customHeight="1">
      <c r="H655" s="55" t="str">
        <f t="shared" si="2"/>
        <v/>
      </c>
    </row>
    <row r="656" ht="26.25" customHeight="1">
      <c r="H656" s="55" t="str">
        <f t="shared" si="2"/>
        <v/>
      </c>
    </row>
    <row r="657" ht="26.25" customHeight="1">
      <c r="H657" s="55" t="str">
        <f t="shared" si="2"/>
        <v/>
      </c>
    </row>
    <row r="658" ht="26.25" customHeight="1">
      <c r="H658" s="55" t="str">
        <f t="shared" si="2"/>
        <v/>
      </c>
    </row>
    <row r="659" ht="26.25" customHeight="1">
      <c r="H659" s="55" t="str">
        <f t="shared" si="2"/>
        <v/>
      </c>
    </row>
    <row r="660" ht="26.25" customHeight="1">
      <c r="H660" s="55" t="str">
        <f t="shared" si="2"/>
        <v/>
      </c>
    </row>
    <row r="661" ht="26.25" customHeight="1">
      <c r="H661" s="55" t="str">
        <f t="shared" si="2"/>
        <v/>
      </c>
    </row>
    <row r="662" ht="26.25" customHeight="1">
      <c r="H662" s="55" t="str">
        <f t="shared" si="2"/>
        <v/>
      </c>
    </row>
    <row r="663" ht="26.25" customHeight="1">
      <c r="H663" s="55" t="str">
        <f t="shared" si="2"/>
        <v/>
      </c>
    </row>
    <row r="664" ht="26.25" customHeight="1">
      <c r="H664" s="55" t="str">
        <f t="shared" si="2"/>
        <v/>
      </c>
    </row>
    <row r="665" ht="26.25" customHeight="1">
      <c r="H665" s="55" t="str">
        <f t="shared" si="2"/>
        <v/>
      </c>
    </row>
    <row r="666" ht="26.25" customHeight="1">
      <c r="H666" s="55" t="str">
        <f t="shared" si="2"/>
        <v/>
      </c>
    </row>
    <row r="667" ht="26.25" customHeight="1">
      <c r="H667" s="55" t="str">
        <f t="shared" si="2"/>
        <v/>
      </c>
    </row>
    <row r="668" ht="26.25" customHeight="1">
      <c r="H668" s="55" t="str">
        <f t="shared" si="2"/>
        <v/>
      </c>
    </row>
    <row r="669" ht="26.25" customHeight="1">
      <c r="H669" s="55" t="str">
        <f t="shared" si="2"/>
        <v/>
      </c>
    </row>
    <row r="670" ht="26.25" customHeight="1">
      <c r="H670" s="55" t="str">
        <f t="shared" si="2"/>
        <v/>
      </c>
    </row>
    <row r="671" ht="26.25" customHeight="1">
      <c r="H671" s="55" t="str">
        <f t="shared" si="2"/>
        <v/>
      </c>
    </row>
    <row r="672" ht="26.25" customHeight="1">
      <c r="H672" s="55" t="str">
        <f t="shared" si="2"/>
        <v/>
      </c>
    </row>
    <row r="673" ht="26.25" customHeight="1">
      <c r="H673" s="55" t="str">
        <f t="shared" si="2"/>
        <v/>
      </c>
    </row>
    <row r="674" ht="26.25" customHeight="1">
      <c r="H674" s="55" t="str">
        <f t="shared" si="2"/>
        <v/>
      </c>
    </row>
    <row r="675" ht="26.25" customHeight="1">
      <c r="H675" s="55" t="str">
        <f t="shared" si="2"/>
        <v/>
      </c>
    </row>
    <row r="676" ht="26.25" customHeight="1">
      <c r="H676" s="55" t="str">
        <f t="shared" si="2"/>
        <v/>
      </c>
    </row>
    <row r="677" ht="26.25" customHeight="1">
      <c r="H677" s="55" t="str">
        <f t="shared" si="2"/>
        <v/>
      </c>
    </row>
    <row r="678" ht="26.25" customHeight="1">
      <c r="H678" s="55" t="str">
        <f t="shared" si="2"/>
        <v/>
      </c>
    </row>
    <row r="679" ht="26.25" customHeight="1">
      <c r="H679" s="55" t="str">
        <f t="shared" si="2"/>
        <v/>
      </c>
    </row>
    <row r="680" ht="26.25" customHeight="1">
      <c r="H680" s="55" t="str">
        <f t="shared" si="2"/>
        <v/>
      </c>
    </row>
    <row r="681" ht="26.25" customHeight="1">
      <c r="H681" s="55" t="str">
        <f t="shared" si="2"/>
        <v/>
      </c>
    </row>
    <row r="682" ht="26.25" customHeight="1">
      <c r="H682" s="55" t="str">
        <f t="shared" si="2"/>
        <v/>
      </c>
    </row>
    <row r="683" ht="26.25" customHeight="1">
      <c r="H683" s="55" t="str">
        <f t="shared" si="2"/>
        <v/>
      </c>
    </row>
    <row r="684" ht="26.25" customHeight="1">
      <c r="H684" s="55" t="str">
        <f t="shared" si="2"/>
        <v/>
      </c>
    </row>
    <row r="685" ht="26.25" customHeight="1">
      <c r="H685" s="55" t="str">
        <f t="shared" si="2"/>
        <v/>
      </c>
    </row>
    <row r="686" ht="26.25" customHeight="1">
      <c r="H686" s="55" t="str">
        <f t="shared" si="2"/>
        <v/>
      </c>
    </row>
    <row r="687" ht="26.25" customHeight="1">
      <c r="H687" s="55" t="str">
        <f t="shared" si="2"/>
        <v/>
      </c>
    </row>
    <row r="688" ht="26.25" customHeight="1">
      <c r="H688" s="55" t="str">
        <f t="shared" si="2"/>
        <v/>
      </c>
    </row>
    <row r="689" ht="26.25" customHeight="1">
      <c r="H689" s="55" t="str">
        <f t="shared" si="2"/>
        <v/>
      </c>
    </row>
    <row r="690" ht="26.25" customHeight="1">
      <c r="H690" s="55" t="str">
        <f t="shared" si="2"/>
        <v/>
      </c>
    </row>
    <row r="691" ht="26.25" customHeight="1">
      <c r="H691" s="55" t="str">
        <f t="shared" si="2"/>
        <v/>
      </c>
    </row>
    <row r="692" ht="26.25" customHeight="1">
      <c r="H692" s="55" t="str">
        <f t="shared" si="2"/>
        <v/>
      </c>
    </row>
    <row r="693" ht="26.25" customHeight="1">
      <c r="H693" s="55" t="str">
        <f t="shared" si="2"/>
        <v/>
      </c>
    </row>
    <row r="694" ht="26.25" customHeight="1">
      <c r="H694" s="55" t="str">
        <f t="shared" si="2"/>
        <v/>
      </c>
    </row>
    <row r="695" ht="26.25" customHeight="1">
      <c r="H695" s="55" t="str">
        <f t="shared" si="2"/>
        <v/>
      </c>
    </row>
    <row r="696" ht="26.25" customHeight="1">
      <c r="H696" s="55" t="str">
        <f t="shared" si="2"/>
        <v/>
      </c>
    </row>
    <row r="697" ht="26.25" customHeight="1">
      <c r="H697" s="55" t="str">
        <f t="shared" si="2"/>
        <v/>
      </c>
    </row>
    <row r="698" ht="26.25" customHeight="1">
      <c r="H698" s="55" t="str">
        <f t="shared" si="2"/>
        <v/>
      </c>
    </row>
    <row r="699" ht="26.25" customHeight="1">
      <c r="H699" s="55" t="str">
        <f t="shared" si="2"/>
        <v/>
      </c>
    </row>
    <row r="700" ht="26.25" customHeight="1">
      <c r="H700" s="55" t="str">
        <f t="shared" si="2"/>
        <v/>
      </c>
    </row>
    <row r="701" ht="26.25" customHeight="1">
      <c r="H701" s="55" t="str">
        <f t="shared" si="2"/>
        <v/>
      </c>
    </row>
    <row r="702" ht="26.25" customHeight="1">
      <c r="H702" s="55" t="str">
        <f t="shared" si="2"/>
        <v/>
      </c>
    </row>
    <row r="703" ht="26.25" customHeight="1">
      <c r="H703" s="55" t="str">
        <f t="shared" si="2"/>
        <v/>
      </c>
    </row>
    <row r="704" ht="26.25" customHeight="1">
      <c r="H704" s="55" t="str">
        <f t="shared" si="2"/>
        <v/>
      </c>
    </row>
    <row r="705" ht="26.25" customHeight="1">
      <c r="H705" s="55" t="str">
        <f t="shared" si="2"/>
        <v/>
      </c>
    </row>
    <row r="706" ht="26.25" customHeight="1">
      <c r="H706" s="55" t="str">
        <f t="shared" si="2"/>
        <v/>
      </c>
    </row>
    <row r="707" ht="26.25" customHeight="1">
      <c r="H707" s="55" t="str">
        <f t="shared" si="2"/>
        <v/>
      </c>
    </row>
    <row r="708" ht="26.25" customHeight="1">
      <c r="H708" s="55" t="str">
        <f t="shared" si="2"/>
        <v/>
      </c>
    </row>
    <row r="709" ht="26.25" customHeight="1">
      <c r="H709" s="55" t="str">
        <f t="shared" si="2"/>
        <v/>
      </c>
    </row>
    <row r="710" ht="26.25" customHeight="1">
      <c r="H710" s="55" t="str">
        <f t="shared" si="2"/>
        <v/>
      </c>
    </row>
    <row r="711" ht="26.25" customHeight="1">
      <c r="H711" s="55" t="str">
        <f t="shared" si="2"/>
        <v/>
      </c>
    </row>
    <row r="712" ht="26.25" customHeight="1">
      <c r="H712" s="55" t="str">
        <f t="shared" si="2"/>
        <v/>
      </c>
    </row>
    <row r="713" ht="26.25" customHeight="1">
      <c r="H713" s="55" t="str">
        <f t="shared" si="2"/>
        <v/>
      </c>
    </row>
    <row r="714" ht="26.25" customHeight="1">
      <c r="H714" s="55" t="str">
        <f t="shared" si="2"/>
        <v/>
      </c>
    </row>
    <row r="715" ht="26.25" customHeight="1">
      <c r="H715" s="55" t="str">
        <f t="shared" si="2"/>
        <v/>
      </c>
    </row>
    <row r="716" ht="26.25" customHeight="1">
      <c r="H716" s="55" t="str">
        <f t="shared" si="2"/>
        <v/>
      </c>
    </row>
    <row r="717" ht="26.25" customHeight="1">
      <c r="H717" s="55" t="str">
        <f t="shared" si="2"/>
        <v/>
      </c>
    </row>
    <row r="718" ht="26.25" customHeight="1">
      <c r="H718" s="55" t="str">
        <f t="shared" si="2"/>
        <v/>
      </c>
    </row>
    <row r="719" ht="26.25" customHeight="1">
      <c r="H719" s="55" t="str">
        <f t="shared" si="2"/>
        <v/>
      </c>
    </row>
    <row r="720" ht="26.25" customHeight="1">
      <c r="H720" s="55" t="str">
        <f t="shared" si="2"/>
        <v/>
      </c>
    </row>
    <row r="721" ht="26.25" customHeight="1">
      <c r="H721" s="55" t="str">
        <f t="shared" si="2"/>
        <v/>
      </c>
    </row>
    <row r="722" ht="26.25" customHeight="1">
      <c r="H722" s="55" t="str">
        <f t="shared" si="2"/>
        <v/>
      </c>
    </row>
    <row r="723" ht="26.25" customHeight="1">
      <c r="H723" s="55" t="str">
        <f t="shared" si="2"/>
        <v/>
      </c>
    </row>
    <row r="724" ht="26.25" customHeight="1">
      <c r="H724" s="55" t="str">
        <f t="shared" si="2"/>
        <v/>
      </c>
    </row>
    <row r="725" ht="26.25" customHeight="1">
      <c r="H725" s="55" t="str">
        <f t="shared" si="2"/>
        <v/>
      </c>
    </row>
    <row r="726" ht="26.25" customHeight="1">
      <c r="H726" s="55" t="str">
        <f t="shared" si="2"/>
        <v/>
      </c>
    </row>
    <row r="727" ht="26.25" customHeight="1">
      <c r="H727" s="55" t="str">
        <f t="shared" si="2"/>
        <v/>
      </c>
    </row>
    <row r="728" ht="26.25" customHeight="1">
      <c r="H728" s="55" t="str">
        <f t="shared" si="2"/>
        <v/>
      </c>
    </row>
    <row r="729" ht="26.25" customHeight="1">
      <c r="H729" s="55" t="str">
        <f t="shared" si="2"/>
        <v/>
      </c>
    </row>
    <row r="730" ht="26.25" customHeight="1">
      <c r="H730" s="55" t="str">
        <f t="shared" si="2"/>
        <v/>
      </c>
    </row>
    <row r="731" ht="26.25" customHeight="1">
      <c r="H731" s="55" t="str">
        <f t="shared" si="2"/>
        <v/>
      </c>
    </row>
    <row r="732" ht="26.25" customHeight="1">
      <c r="H732" s="55" t="str">
        <f t="shared" si="2"/>
        <v/>
      </c>
    </row>
    <row r="733" ht="26.25" customHeight="1">
      <c r="H733" s="55" t="str">
        <f t="shared" si="2"/>
        <v/>
      </c>
    </row>
    <row r="734" ht="26.25" customHeight="1">
      <c r="H734" s="55" t="str">
        <f t="shared" si="2"/>
        <v/>
      </c>
    </row>
    <row r="735" ht="26.25" customHeight="1">
      <c r="H735" s="55" t="str">
        <f t="shared" si="2"/>
        <v/>
      </c>
    </row>
    <row r="736" ht="26.25" customHeight="1">
      <c r="H736" s="55" t="str">
        <f t="shared" si="2"/>
        <v/>
      </c>
    </row>
    <row r="737" ht="26.25" customHeight="1">
      <c r="H737" s="55" t="str">
        <f t="shared" si="2"/>
        <v/>
      </c>
    </row>
    <row r="738" ht="26.25" customHeight="1">
      <c r="H738" s="55" t="str">
        <f t="shared" si="2"/>
        <v/>
      </c>
    </row>
    <row r="739" ht="26.25" customHeight="1">
      <c r="H739" s="55" t="str">
        <f t="shared" si="2"/>
        <v/>
      </c>
    </row>
    <row r="740" ht="26.25" customHeight="1">
      <c r="H740" s="55" t="str">
        <f t="shared" si="2"/>
        <v/>
      </c>
    </row>
    <row r="741" ht="26.25" customHeight="1">
      <c r="H741" s="55" t="str">
        <f t="shared" si="2"/>
        <v/>
      </c>
    </row>
    <row r="742" ht="26.25" customHeight="1">
      <c r="H742" s="55" t="str">
        <f t="shared" si="2"/>
        <v/>
      </c>
    </row>
    <row r="743" ht="26.25" customHeight="1">
      <c r="H743" s="55" t="str">
        <f t="shared" si="2"/>
        <v/>
      </c>
    </row>
    <row r="744" ht="26.25" customHeight="1">
      <c r="H744" s="55" t="str">
        <f t="shared" si="2"/>
        <v/>
      </c>
    </row>
    <row r="745" ht="26.25" customHeight="1">
      <c r="H745" s="55" t="str">
        <f t="shared" si="2"/>
        <v/>
      </c>
    </row>
    <row r="746" ht="26.25" customHeight="1">
      <c r="H746" s="55" t="str">
        <f t="shared" si="2"/>
        <v/>
      </c>
    </row>
    <row r="747" ht="26.25" customHeight="1">
      <c r="H747" s="55" t="str">
        <f t="shared" si="2"/>
        <v/>
      </c>
    </row>
    <row r="748" ht="26.25" customHeight="1">
      <c r="H748" s="55" t="str">
        <f t="shared" si="2"/>
        <v/>
      </c>
    </row>
    <row r="749" ht="26.25" customHeight="1">
      <c r="H749" s="55" t="str">
        <f t="shared" si="2"/>
        <v/>
      </c>
    </row>
    <row r="750" ht="26.25" customHeight="1">
      <c r="H750" s="55" t="str">
        <f t="shared" si="2"/>
        <v/>
      </c>
    </row>
    <row r="751" ht="26.25" customHeight="1">
      <c r="H751" s="55" t="str">
        <f t="shared" si="2"/>
        <v/>
      </c>
    </row>
    <row r="752" ht="26.25" customHeight="1">
      <c r="H752" s="55" t="str">
        <f t="shared" si="2"/>
        <v/>
      </c>
    </row>
    <row r="753" ht="26.25" customHeight="1">
      <c r="H753" s="55" t="str">
        <f t="shared" si="2"/>
        <v/>
      </c>
    </row>
    <row r="754" ht="26.25" customHeight="1">
      <c r="H754" s="55" t="str">
        <f t="shared" si="2"/>
        <v/>
      </c>
    </row>
    <row r="755" ht="26.25" customHeight="1">
      <c r="H755" s="55" t="str">
        <f t="shared" si="2"/>
        <v/>
      </c>
    </row>
    <row r="756" ht="26.25" customHeight="1">
      <c r="H756" s="55" t="str">
        <f t="shared" si="2"/>
        <v/>
      </c>
    </row>
    <row r="757" ht="26.25" customHeight="1">
      <c r="H757" s="55" t="str">
        <f t="shared" si="2"/>
        <v/>
      </c>
    </row>
    <row r="758" ht="26.25" customHeight="1">
      <c r="H758" s="55" t="str">
        <f t="shared" si="2"/>
        <v/>
      </c>
    </row>
    <row r="759" ht="26.25" customHeight="1">
      <c r="H759" s="55" t="str">
        <f t="shared" si="2"/>
        <v/>
      </c>
    </row>
    <row r="760" ht="26.25" customHeight="1">
      <c r="H760" s="55" t="str">
        <f t="shared" si="2"/>
        <v/>
      </c>
    </row>
    <row r="761" ht="26.25" customHeight="1">
      <c r="H761" s="55" t="str">
        <f t="shared" si="2"/>
        <v/>
      </c>
    </row>
    <row r="762" ht="26.25" customHeight="1">
      <c r="H762" s="55" t="str">
        <f t="shared" si="2"/>
        <v/>
      </c>
    </row>
    <row r="763" ht="26.25" customHeight="1">
      <c r="H763" s="55" t="str">
        <f t="shared" si="2"/>
        <v/>
      </c>
    </row>
    <row r="764" ht="26.25" customHeight="1">
      <c r="H764" s="55" t="str">
        <f t="shared" si="2"/>
        <v/>
      </c>
    </row>
    <row r="765" ht="26.25" customHeight="1">
      <c r="H765" s="55" t="str">
        <f t="shared" si="2"/>
        <v/>
      </c>
    </row>
    <row r="766" ht="26.25" customHeight="1">
      <c r="H766" s="55" t="str">
        <f t="shared" si="2"/>
        <v/>
      </c>
    </row>
    <row r="767" ht="26.25" customHeight="1">
      <c r="H767" s="55" t="str">
        <f t="shared" si="2"/>
        <v/>
      </c>
    </row>
    <row r="768" ht="26.25" customHeight="1">
      <c r="H768" s="55" t="str">
        <f t="shared" si="2"/>
        <v/>
      </c>
    </row>
    <row r="769" ht="26.25" customHeight="1">
      <c r="H769" s="55" t="str">
        <f t="shared" si="2"/>
        <v/>
      </c>
    </row>
    <row r="770" ht="26.25" customHeight="1">
      <c r="H770" s="55" t="str">
        <f t="shared" si="2"/>
        <v/>
      </c>
    </row>
    <row r="771" ht="26.25" customHeight="1">
      <c r="H771" s="55" t="str">
        <f t="shared" si="2"/>
        <v/>
      </c>
    </row>
    <row r="772" ht="26.25" customHeight="1">
      <c r="H772" s="55" t="str">
        <f t="shared" si="2"/>
        <v/>
      </c>
    </row>
    <row r="773" ht="26.25" customHeight="1">
      <c r="H773" s="55" t="str">
        <f t="shared" si="2"/>
        <v/>
      </c>
    </row>
    <row r="774" ht="26.25" customHeight="1">
      <c r="H774" s="55" t="str">
        <f t="shared" si="2"/>
        <v/>
      </c>
    </row>
    <row r="775" ht="26.25" customHeight="1">
      <c r="H775" s="55" t="str">
        <f t="shared" si="2"/>
        <v/>
      </c>
    </row>
    <row r="776" ht="26.25" customHeight="1">
      <c r="H776" s="55" t="str">
        <f t="shared" si="2"/>
        <v/>
      </c>
    </row>
    <row r="777" ht="26.25" customHeight="1">
      <c r="H777" s="55" t="str">
        <f t="shared" si="2"/>
        <v/>
      </c>
    </row>
    <row r="778" ht="26.25" customHeight="1">
      <c r="H778" s="55" t="str">
        <f t="shared" si="2"/>
        <v/>
      </c>
    </row>
    <row r="779" ht="26.25" customHeight="1">
      <c r="H779" s="55" t="str">
        <f t="shared" si="2"/>
        <v/>
      </c>
    </row>
    <row r="780" ht="26.25" customHeight="1">
      <c r="H780" s="55" t="str">
        <f t="shared" si="2"/>
        <v/>
      </c>
    </row>
    <row r="781" ht="26.25" customHeight="1">
      <c r="H781" s="55" t="str">
        <f t="shared" si="2"/>
        <v/>
      </c>
    </row>
    <row r="782" ht="26.25" customHeight="1">
      <c r="H782" s="55" t="str">
        <f t="shared" si="2"/>
        <v/>
      </c>
    </row>
    <row r="783" ht="26.25" customHeight="1">
      <c r="H783" s="55" t="str">
        <f t="shared" si="2"/>
        <v/>
      </c>
    </row>
    <row r="784" ht="26.25" customHeight="1">
      <c r="H784" s="55" t="str">
        <f t="shared" si="2"/>
        <v/>
      </c>
    </row>
    <row r="785" ht="26.25" customHeight="1">
      <c r="H785" s="55" t="str">
        <f t="shared" si="2"/>
        <v/>
      </c>
    </row>
    <row r="786" ht="26.25" customHeight="1">
      <c r="H786" s="55" t="str">
        <f t="shared" si="2"/>
        <v/>
      </c>
    </row>
    <row r="787" ht="26.25" customHeight="1">
      <c r="H787" s="55" t="str">
        <f t="shared" si="2"/>
        <v/>
      </c>
    </row>
    <row r="788" ht="26.25" customHeight="1">
      <c r="H788" s="55" t="str">
        <f t="shared" si="2"/>
        <v/>
      </c>
    </row>
    <row r="789" ht="26.25" customHeight="1">
      <c r="H789" s="55" t="str">
        <f t="shared" si="2"/>
        <v/>
      </c>
    </row>
    <row r="790" ht="26.25" customHeight="1">
      <c r="H790" s="55" t="str">
        <f t="shared" si="2"/>
        <v/>
      </c>
    </row>
    <row r="791" ht="26.25" customHeight="1">
      <c r="H791" s="55" t="str">
        <f t="shared" si="2"/>
        <v/>
      </c>
    </row>
    <row r="792" ht="26.25" customHeight="1">
      <c r="H792" s="55" t="str">
        <f t="shared" si="2"/>
        <v/>
      </c>
    </row>
    <row r="793" ht="26.25" customHeight="1">
      <c r="H793" s="55" t="str">
        <f t="shared" si="2"/>
        <v/>
      </c>
    </row>
    <row r="794" ht="26.25" customHeight="1">
      <c r="H794" s="55" t="str">
        <f t="shared" si="2"/>
        <v/>
      </c>
    </row>
    <row r="795" ht="26.25" customHeight="1">
      <c r="H795" s="55" t="str">
        <f t="shared" si="2"/>
        <v/>
      </c>
    </row>
    <row r="796" ht="26.25" customHeight="1">
      <c r="H796" s="55" t="str">
        <f t="shared" si="2"/>
        <v/>
      </c>
    </row>
    <row r="797" ht="26.25" customHeight="1">
      <c r="H797" s="55" t="str">
        <f t="shared" si="2"/>
        <v/>
      </c>
    </row>
    <row r="798" ht="26.25" customHeight="1">
      <c r="H798" s="55" t="str">
        <f t="shared" si="2"/>
        <v/>
      </c>
    </row>
    <row r="799" ht="26.25" customHeight="1">
      <c r="H799" s="55" t="str">
        <f t="shared" si="2"/>
        <v/>
      </c>
    </row>
    <row r="800" ht="26.25" customHeight="1">
      <c r="H800" s="55" t="str">
        <f t="shared" si="2"/>
        <v/>
      </c>
    </row>
    <row r="801" ht="26.25" customHeight="1">
      <c r="H801" s="55" t="str">
        <f t="shared" si="2"/>
        <v/>
      </c>
    </row>
    <row r="802" ht="26.25" customHeight="1">
      <c r="H802" s="55" t="str">
        <f t="shared" si="2"/>
        <v/>
      </c>
    </row>
    <row r="803" ht="26.25" customHeight="1">
      <c r="H803" s="55" t="str">
        <f t="shared" si="2"/>
        <v/>
      </c>
    </row>
    <row r="804" ht="26.25" customHeight="1">
      <c r="H804" s="55" t="str">
        <f t="shared" si="2"/>
        <v/>
      </c>
    </row>
    <row r="805" ht="26.25" customHeight="1">
      <c r="H805" s="55" t="str">
        <f t="shared" si="2"/>
        <v/>
      </c>
    </row>
    <row r="806" ht="26.25" customHeight="1">
      <c r="H806" s="55" t="str">
        <f t="shared" si="2"/>
        <v/>
      </c>
    </row>
    <row r="807" ht="26.25" customHeight="1">
      <c r="H807" s="55" t="str">
        <f t="shared" si="2"/>
        <v/>
      </c>
    </row>
    <row r="808" ht="26.25" customHeight="1">
      <c r="H808" s="55" t="str">
        <f t="shared" si="2"/>
        <v/>
      </c>
    </row>
    <row r="809" ht="26.25" customHeight="1">
      <c r="H809" s="55" t="str">
        <f t="shared" si="2"/>
        <v/>
      </c>
    </row>
    <row r="810" ht="26.25" customHeight="1">
      <c r="H810" s="55" t="str">
        <f t="shared" si="2"/>
        <v/>
      </c>
    </row>
    <row r="811" ht="26.25" customHeight="1">
      <c r="H811" s="55" t="str">
        <f t="shared" si="2"/>
        <v/>
      </c>
    </row>
    <row r="812" ht="26.25" customHeight="1">
      <c r="H812" s="55" t="str">
        <f t="shared" si="2"/>
        <v/>
      </c>
    </row>
    <row r="813" ht="26.25" customHeight="1">
      <c r="H813" s="55" t="str">
        <f t="shared" si="2"/>
        <v/>
      </c>
    </row>
    <row r="814" ht="26.25" customHeight="1">
      <c r="H814" s="55" t="str">
        <f t="shared" si="2"/>
        <v/>
      </c>
    </row>
    <row r="815" ht="26.25" customHeight="1">
      <c r="H815" s="55" t="str">
        <f t="shared" si="2"/>
        <v/>
      </c>
    </row>
    <row r="816" ht="26.25" customHeight="1">
      <c r="H816" s="55" t="str">
        <f t="shared" si="2"/>
        <v/>
      </c>
    </row>
    <row r="817" ht="26.25" customHeight="1">
      <c r="H817" s="55" t="str">
        <f t="shared" si="2"/>
        <v/>
      </c>
    </row>
    <row r="818" ht="26.25" customHeight="1">
      <c r="H818" s="55" t="str">
        <f t="shared" si="2"/>
        <v/>
      </c>
    </row>
    <row r="819" ht="26.25" customHeight="1">
      <c r="H819" s="55" t="str">
        <f t="shared" si="2"/>
        <v/>
      </c>
    </row>
    <row r="820" ht="26.25" customHeight="1">
      <c r="H820" s="55" t="str">
        <f t="shared" si="2"/>
        <v/>
      </c>
    </row>
    <row r="821" ht="26.25" customHeight="1">
      <c r="H821" s="55" t="str">
        <f t="shared" si="2"/>
        <v/>
      </c>
    </row>
    <row r="822" ht="26.25" customHeight="1">
      <c r="H822" s="55" t="str">
        <f t="shared" si="2"/>
        <v/>
      </c>
    </row>
    <row r="823" ht="26.25" customHeight="1">
      <c r="H823" s="55" t="str">
        <f t="shared" si="2"/>
        <v/>
      </c>
    </row>
    <row r="824" ht="26.25" customHeight="1">
      <c r="H824" s="55" t="str">
        <f t="shared" si="2"/>
        <v/>
      </c>
    </row>
    <row r="825" ht="26.25" customHeight="1">
      <c r="H825" s="55" t="str">
        <f t="shared" si="2"/>
        <v/>
      </c>
    </row>
    <row r="826" ht="26.25" customHeight="1">
      <c r="H826" s="55" t="str">
        <f t="shared" si="2"/>
        <v/>
      </c>
    </row>
    <row r="827" ht="26.25" customHeight="1">
      <c r="H827" s="55" t="str">
        <f t="shared" si="2"/>
        <v/>
      </c>
    </row>
    <row r="828" ht="26.25" customHeight="1">
      <c r="H828" s="55" t="str">
        <f t="shared" si="2"/>
        <v/>
      </c>
    </row>
    <row r="829" ht="26.25" customHeight="1">
      <c r="H829" s="55" t="str">
        <f t="shared" si="2"/>
        <v/>
      </c>
    </row>
    <row r="830" ht="26.25" customHeight="1">
      <c r="H830" s="55" t="str">
        <f t="shared" si="2"/>
        <v/>
      </c>
    </row>
    <row r="831" ht="26.25" customHeight="1">
      <c r="H831" s="55" t="str">
        <f t="shared" si="2"/>
        <v/>
      </c>
    </row>
    <row r="832" ht="26.25" customHeight="1">
      <c r="H832" s="55" t="str">
        <f t="shared" si="2"/>
        <v/>
      </c>
    </row>
    <row r="833" ht="26.25" customHeight="1">
      <c r="H833" s="55" t="str">
        <f t="shared" si="2"/>
        <v/>
      </c>
    </row>
    <row r="834" ht="26.25" customHeight="1">
      <c r="H834" s="55" t="str">
        <f t="shared" si="2"/>
        <v/>
      </c>
    </row>
    <row r="835" ht="26.25" customHeight="1">
      <c r="H835" s="55" t="str">
        <f t="shared" si="2"/>
        <v/>
      </c>
    </row>
    <row r="836" ht="26.25" customHeight="1">
      <c r="H836" s="55" t="str">
        <f t="shared" si="2"/>
        <v/>
      </c>
    </row>
    <row r="837" ht="26.25" customHeight="1">
      <c r="H837" s="55" t="str">
        <f t="shared" si="2"/>
        <v/>
      </c>
    </row>
    <row r="838" ht="26.25" customHeight="1">
      <c r="H838" s="55" t="str">
        <f t="shared" si="2"/>
        <v/>
      </c>
    </row>
    <row r="839" ht="26.25" customHeight="1">
      <c r="H839" s="55" t="str">
        <f t="shared" si="2"/>
        <v/>
      </c>
    </row>
    <row r="840" ht="26.25" customHeight="1">
      <c r="H840" s="55" t="str">
        <f t="shared" si="2"/>
        <v/>
      </c>
    </row>
    <row r="841" ht="26.25" customHeight="1">
      <c r="H841" s="55" t="str">
        <f t="shared" si="2"/>
        <v/>
      </c>
    </row>
    <row r="842" ht="26.25" customHeight="1">
      <c r="H842" s="55" t="str">
        <f t="shared" si="2"/>
        <v/>
      </c>
    </row>
    <row r="843" ht="26.25" customHeight="1">
      <c r="H843" s="55" t="str">
        <f t="shared" si="2"/>
        <v/>
      </c>
    </row>
    <row r="844" ht="26.25" customHeight="1">
      <c r="H844" s="55" t="str">
        <f t="shared" si="2"/>
        <v/>
      </c>
    </row>
    <row r="845" ht="26.25" customHeight="1">
      <c r="H845" s="55" t="str">
        <f t="shared" si="2"/>
        <v/>
      </c>
    </row>
    <row r="846" ht="26.25" customHeight="1">
      <c r="H846" s="55" t="str">
        <f t="shared" si="2"/>
        <v/>
      </c>
    </row>
    <row r="847" ht="26.25" customHeight="1">
      <c r="H847" s="55" t="str">
        <f t="shared" si="2"/>
        <v/>
      </c>
    </row>
    <row r="848" ht="26.25" customHeight="1">
      <c r="H848" s="55" t="str">
        <f t="shared" si="2"/>
        <v/>
      </c>
    </row>
    <row r="849" ht="26.25" customHeight="1">
      <c r="H849" s="55" t="str">
        <f t="shared" si="2"/>
        <v/>
      </c>
    </row>
    <row r="850" ht="26.25" customHeight="1">
      <c r="H850" s="55" t="str">
        <f t="shared" si="2"/>
        <v/>
      </c>
    </row>
    <row r="851" ht="26.25" customHeight="1">
      <c r="H851" s="55" t="str">
        <f t="shared" si="2"/>
        <v/>
      </c>
    </row>
    <row r="852" ht="26.25" customHeight="1">
      <c r="H852" s="55" t="str">
        <f t="shared" si="2"/>
        <v/>
      </c>
    </row>
    <row r="853" ht="26.25" customHeight="1">
      <c r="H853" s="55" t="str">
        <f t="shared" si="2"/>
        <v/>
      </c>
    </row>
    <row r="854" ht="26.25" customHeight="1">
      <c r="H854" s="55" t="str">
        <f t="shared" si="2"/>
        <v/>
      </c>
    </row>
    <row r="855" ht="26.25" customHeight="1">
      <c r="H855" s="55" t="str">
        <f t="shared" si="2"/>
        <v/>
      </c>
    </row>
    <row r="856" ht="26.25" customHeight="1">
      <c r="H856" s="55" t="str">
        <f t="shared" si="2"/>
        <v/>
      </c>
    </row>
    <row r="857" ht="26.25" customHeight="1">
      <c r="H857" s="55" t="str">
        <f t="shared" si="2"/>
        <v/>
      </c>
    </row>
    <row r="858" ht="26.25" customHeight="1">
      <c r="H858" s="55" t="str">
        <f t="shared" si="2"/>
        <v/>
      </c>
    </row>
    <row r="859" ht="26.25" customHeight="1">
      <c r="H859" s="55" t="str">
        <f t="shared" si="2"/>
        <v/>
      </c>
    </row>
    <row r="860" ht="26.25" customHeight="1">
      <c r="H860" s="55" t="str">
        <f t="shared" si="2"/>
        <v/>
      </c>
    </row>
    <row r="861" ht="26.25" customHeight="1">
      <c r="H861" s="55" t="str">
        <f t="shared" si="2"/>
        <v/>
      </c>
    </row>
    <row r="862" ht="26.25" customHeight="1">
      <c r="H862" s="55" t="str">
        <f t="shared" si="2"/>
        <v/>
      </c>
    </row>
    <row r="863" ht="26.25" customHeight="1">
      <c r="H863" s="55" t="str">
        <f t="shared" si="2"/>
        <v/>
      </c>
    </row>
    <row r="864" ht="26.25" customHeight="1">
      <c r="H864" s="55" t="str">
        <f t="shared" si="2"/>
        <v/>
      </c>
    </row>
    <row r="865" ht="26.25" customHeight="1">
      <c r="H865" s="55" t="str">
        <f t="shared" si="2"/>
        <v/>
      </c>
    </row>
    <row r="866" ht="26.25" customHeight="1">
      <c r="H866" s="55" t="str">
        <f t="shared" si="2"/>
        <v/>
      </c>
    </row>
    <row r="867" ht="26.25" customHeight="1">
      <c r="H867" s="55" t="str">
        <f t="shared" si="2"/>
        <v/>
      </c>
    </row>
    <row r="868" ht="26.25" customHeight="1">
      <c r="H868" s="55" t="str">
        <f t="shared" si="2"/>
        <v/>
      </c>
    </row>
    <row r="869" ht="26.25" customHeight="1">
      <c r="H869" s="55" t="str">
        <f t="shared" si="2"/>
        <v/>
      </c>
    </row>
    <row r="870" ht="26.25" customHeight="1">
      <c r="H870" s="55" t="str">
        <f t="shared" si="2"/>
        <v/>
      </c>
    </row>
    <row r="871" ht="26.25" customHeight="1">
      <c r="H871" s="55" t="str">
        <f t="shared" si="2"/>
        <v/>
      </c>
    </row>
    <row r="872" ht="26.25" customHeight="1">
      <c r="H872" s="55" t="str">
        <f t="shared" si="2"/>
        <v/>
      </c>
    </row>
    <row r="873" ht="26.25" customHeight="1">
      <c r="H873" s="55" t="str">
        <f t="shared" si="2"/>
        <v/>
      </c>
    </row>
    <row r="874" ht="26.25" customHeight="1">
      <c r="H874" s="55" t="str">
        <f t="shared" si="2"/>
        <v/>
      </c>
    </row>
    <row r="875" ht="26.25" customHeight="1">
      <c r="H875" s="55" t="str">
        <f t="shared" si="2"/>
        <v/>
      </c>
    </row>
    <row r="876" ht="26.25" customHeight="1">
      <c r="H876" s="55" t="str">
        <f t="shared" si="2"/>
        <v/>
      </c>
    </row>
    <row r="877" ht="26.25" customHeight="1">
      <c r="H877" s="55" t="str">
        <f t="shared" si="2"/>
        <v/>
      </c>
    </row>
    <row r="878" ht="26.25" customHeight="1">
      <c r="H878" s="55" t="str">
        <f t="shared" si="2"/>
        <v/>
      </c>
    </row>
    <row r="879" ht="26.25" customHeight="1">
      <c r="H879" s="55" t="str">
        <f t="shared" si="2"/>
        <v/>
      </c>
    </row>
    <row r="880" ht="26.25" customHeight="1">
      <c r="H880" s="55" t="str">
        <f t="shared" si="2"/>
        <v/>
      </c>
    </row>
    <row r="881" ht="26.25" customHeight="1">
      <c r="H881" s="55" t="str">
        <f t="shared" si="2"/>
        <v/>
      </c>
    </row>
    <row r="882" ht="26.25" customHeight="1">
      <c r="H882" s="55" t="str">
        <f t="shared" si="2"/>
        <v/>
      </c>
    </row>
    <row r="883" ht="26.25" customHeight="1">
      <c r="H883" s="55" t="str">
        <f t="shared" si="2"/>
        <v/>
      </c>
    </row>
    <row r="884" ht="26.25" customHeight="1">
      <c r="H884" s="55" t="str">
        <f t="shared" si="2"/>
        <v/>
      </c>
    </row>
    <row r="885" ht="26.25" customHeight="1">
      <c r="H885" s="55" t="str">
        <f t="shared" si="2"/>
        <v/>
      </c>
    </row>
    <row r="886" ht="26.25" customHeight="1">
      <c r="H886" s="55" t="str">
        <f t="shared" si="2"/>
        <v/>
      </c>
    </row>
    <row r="887" ht="26.25" customHeight="1">
      <c r="H887" s="55" t="str">
        <f t="shared" si="2"/>
        <v/>
      </c>
    </row>
    <row r="888" ht="26.25" customHeight="1">
      <c r="H888" s="55" t="str">
        <f t="shared" si="2"/>
        <v/>
      </c>
    </row>
    <row r="889" ht="26.25" customHeight="1">
      <c r="H889" s="55" t="str">
        <f t="shared" si="2"/>
        <v/>
      </c>
    </row>
    <row r="890" ht="26.25" customHeight="1">
      <c r="H890" s="55" t="str">
        <f t="shared" si="2"/>
        <v/>
      </c>
    </row>
    <row r="891" ht="26.25" customHeight="1">
      <c r="H891" s="55" t="str">
        <f t="shared" si="2"/>
        <v/>
      </c>
    </row>
    <row r="892" ht="26.25" customHeight="1">
      <c r="H892" s="55" t="str">
        <f t="shared" si="2"/>
        <v/>
      </c>
    </row>
    <row r="893" ht="26.25" customHeight="1">
      <c r="H893" s="55" t="str">
        <f t="shared" si="2"/>
        <v/>
      </c>
    </row>
    <row r="894" ht="26.25" customHeight="1">
      <c r="H894" s="55" t="str">
        <f t="shared" si="2"/>
        <v/>
      </c>
    </row>
    <row r="895" ht="26.25" customHeight="1">
      <c r="H895" s="55" t="str">
        <f t="shared" si="2"/>
        <v/>
      </c>
    </row>
    <row r="896" ht="26.25" customHeight="1">
      <c r="H896" s="55" t="str">
        <f t="shared" si="2"/>
        <v/>
      </c>
    </row>
    <row r="897" ht="26.25" customHeight="1">
      <c r="H897" s="55" t="str">
        <f t="shared" si="2"/>
        <v/>
      </c>
    </row>
    <row r="898" ht="26.25" customHeight="1">
      <c r="H898" s="55" t="str">
        <f t="shared" si="2"/>
        <v/>
      </c>
    </row>
    <row r="899" ht="26.25" customHeight="1">
      <c r="H899" s="55" t="str">
        <f t="shared" si="2"/>
        <v/>
      </c>
    </row>
    <row r="900" ht="26.25" customHeight="1">
      <c r="H900" s="55" t="str">
        <f t="shared" si="2"/>
        <v/>
      </c>
    </row>
    <row r="901" ht="26.25" customHeight="1">
      <c r="H901" s="55" t="str">
        <f t="shared" si="2"/>
        <v/>
      </c>
    </row>
    <row r="902" ht="26.25" customHeight="1">
      <c r="H902" s="55" t="str">
        <f t="shared" si="2"/>
        <v/>
      </c>
    </row>
    <row r="903" ht="26.25" customHeight="1">
      <c r="H903" s="55" t="str">
        <f t="shared" si="2"/>
        <v/>
      </c>
    </row>
    <row r="904" ht="26.25" customHeight="1">
      <c r="H904" s="55" t="str">
        <f t="shared" si="2"/>
        <v/>
      </c>
    </row>
    <row r="905" ht="26.25" customHeight="1">
      <c r="H905" s="55" t="str">
        <f t="shared" si="2"/>
        <v/>
      </c>
    </row>
    <row r="906" ht="26.25" customHeight="1">
      <c r="H906" s="55" t="str">
        <f t="shared" si="2"/>
        <v/>
      </c>
    </row>
    <row r="907" ht="26.25" customHeight="1">
      <c r="H907" s="55" t="str">
        <f t="shared" si="2"/>
        <v/>
      </c>
    </row>
    <row r="908" ht="26.25" customHeight="1">
      <c r="H908" s="55" t="str">
        <f t="shared" si="2"/>
        <v/>
      </c>
    </row>
    <row r="909" ht="26.25" customHeight="1">
      <c r="H909" s="55" t="str">
        <f t="shared" si="2"/>
        <v/>
      </c>
    </row>
    <row r="910" ht="26.25" customHeight="1">
      <c r="H910" s="55" t="str">
        <f t="shared" si="2"/>
        <v/>
      </c>
    </row>
    <row r="911" ht="26.25" customHeight="1">
      <c r="H911" s="55" t="str">
        <f t="shared" si="2"/>
        <v/>
      </c>
    </row>
    <row r="912" ht="26.25" customHeight="1">
      <c r="H912" s="55" t="str">
        <f t="shared" si="2"/>
        <v/>
      </c>
    </row>
    <row r="913" ht="26.25" customHeight="1">
      <c r="H913" s="55" t="str">
        <f t="shared" si="2"/>
        <v/>
      </c>
    </row>
    <row r="914" ht="26.25" customHeight="1">
      <c r="H914" s="55" t="str">
        <f t="shared" si="2"/>
        <v/>
      </c>
    </row>
    <row r="915" ht="26.25" customHeight="1">
      <c r="H915" s="55" t="str">
        <f t="shared" si="2"/>
        <v/>
      </c>
    </row>
    <row r="916" ht="26.25" customHeight="1">
      <c r="H916" s="55" t="str">
        <f t="shared" si="2"/>
        <v/>
      </c>
    </row>
    <row r="917" ht="26.25" customHeight="1">
      <c r="H917" s="55" t="str">
        <f t="shared" si="2"/>
        <v/>
      </c>
    </row>
    <row r="918" ht="26.25" customHeight="1">
      <c r="H918" s="55" t="str">
        <f t="shared" si="2"/>
        <v/>
      </c>
    </row>
    <row r="919" ht="26.25" customHeight="1">
      <c r="H919" s="55" t="str">
        <f t="shared" si="2"/>
        <v/>
      </c>
    </row>
    <row r="920" ht="26.25" customHeight="1">
      <c r="H920" s="55" t="str">
        <f t="shared" si="2"/>
        <v/>
      </c>
    </row>
    <row r="921" ht="26.25" customHeight="1">
      <c r="H921" s="55" t="str">
        <f t="shared" si="2"/>
        <v/>
      </c>
    </row>
    <row r="922" ht="26.25" customHeight="1">
      <c r="H922" s="55" t="str">
        <f t="shared" si="2"/>
        <v/>
      </c>
    </row>
    <row r="923" ht="26.25" customHeight="1">
      <c r="H923" s="55" t="str">
        <f t="shared" si="2"/>
        <v/>
      </c>
    </row>
    <row r="924" ht="26.25" customHeight="1">
      <c r="H924" s="55" t="str">
        <f t="shared" si="2"/>
        <v/>
      </c>
    </row>
    <row r="925" ht="26.25" customHeight="1">
      <c r="H925" s="55" t="str">
        <f t="shared" si="2"/>
        <v/>
      </c>
    </row>
    <row r="926" ht="26.25" customHeight="1">
      <c r="H926" s="55" t="str">
        <f t="shared" si="2"/>
        <v/>
      </c>
    </row>
    <row r="927" ht="26.25" customHeight="1">
      <c r="H927" s="55" t="str">
        <f t="shared" si="2"/>
        <v/>
      </c>
    </row>
    <row r="928" ht="26.25" customHeight="1">
      <c r="H928" s="55" t="str">
        <f t="shared" si="2"/>
        <v/>
      </c>
    </row>
    <row r="929" ht="26.25" customHeight="1">
      <c r="H929" s="55" t="str">
        <f t="shared" si="2"/>
        <v/>
      </c>
    </row>
    <row r="930" ht="26.25" customHeight="1">
      <c r="H930" s="55" t="str">
        <f t="shared" si="2"/>
        <v/>
      </c>
    </row>
    <row r="931" ht="26.25" customHeight="1">
      <c r="H931" s="55" t="str">
        <f t="shared" si="2"/>
        <v/>
      </c>
    </row>
    <row r="932" ht="26.25" customHeight="1">
      <c r="H932" s="55" t="str">
        <f t="shared" si="2"/>
        <v/>
      </c>
    </row>
    <row r="933" ht="26.25" customHeight="1">
      <c r="H933" s="55" t="str">
        <f t="shared" si="2"/>
        <v/>
      </c>
    </row>
    <row r="934" ht="26.25" customHeight="1">
      <c r="H934" s="55" t="str">
        <f t="shared" si="2"/>
        <v/>
      </c>
    </row>
    <row r="935" ht="26.25" customHeight="1">
      <c r="H935" s="55" t="str">
        <f t="shared" si="2"/>
        <v/>
      </c>
    </row>
    <row r="936" ht="26.25" customHeight="1">
      <c r="H936" s="55" t="str">
        <f t="shared" si="2"/>
        <v/>
      </c>
    </row>
    <row r="937" ht="26.25" customHeight="1">
      <c r="H937" s="55" t="str">
        <f t="shared" si="2"/>
        <v/>
      </c>
    </row>
    <row r="938" ht="26.25" customHeight="1">
      <c r="H938" s="55" t="str">
        <f t="shared" si="2"/>
        <v/>
      </c>
    </row>
    <row r="939" ht="26.25" customHeight="1">
      <c r="H939" s="55" t="str">
        <f t="shared" si="2"/>
        <v/>
      </c>
    </row>
    <row r="940" ht="26.25" customHeight="1">
      <c r="H940" s="55" t="str">
        <f t="shared" si="2"/>
        <v/>
      </c>
    </row>
    <row r="941" ht="26.25" customHeight="1">
      <c r="H941" s="55" t="str">
        <f t="shared" si="2"/>
        <v/>
      </c>
    </row>
    <row r="942" ht="26.25" customHeight="1">
      <c r="H942" s="55" t="str">
        <f t="shared" si="2"/>
        <v/>
      </c>
    </row>
    <row r="943" ht="26.25" customHeight="1">
      <c r="H943" s="55" t="str">
        <f t="shared" si="2"/>
        <v/>
      </c>
    </row>
    <row r="944" ht="26.25" customHeight="1">
      <c r="H944" s="55" t="str">
        <f t="shared" si="2"/>
        <v/>
      </c>
    </row>
    <row r="945" ht="26.25" customHeight="1">
      <c r="H945" s="55" t="str">
        <f t="shared" si="2"/>
        <v/>
      </c>
    </row>
    <row r="946" ht="26.25" customHeight="1">
      <c r="H946" s="55" t="str">
        <f t="shared" si="2"/>
        <v/>
      </c>
    </row>
    <row r="947" ht="26.25" customHeight="1">
      <c r="H947" s="55" t="str">
        <f t="shared" si="2"/>
        <v/>
      </c>
    </row>
    <row r="948" ht="26.25" customHeight="1">
      <c r="H948" s="55" t="str">
        <f t="shared" si="2"/>
        <v/>
      </c>
    </row>
    <row r="949" ht="26.25" customHeight="1">
      <c r="H949" s="55" t="str">
        <f t="shared" si="2"/>
        <v/>
      </c>
    </row>
    <row r="950" ht="26.25" customHeight="1">
      <c r="H950" s="55" t="str">
        <f t="shared" si="2"/>
        <v/>
      </c>
    </row>
    <row r="951" ht="26.25" customHeight="1">
      <c r="H951" s="55" t="str">
        <f t="shared" si="2"/>
        <v/>
      </c>
    </row>
    <row r="952" ht="26.25" customHeight="1">
      <c r="H952" s="55" t="str">
        <f t="shared" si="2"/>
        <v/>
      </c>
    </row>
    <row r="953" ht="26.25" customHeight="1">
      <c r="H953" s="55" t="str">
        <f t="shared" si="2"/>
        <v/>
      </c>
    </row>
    <row r="954" ht="26.25" customHeight="1">
      <c r="H954" s="55" t="str">
        <f t="shared" si="2"/>
        <v/>
      </c>
    </row>
    <row r="955" ht="26.25" customHeight="1">
      <c r="H955" s="55" t="str">
        <f t="shared" si="2"/>
        <v/>
      </c>
    </row>
    <row r="956" ht="26.25" customHeight="1">
      <c r="H956" s="55" t="str">
        <f t="shared" si="2"/>
        <v/>
      </c>
    </row>
    <row r="957" ht="26.25" customHeight="1">
      <c r="H957" s="55" t="str">
        <f t="shared" si="2"/>
        <v/>
      </c>
    </row>
    <row r="958" ht="26.25" customHeight="1">
      <c r="H958" s="55" t="str">
        <f t="shared" si="2"/>
        <v/>
      </c>
    </row>
    <row r="959" ht="26.25" customHeight="1">
      <c r="H959" s="55" t="str">
        <f t="shared" si="2"/>
        <v/>
      </c>
    </row>
    <row r="960" ht="26.25" customHeight="1">
      <c r="H960" s="55" t="str">
        <f t="shared" si="2"/>
        <v/>
      </c>
    </row>
    <row r="961" ht="26.25" customHeight="1">
      <c r="H961" s="55" t="str">
        <f t="shared" si="2"/>
        <v/>
      </c>
    </row>
    <row r="962" ht="26.25" customHeight="1">
      <c r="H962" s="55" t="str">
        <f t="shared" si="2"/>
        <v/>
      </c>
    </row>
    <row r="963" ht="26.25" customHeight="1">
      <c r="H963" s="55" t="str">
        <f t="shared" si="2"/>
        <v/>
      </c>
    </row>
    <row r="964" ht="26.25" customHeight="1">
      <c r="H964" s="55" t="str">
        <f t="shared" si="2"/>
        <v/>
      </c>
    </row>
    <row r="965" ht="26.25" customHeight="1">
      <c r="H965" s="55" t="str">
        <f t="shared" si="2"/>
        <v/>
      </c>
    </row>
    <row r="966" ht="26.25" customHeight="1">
      <c r="H966" s="55" t="str">
        <f t="shared" si="2"/>
        <v/>
      </c>
    </row>
    <row r="967" ht="26.25" customHeight="1">
      <c r="H967" s="55" t="str">
        <f t="shared" si="2"/>
        <v/>
      </c>
    </row>
    <row r="968" ht="26.25" customHeight="1">
      <c r="H968" s="55" t="str">
        <f t="shared" si="2"/>
        <v/>
      </c>
    </row>
    <row r="969" ht="26.25" customHeight="1">
      <c r="H969" s="55" t="str">
        <f t="shared" si="2"/>
        <v/>
      </c>
    </row>
    <row r="970" ht="26.25" customHeight="1">
      <c r="H970" s="55" t="str">
        <f t="shared" si="2"/>
        <v/>
      </c>
    </row>
    <row r="971" ht="26.25" customHeight="1">
      <c r="H971" s="55" t="str">
        <f t="shared" si="2"/>
        <v/>
      </c>
    </row>
    <row r="972" ht="26.25" customHeight="1">
      <c r="H972" s="55" t="str">
        <f t="shared" si="2"/>
        <v/>
      </c>
    </row>
    <row r="973" ht="26.25" customHeight="1">
      <c r="H973" s="55" t="str">
        <f t="shared" si="2"/>
        <v/>
      </c>
    </row>
    <row r="974" ht="26.25" customHeight="1">
      <c r="H974" s="55" t="str">
        <f t="shared" si="2"/>
        <v/>
      </c>
    </row>
    <row r="975" ht="26.25" customHeight="1">
      <c r="H975" s="55" t="str">
        <f t="shared" si="2"/>
        <v/>
      </c>
    </row>
    <row r="976" ht="26.25" customHeight="1">
      <c r="H976" s="55" t="str">
        <f t="shared" si="2"/>
        <v/>
      </c>
    </row>
    <row r="977" ht="26.25" customHeight="1">
      <c r="H977" s="55" t="str">
        <f t="shared" si="2"/>
        <v/>
      </c>
    </row>
    <row r="978" ht="26.25" customHeight="1">
      <c r="H978" s="55" t="str">
        <f t="shared" si="2"/>
        <v/>
      </c>
    </row>
    <row r="979" ht="26.25" customHeight="1">
      <c r="H979" s="55" t="str">
        <f t="shared" si="2"/>
        <v/>
      </c>
    </row>
    <row r="980" ht="26.25" customHeight="1">
      <c r="H980" s="55" t="str">
        <f t="shared" si="2"/>
        <v/>
      </c>
    </row>
    <row r="981" ht="26.25" customHeight="1">
      <c r="H981" s="55" t="str">
        <f t="shared" si="2"/>
        <v/>
      </c>
    </row>
    <row r="982" ht="26.25" customHeight="1">
      <c r="H982" s="55" t="str">
        <f t="shared" si="2"/>
        <v/>
      </c>
    </row>
    <row r="983" ht="26.25" customHeight="1">
      <c r="H983" s="55" t="str">
        <f t="shared" si="2"/>
        <v/>
      </c>
    </row>
    <row r="984" ht="26.25" customHeight="1">
      <c r="H984" s="55" t="str">
        <f t="shared" si="2"/>
        <v/>
      </c>
    </row>
    <row r="985" ht="26.25" customHeight="1">
      <c r="H985" s="55" t="str">
        <f t="shared" si="2"/>
        <v/>
      </c>
    </row>
    <row r="986" ht="26.25" customHeight="1">
      <c r="H986" s="55" t="str">
        <f t="shared" si="2"/>
        <v/>
      </c>
    </row>
    <row r="987" ht="26.25" customHeight="1">
      <c r="H987" s="55" t="str">
        <f t="shared" si="2"/>
        <v/>
      </c>
    </row>
    <row r="988" ht="26.25" customHeight="1">
      <c r="H988" s="55" t="str">
        <f t="shared" si="2"/>
        <v/>
      </c>
    </row>
    <row r="989" ht="26.25" customHeight="1">
      <c r="H989" s="55" t="str">
        <f t="shared" si="2"/>
        <v/>
      </c>
    </row>
    <row r="990" ht="26.25" customHeight="1">
      <c r="H990" s="55" t="str">
        <f t="shared" si="2"/>
        <v/>
      </c>
    </row>
    <row r="991" ht="26.25" customHeight="1">
      <c r="H991" s="55" t="str">
        <f t="shared" si="2"/>
        <v/>
      </c>
    </row>
    <row r="992" ht="26.25" customHeight="1">
      <c r="H992" s="55" t="str">
        <f t="shared" si="2"/>
        <v/>
      </c>
    </row>
    <row r="993" ht="26.25" customHeight="1">
      <c r="H993" s="55" t="str">
        <f t="shared" si="2"/>
        <v/>
      </c>
    </row>
    <row r="994" ht="26.25" customHeight="1">
      <c r="H994" s="55" t="str">
        <f t="shared" si="2"/>
        <v/>
      </c>
    </row>
    <row r="995" ht="26.25" customHeight="1">
      <c r="H995" s="55" t="str">
        <f t="shared" si="2"/>
        <v/>
      </c>
    </row>
    <row r="996" ht="26.25" customHeight="1">
      <c r="H996" s="55" t="str">
        <f t="shared" si="2"/>
        <v/>
      </c>
    </row>
    <row r="997" ht="26.25" customHeight="1">
      <c r="H997" s="55" t="str">
        <f t="shared" si="2"/>
        <v/>
      </c>
    </row>
    <row r="998" ht="26.25" customHeight="1">
      <c r="H998" s="55" t="str">
        <f t="shared" si="2"/>
        <v/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1" width="17.5"/>
  </cols>
  <sheetData>
    <row r="1" ht="51.0" customHeight="1">
      <c r="A1" s="84" t="s">
        <v>139</v>
      </c>
      <c r="B1" s="84" t="s">
        <v>140</v>
      </c>
      <c r="C1" s="84" t="s">
        <v>141</v>
      </c>
      <c r="D1" s="84" t="s">
        <v>142</v>
      </c>
      <c r="E1" s="84" t="s">
        <v>143</v>
      </c>
      <c r="F1" s="84" t="s">
        <v>144</v>
      </c>
      <c r="G1" s="84" t="s">
        <v>145</v>
      </c>
      <c r="H1" s="84" t="s">
        <v>146</v>
      </c>
      <c r="I1" s="84" t="s">
        <v>147</v>
      </c>
      <c r="J1" s="84" t="s">
        <v>148</v>
      </c>
    </row>
    <row r="2" ht="29.25" customHeight="1">
      <c r="A2" s="85">
        <f>ROUND( SUMIF(TRECHOS_LONGOS!$H:$H, "AÉREO", TRECHOS_LONGOS!Y:Y) / countif(TRECHOS_LONGOS!$H:$H, "AÉREO"), 2)</f>
        <v>2078.25</v>
      </c>
      <c r="B2" s="85">
        <f>round( sumIF(TRECHOS_LONGOS!$H:$H, "AÉREO", TRECHOS_LONGOS!Y:Y) / sumIF(TRECHOS_LONGOS!$H:$H, "AÉREO",TRECHOS_LONGOS!$P:$P), 2)</f>
        <v>1.43</v>
      </c>
      <c r="C2" s="86">
        <f>ROUND( SUMIF(TRECHOS_LONGOS!$H:$H, "AÉREO", TRECHOS_LONGOS!Z:Z) / countif(TRECHOS_LONGOS!$H:$H, "AÉREO"), 3)</f>
        <v>5525</v>
      </c>
      <c r="D2" s="86">
        <f>round( sumIF(TRECHOS_LONGOS!$H:$H, "AÉREO", TRECHOS_LONGOS!Z:Z) / sumIF(TRECHOS_LONGOS!$H:$H, "AÉREO",TRECHOS_LONGOS!$P:$P), 3)</f>
        <v>3.796</v>
      </c>
      <c r="E2" s="85"/>
      <c r="F2" s="85">
        <f>IF( countif(TRECHOS_LONGOS!$H:$H, "TERRESTRE") = 0, 0, ROUND( SUMIF(TRECHOS_LONGOS!$H:$H, "TERRESTRE", TRECHOS_LONGOS!$Y:$Y) / countif(TRECHOS_LONGOS!$H:$H, "TERRESTRE"), 2) )</f>
        <v>66.4</v>
      </c>
      <c r="G2" s="85">
        <f>IF( countif(TRECHOS_LONGOS!$H:$H, "TERRESTRE") = 0, 0, ROUND( SUMIF(TRECHOS_LONGOS!$H:$H, "TERRESTRE", TRECHOS_LONGOS!$Y:$Y) / sumIF(TRECHOS_LONGOS!$H:$H, "TERRESTRE",TRECHOS_LONGOS!$P:$P), 2) )</f>
        <v>0.35</v>
      </c>
      <c r="H2" s="87">
        <f>round(countif(TRECHOS_LONGOS!$S$2:$S1000, "SIM") / (countif(TRECHOS_LONGOS!$S$2:$S1000, "SIM") + countif(TRECHOS_LONGOS!$S$2:$S1000, "NÃO")), 4)</f>
        <v>0.09</v>
      </c>
      <c r="I2" s="85">
        <f>round( sum(HOSPEDAGEM!J2:J1000) / sum(HOSPEDAGEM!G2:G1000), 2)</f>
        <v>448.03</v>
      </c>
      <c r="J2" s="73">
        <f>round( sum(DADOS_POR_VIAGEM!H2:H1000) / countif(DADOS_POR_VIAGEM!A2:A1000, "&lt;&gt;"), 2)</f>
        <v>9612.33</v>
      </c>
    </row>
    <row r="3" ht="29.25" customHeight="1"/>
    <row r="4" ht="29.25" customHeight="1"/>
    <row r="5" ht="29.25" customHeight="1"/>
    <row r="6" ht="29.25" customHeight="1"/>
    <row r="7" ht="29.25" customHeight="1"/>
    <row r="8" ht="29.25" customHeight="1"/>
    <row r="9" ht="29.25" customHeight="1"/>
    <row r="10" ht="29.25" customHeight="1"/>
    <row r="11" ht="29.25" customHeight="1"/>
    <row r="12" ht="29.25" customHeight="1"/>
    <row r="13" ht="29.2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2" max="7" width="18.88"/>
    <col customWidth="1" min="8" max="9" width="20.25"/>
    <col customWidth="1" min="10" max="37" width="18.88"/>
  </cols>
  <sheetData>
    <row r="1" ht="40.5" customHeight="1">
      <c r="A1" s="88" t="s">
        <v>149</v>
      </c>
      <c r="B1" s="89" t="s">
        <v>150</v>
      </c>
      <c r="C1" s="89" t="s">
        <v>151</v>
      </c>
      <c r="D1" s="89" t="s">
        <v>152</v>
      </c>
      <c r="E1" s="89" t="s">
        <v>153</v>
      </c>
      <c r="F1" s="89" t="s">
        <v>154</v>
      </c>
      <c r="G1" s="89" t="s">
        <v>155</v>
      </c>
      <c r="H1" s="89" t="s">
        <v>156</v>
      </c>
      <c r="I1" s="89" t="s">
        <v>157</v>
      </c>
      <c r="J1" s="90" t="s">
        <v>158</v>
      </c>
      <c r="K1" s="90" t="s">
        <v>141</v>
      </c>
      <c r="L1" s="90" t="s">
        <v>159</v>
      </c>
      <c r="M1" s="90" t="s">
        <v>142</v>
      </c>
      <c r="N1" s="90" t="s">
        <v>146</v>
      </c>
      <c r="O1" s="91" t="s">
        <v>160</v>
      </c>
      <c r="P1" s="91" t="s">
        <v>161</v>
      </c>
      <c r="Q1" s="91" t="s">
        <v>162</v>
      </c>
      <c r="R1" s="92" t="s">
        <v>163</v>
      </c>
      <c r="S1" s="89" t="s">
        <v>164</v>
      </c>
      <c r="T1" s="89" t="s">
        <v>165</v>
      </c>
      <c r="U1" s="89" t="s">
        <v>166</v>
      </c>
      <c r="V1" s="90" t="s">
        <v>167</v>
      </c>
      <c r="W1" s="91" t="s">
        <v>168</v>
      </c>
      <c r="X1" s="91" t="s">
        <v>169</v>
      </c>
      <c r="Y1" s="91" t="s">
        <v>170</v>
      </c>
      <c r="Z1" s="92" t="s">
        <v>171</v>
      </c>
      <c r="AA1" s="89" t="s">
        <v>172</v>
      </c>
      <c r="AB1" s="89" t="s">
        <v>173</v>
      </c>
      <c r="AC1" s="89" t="s">
        <v>174</v>
      </c>
      <c r="AD1" s="90" t="s">
        <v>175</v>
      </c>
      <c r="AE1" s="90" t="s">
        <v>176</v>
      </c>
      <c r="AF1" s="91" t="s">
        <v>177</v>
      </c>
      <c r="AG1" s="91" t="s">
        <v>178</v>
      </c>
      <c r="AH1" s="92" t="s">
        <v>147</v>
      </c>
      <c r="AI1" s="89" t="s">
        <v>179</v>
      </c>
      <c r="AJ1" s="89" t="s">
        <v>180</v>
      </c>
      <c r="AK1" s="90" t="s">
        <v>148</v>
      </c>
    </row>
    <row r="2" ht="30.75" customHeight="1">
      <c r="A2" s="93" t="s">
        <v>181</v>
      </c>
      <c r="B2" s="94">
        <f t="array" ref="B2">SUMIFS(TRECHOS_LONGOS!$Y:$Y, MONTH(TRECHOS_LONGOS!$F:$F), row()-1, TRECHOS_LONGOS!$H:$H, "AÉREO")</f>
        <v>55143.25</v>
      </c>
      <c r="C2" s="95">
        <f t="array" ref="C2">SUMIFS(TRECHOS_LONGOS!$Z:$Z, MONTH(TRECHOS_LONGOS!$F:$F), row()-1, TRECHOS_LONGOS!$H:$H, "AÉREO", TRECHOS_LONGOS!$O:$O, "AZUL")</f>
        <v>0</v>
      </c>
      <c r="D2" s="95">
        <f t="array" ref="D2">SUMIFS(TRECHOS_LONGOS!$Z:$Z, MONTH(TRECHOS_LONGOS!$F:$F), row()-1, TRECHOS_LONGOS!$H:$H, "AÉREO", TRECHOS_LONGOS!$O:$O, "GOL")</f>
        <v>0</v>
      </c>
      <c r="E2" s="95">
        <f t="array" ref="E2">SUMIFS(TRECHOS_LONGOS!$Z:$Z, MONTH(TRECHOS_LONGOS!$F:$F), row()-1, TRECHOS_LONGOS!$H:$H, "AÉREO", TRECHOS_LONGOS!$O:$O, "LATAM")</f>
        <v>0</v>
      </c>
      <c r="F2" s="95">
        <f t="array" ref="F2">COUNTIFS(MONTH(TRECHOS_LONGOS!$F:$F), row()-1, TRECHOS_LONGOS!$H:$H, "AÉREO")</f>
        <v>22</v>
      </c>
      <c r="G2" s="95">
        <f t="array" ref="G2">COUNTIFS(MONTH(TRECHOS_LONGOS!$F:$F), row()-1, TRECHOS_LONGOS!$H:$H, "AÉREO", TRECHOS_LONGOS!Z:Z, "&lt;&gt;0")</f>
        <v>0</v>
      </c>
      <c r="H2" s="95">
        <f t="array" ref="H2">SUMIFS(TRECHOS_LONGOS!$P:$P, MONTH(TRECHOS_LONGOS!$F:$F), row()-1, TRECHOS_LONGOS!$H:$H, "AÉREO")</f>
        <v>41060</v>
      </c>
      <c r="I2" s="95">
        <f t="array" ref="I2">SUMIFS(TRECHOS_LONGOS!$P:$P, MONTH(TRECHOS_LONGOS!$F:$F), row()-1, TRECHOS_LONGOS!$H:$H, "AÉREO", TRECHOS_LONGOS!$Z:$Z, "&lt;&gt;0")</f>
        <v>0</v>
      </c>
      <c r="J2" s="96">
        <f t="shared" ref="J2:J13" si="1">if( F2 = 0, 0, round( B2 / F2, 2))</f>
        <v>2506.51</v>
      </c>
      <c r="K2" s="97">
        <f t="shared" ref="K2:K13" si="2">if( G2 = 0, 0, round( (C2+D2+E2) / G2, 2))</f>
        <v>0</v>
      </c>
      <c r="L2" s="94">
        <f t="shared" ref="L2:L13" si="3">if( H2 = 0, 0, round(B2 / H2, 2))</f>
        <v>1.34</v>
      </c>
      <c r="M2" s="98">
        <f t="shared" ref="M2:M13" si="4">if( I2 = 0, 0, round( (C2+D2+E2) / I2, 2))</f>
        <v>0</v>
      </c>
      <c r="N2" s="99">
        <f t="array" ref="N2">IF( COUNTIFS(MONTH(TRECHOS_LONGOS!$F:$F), ROW()-1) = 0, 0, ROUND( COUNTIFS(MONTH(TRECHOS_LONGOS!$F:$F), ROW()-1, TRECHOS_LONGOS!$S:$S, "SIM") / COUNTIFS(MONTH(TRECHOS_LONGOS!$F:$F), ROW()-1), 4) )</f>
        <v>0</v>
      </c>
      <c r="O2" s="100">
        <f t="array" ref="O2">SUMIFS(TRECHOS_LONGOS!$Y:$Y, MONTH(TRECHOS_LONGOS!$F:$F), row()-1, TRECHOS_LONGOS!$H:$H, "AÉREO", TRECHOS_LONGOS!$G:$G, "&lt;=5")</f>
        <v>44840.01</v>
      </c>
      <c r="P2" s="101">
        <f t="array" ref="P2">COUNTIFS(MONTH(TRECHOS_LONGOS!$F:$F), row()-1, TRECHOS_LONGOS!$H:$H, "AÉREO", TRECHOS_LONGOS!$G:$G, "&lt;=5")</f>
        <v>16</v>
      </c>
      <c r="Q2" s="102">
        <f t="shared" ref="Q2:Q13" si="5">if($F2 = 0, 0, P2/$F2)</f>
        <v>0.7272727273</v>
      </c>
      <c r="R2" s="100">
        <f t="shared" ref="R2:R13" si="6">if( P2 = 0, 0, round( O2 / P2, 2))</f>
        <v>2802.5</v>
      </c>
      <c r="S2" s="94">
        <f t="array" ref="S2">SUMIFS(TRECHOS_LONGOS!$Y:$Y, MONTH(TRECHOS_LONGOS!$F:$F), row()-1, TRECHOS_LONGOS!$H:$H, "AÉREO", TRECHOS_LONGOS!$G:$G, "&gt;5", TRECHOS_LONGOS!$G:$G, "&lt;=15")</f>
        <v>2314.34</v>
      </c>
      <c r="T2" s="103">
        <f t="array" ref="T2">COUNTIFS(MONTH(TRECHOS_LONGOS!$F:$F), row()-1, TRECHOS_LONGOS!$H:$H, "AÉREO", TRECHOS_LONGOS!$G:$G, "&gt;5", TRECHOS_LONGOS!$G:$G, "&lt;=15")</f>
        <v>1</v>
      </c>
      <c r="U2" s="99">
        <f t="shared" ref="U2:U13" si="7">if($F2 = 0, 0, T2/$F2)</f>
        <v>0.04545454545</v>
      </c>
      <c r="V2" s="94">
        <f t="shared" ref="V2:V13" si="8">if( T2 = 0, 0, round(S2 / T2, 2))</f>
        <v>2314.34</v>
      </c>
      <c r="W2" s="100">
        <f t="array" ref="W2">SUMIFS(TRECHOS_LONGOS!$Y:$Y, MONTH(TRECHOS_LONGOS!$F:$F), row()-1, TRECHOS_LONGOS!$H:$H, "AÉREO", TRECHOS_LONGOS!$G:$G, "&gt;=16")</f>
        <v>7988.9</v>
      </c>
      <c r="X2" s="101">
        <f t="array" ref="X2">COUNTIFS(MONTH(TRECHOS_LONGOS!$F:$F), row()-1, TRECHOS_LONGOS!$H:$H, "AÉREO", TRECHOS_LONGOS!$G:$G, "&gt;=16")</f>
        <v>5</v>
      </c>
      <c r="Y2" s="102">
        <f t="shared" ref="Y2:Y13" si="9">if($F2 = 0, 0, X2/$F2)</f>
        <v>0.2272727273</v>
      </c>
      <c r="Z2" s="100">
        <f t="shared" ref="Z2:Z13" si="10">if( X2 = 0, 0, round( W2 / X2, 2))</f>
        <v>1597.78</v>
      </c>
      <c r="AA2" s="96">
        <f t="array" ref="AA2">SUMIFS(TRECHOS_LONGOS!$Y:$Y, MONTH(TRECHOS_LONGOS!$F:$F), row()-1, TRECHOS_LONGOS!$H:$H, "TERRESTRE")</f>
        <v>0</v>
      </c>
      <c r="AB2" s="104">
        <f t="array" ref="AB2">COUNTIFS(MONTH(TRECHOS_LONGOS!$F:$F), row()-1, TRECHOS_LONGOS!$H:$H, "TERRESTRE")</f>
        <v>0</v>
      </c>
      <c r="AC2" s="105">
        <f t="array" ref="AC2">SUMIFS(TRECHOS_LONGOS!$P:$P, MONTH(TRECHOS_LONGOS!$F:$F), row()-1, TRECHOS_LONGOS!$H:$H, "TERRESTRE")</f>
        <v>0</v>
      </c>
      <c r="AD2" s="96">
        <f t="shared" ref="AD2:AD13" si="11">if( AB2 = 0, 0, round( AA2 / AB2, 2))</f>
        <v>0</v>
      </c>
      <c r="AE2" s="94">
        <f t="shared" ref="AE2:AE13" si="12">if( AC2 = 0, 0, round( AA2 / AC2, 2))</f>
        <v>0</v>
      </c>
      <c r="AF2" s="106">
        <f t="array" ref="AF2">SUMIF(MONTH(HOSPEDAGEM!$E:$E), ROW()-1,HOSPEDAGEM!$J:$J)</f>
        <v>7278.28</v>
      </c>
      <c r="AG2" s="107">
        <f t="array" ref="AG2">SUMIF(MONTH(HOSPEDAGEM!$E:$E), ROW()-1,HOSPEDAGEM!$G:$G)</f>
        <v>15</v>
      </c>
      <c r="AH2" s="106">
        <f t="shared" ref="AH2:AH13" si="13">IF( AG2 = 0, 0, ROUND( AF2 / AG2, 2 ) )</f>
        <v>485.22</v>
      </c>
      <c r="AI2" s="108">
        <f t="array" ref="AI2">SUMIF(MONTH(DADOS_POR_VIAGEM!$B:$B), ROW()-1, DADOS_POR_VIAGEM!$H:$H)</f>
        <v>62921.53</v>
      </c>
      <c r="AJ2" s="109">
        <f t="array" ref="AJ2">if(row() &gt;= 13, 0, COUNTIF(MONTH(DADOS_POR_VIAGEM!$B:$B), ROW()-1))</f>
        <v>9</v>
      </c>
      <c r="AK2" s="108">
        <f t="shared" ref="AK2:AK13" si="14">IF( AJ2 = 0, 0, ROUND( AI2 / AJ2, 2 ) )</f>
        <v>6991.28</v>
      </c>
      <c r="AL2" s="73"/>
      <c r="AM2" s="73"/>
      <c r="AN2" s="73"/>
      <c r="AO2" s="73"/>
      <c r="AP2" s="73"/>
      <c r="AQ2" s="73"/>
      <c r="AR2" s="73"/>
      <c r="AS2" s="73"/>
      <c r="AT2" s="73"/>
      <c r="AU2" s="73"/>
      <c r="AV2" s="73"/>
      <c r="AW2" s="73"/>
      <c r="AX2" s="73"/>
      <c r="AY2" s="73"/>
      <c r="AZ2" s="73"/>
    </row>
    <row r="3" ht="30.75" customHeight="1">
      <c r="A3" s="93" t="s">
        <v>182</v>
      </c>
      <c r="B3" s="94">
        <f t="array" ref="B3">SUMIFS(TRECHOS_LONGOS!$Y:$Y, MONTH(TRECHOS_LONGOS!$F:$F), row()-1, TRECHOS_LONGOS!$H:$H, "AÉREO")</f>
        <v>24655.25</v>
      </c>
      <c r="C3" s="95">
        <f t="array" ref="C3">SUMIFS(TRECHOS_LONGOS!$Z:$Z, MONTH(TRECHOS_LONGOS!$F:$F), row()-1, TRECHOS_LONGOS!$H:$H, "AÉREO", TRECHOS_LONGOS!$O:$O, "AZUL")</f>
        <v>0</v>
      </c>
      <c r="D3" s="95">
        <f t="array" ref="D3">SUMIFS(TRECHOS_LONGOS!$Z:$Z, MONTH(TRECHOS_LONGOS!$F:$F), row()-1, TRECHOS_LONGOS!$H:$H, "AÉREO", TRECHOS_LONGOS!$O:$O, "GOL")</f>
        <v>0</v>
      </c>
      <c r="E3" s="95">
        <f t="array" ref="E3">SUMIFS(TRECHOS_LONGOS!$Z:$Z, MONTH(TRECHOS_LONGOS!$F:$F), row()-1, TRECHOS_LONGOS!$H:$H, "AÉREO", TRECHOS_LONGOS!$O:$O, "LATAM")</f>
        <v>0</v>
      </c>
      <c r="F3" s="95">
        <f t="array" ref="F3">COUNTIFS(MONTH(TRECHOS_LONGOS!$F:$F), row()-1, TRECHOS_LONGOS!$H:$H, "AÉREO")</f>
        <v>13</v>
      </c>
      <c r="G3" s="95">
        <f t="array" ref="G3">COUNTIFS(MONTH(TRECHOS_LONGOS!$F:$F), row()-1, TRECHOS_LONGOS!$H:$H, "AÉREO", TRECHOS_LONGOS!Z:Z, "&lt;&gt;0")</f>
        <v>0</v>
      </c>
      <c r="H3" s="95">
        <f t="array" ref="H3">SUMIFS(TRECHOS_LONGOS!$P:$P, MONTH(TRECHOS_LONGOS!$F:$F), row()-1, TRECHOS_LONGOS!$H:$H, "AÉREO")</f>
        <v>21290</v>
      </c>
      <c r="I3" s="95">
        <f t="array" ref="I3">SUMIFS(TRECHOS_LONGOS!$P:$P, MONTH(TRECHOS_LONGOS!$F:$F), row()-1, TRECHOS_LONGOS!$H:$H, "AÉREO", TRECHOS_LONGOS!$Z:$Z, "&lt;&gt;0")</f>
        <v>0</v>
      </c>
      <c r="J3" s="96">
        <f t="shared" si="1"/>
        <v>1896.56</v>
      </c>
      <c r="K3" s="97">
        <f t="shared" si="2"/>
        <v>0</v>
      </c>
      <c r="L3" s="94">
        <f t="shared" si="3"/>
        <v>1.16</v>
      </c>
      <c r="M3" s="98">
        <f t="shared" si="4"/>
        <v>0</v>
      </c>
      <c r="N3" s="99">
        <f t="array" ref="N3">IF( COUNTIFS(MONTH(TRECHOS_LONGOS!$F:$F), ROW()-1) = 0, 0, ROUND( COUNTIFS(MONTH(TRECHOS_LONGOS!$F:$F), ROW()-1, TRECHOS_LONGOS!$S:$S, "SIM") / COUNTIFS(MONTH(TRECHOS_LONGOS!$F:$F), ROW()-1), 4) )</f>
        <v>0</v>
      </c>
      <c r="O3" s="100">
        <f t="array" ref="O3">SUMIFS(TRECHOS_LONGOS!$Y:$Y, MONTH(TRECHOS_LONGOS!$F:$F), row()-1, TRECHOS_LONGOS!$H:$H, "AÉREO", TRECHOS_LONGOS!$G:$G, "&lt;=5")</f>
        <v>18307.73</v>
      </c>
      <c r="P3" s="101">
        <f t="array" ref="P3">COUNTIFS(MONTH(TRECHOS_LONGOS!$F:$F), row()-1, TRECHOS_LONGOS!$H:$H, "AÉREO", TRECHOS_LONGOS!$G:$G, "&lt;=5")</f>
        <v>9</v>
      </c>
      <c r="Q3" s="102">
        <f t="shared" si="5"/>
        <v>0.6923076923</v>
      </c>
      <c r="R3" s="100">
        <f t="shared" si="6"/>
        <v>2034.19</v>
      </c>
      <c r="S3" s="94">
        <f t="array" ref="S3">SUMIFS(TRECHOS_LONGOS!$Y:$Y, MONTH(TRECHOS_LONGOS!$F:$F), row()-1, TRECHOS_LONGOS!$H:$H, "AÉREO", TRECHOS_LONGOS!$G:$G, "&gt;5", TRECHOS_LONGOS!$G:$G, "&lt;=15")</f>
        <v>6347.52</v>
      </c>
      <c r="T3" s="103">
        <f t="array" ref="T3">COUNTIFS(MONTH(TRECHOS_LONGOS!$F:$F), row()-1, TRECHOS_LONGOS!$H:$H, "AÉREO", TRECHOS_LONGOS!$G:$G, "&gt;5", TRECHOS_LONGOS!$G:$G, "&lt;=15")</f>
        <v>4</v>
      </c>
      <c r="U3" s="99">
        <f t="shared" si="7"/>
        <v>0.3076923077</v>
      </c>
      <c r="V3" s="94">
        <f t="shared" si="8"/>
        <v>1586.88</v>
      </c>
      <c r="W3" s="100">
        <f t="array" ref="W3">SUMIFS(TRECHOS_LONGOS!$Y:$Y, MONTH(TRECHOS_LONGOS!$F:$F), row()-1, TRECHOS_LONGOS!$H:$H, "AÉREO", TRECHOS_LONGOS!$G:$G, "&gt;=16")</f>
        <v>0</v>
      </c>
      <c r="X3" s="101">
        <f t="array" ref="X3">COUNTIFS(MONTH(TRECHOS_LONGOS!$F:$F), row()-1, TRECHOS_LONGOS!$H:$H, "AÉREO", TRECHOS_LONGOS!$G:$G, "&gt;=16")</f>
        <v>0</v>
      </c>
      <c r="Y3" s="102">
        <f t="shared" si="9"/>
        <v>0</v>
      </c>
      <c r="Z3" s="100">
        <f t="shared" si="10"/>
        <v>0</v>
      </c>
      <c r="AA3" s="96">
        <f t="array" ref="AA3">SUMIFS(TRECHOS_LONGOS!$Y:$Y, MONTH(TRECHOS_LONGOS!$F:$F), row()-1, TRECHOS_LONGOS!$H:$H, "TERRESTRE")</f>
        <v>0</v>
      </c>
      <c r="AB3" s="104">
        <f t="array" ref="AB3">COUNTIFS(MONTH(TRECHOS_LONGOS!$F:$F), row()-1, TRECHOS_LONGOS!$H:$H, "TERRESTRE")</f>
        <v>0</v>
      </c>
      <c r="AC3" s="105">
        <f t="array" ref="AC3">SUMIFS(TRECHOS_LONGOS!$P:$P, MONTH(TRECHOS_LONGOS!$F:$F), row()-1, TRECHOS_LONGOS!$H:$H, "TERRESTRE")</f>
        <v>0</v>
      </c>
      <c r="AD3" s="96">
        <f t="shared" si="11"/>
        <v>0</v>
      </c>
      <c r="AE3" s="94">
        <f t="shared" si="12"/>
        <v>0</v>
      </c>
      <c r="AF3" s="106">
        <f t="array" ref="AF3">SUMIF(MONTH(HOSPEDAGEM!$E:$E), ROW()-1,HOSPEDAGEM!$J:$J)</f>
        <v>3643.5</v>
      </c>
      <c r="AG3" s="107">
        <f t="array" ref="AG3">SUMIF(MONTH(HOSPEDAGEM!$E:$E), ROW()-1,HOSPEDAGEM!$G:$G)</f>
        <v>6</v>
      </c>
      <c r="AH3" s="106">
        <f t="shared" si="13"/>
        <v>607.25</v>
      </c>
      <c r="AI3" s="108">
        <f t="array" ref="AI3">SUMIF(MONTH(DADOS_POR_VIAGEM!$B:$B), ROW()-1, DADOS_POR_VIAGEM!$H:$H)</f>
        <v>28298.75</v>
      </c>
      <c r="AJ3" s="109">
        <f t="array" ref="AJ3">if(row() &gt;= 13, 0, COUNTIF(MONTH(DADOS_POR_VIAGEM!$B:$B), ROW()-1))</f>
        <v>2</v>
      </c>
      <c r="AK3" s="108">
        <f t="shared" si="14"/>
        <v>14149.38</v>
      </c>
      <c r="AL3" s="73"/>
      <c r="AM3" s="73"/>
      <c r="AN3" s="73"/>
      <c r="AO3" s="73"/>
      <c r="AP3" s="73"/>
      <c r="AQ3" s="73"/>
      <c r="AR3" s="73"/>
      <c r="AS3" s="73"/>
      <c r="AT3" s="73"/>
      <c r="AU3" s="73"/>
      <c r="AV3" s="73"/>
      <c r="AW3" s="73"/>
      <c r="AX3" s="73"/>
      <c r="AY3" s="73"/>
      <c r="AZ3" s="73"/>
    </row>
    <row r="4" ht="30.75" customHeight="1">
      <c r="A4" s="93" t="s">
        <v>183</v>
      </c>
      <c r="B4" s="94">
        <f t="array" ref="B4">SUMIFS(TRECHOS_LONGOS!$Y:$Y, MONTH(TRECHOS_LONGOS!$F:$F), row()-1, TRECHOS_LONGOS!$H:$H, "AÉREO")</f>
        <v>119713.83</v>
      </c>
      <c r="C4" s="95">
        <f t="array" ref="C4">SUMIFS(TRECHOS_LONGOS!$Z:$Z, MONTH(TRECHOS_LONGOS!$F:$F), row()-1, TRECHOS_LONGOS!$H:$H, "AÉREO", TRECHOS_LONGOS!$O:$O, "AZUL")</f>
        <v>530400</v>
      </c>
      <c r="D4" s="95">
        <f t="array" ref="D4">SUMIFS(TRECHOS_LONGOS!$Z:$Z, MONTH(TRECHOS_LONGOS!$F:$F), row()-1, TRECHOS_LONGOS!$H:$H, "AÉREO", TRECHOS_LONGOS!$O:$O, "GOL")</f>
        <v>0</v>
      </c>
      <c r="E4" s="95">
        <f t="array" ref="E4">SUMIFS(TRECHOS_LONGOS!$Z:$Z, MONTH(TRECHOS_LONGOS!$F:$F), row()-1, TRECHOS_LONGOS!$H:$H, "AÉREO", TRECHOS_LONGOS!$O:$O, "LATAM")</f>
        <v>0</v>
      </c>
      <c r="F4" s="95">
        <f t="array" ref="F4">COUNTIFS(MONTH(TRECHOS_LONGOS!$F:$F), row()-1, TRECHOS_LONGOS!$H:$H, "AÉREO")</f>
        <v>61</v>
      </c>
      <c r="G4" s="95">
        <f t="array" ref="G4">COUNTIFS(MONTH(TRECHOS_LONGOS!$F:$F), row()-1, TRECHOS_LONGOS!$H:$H, "AÉREO", TRECHOS_LONGOS!Z:Z, "&lt;&gt;0")</f>
        <v>8</v>
      </c>
      <c r="H4" s="95">
        <f t="array" ref="H4">SUMIFS(TRECHOS_LONGOS!$P:$P, MONTH(TRECHOS_LONGOS!$F:$F), row()-1, TRECHOS_LONGOS!$H:$H, "AÉREO")</f>
        <v>77375</v>
      </c>
      <c r="I4" s="95">
        <f t="array" ref="I4">SUMIFS(TRECHOS_LONGOS!$P:$P, MONTH(TRECHOS_LONGOS!$F:$F), row()-1, TRECHOS_LONGOS!$H:$H, "AÉREO", TRECHOS_LONGOS!$Z:$Z, "&lt;&gt;0")</f>
        <v>5440</v>
      </c>
      <c r="J4" s="96">
        <f t="shared" si="1"/>
        <v>1962.52</v>
      </c>
      <c r="K4" s="97">
        <f t="shared" si="2"/>
        <v>66300</v>
      </c>
      <c r="L4" s="94">
        <f t="shared" si="3"/>
        <v>1.55</v>
      </c>
      <c r="M4" s="98">
        <f t="shared" si="4"/>
        <v>97.5</v>
      </c>
      <c r="N4" s="99">
        <f t="array" ref="N4">IF( COUNTIFS(MONTH(TRECHOS_LONGOS!$F:$F), ROW()-1) = 0, 0, ROUND( COUNTIFS(MONTH(TRECHOS_LONGOS!$F:$F), ROW()-1, TRECHOS_LONGOS!$S:$S, "SIM") / COUNTIFS(MONTH(TRECHOS_LONGOS!$F:$F), ROW()-1), 4) )</f>
        <v>0.1385</v>
      </c>
      <c r="O4" s="100">
        <f t="array" ref="O4">SUMIFS(TRECHOS_LONGOS!$Y:$Y, MONTH(TRECHOS_LONGOS!$F:$F), row()-1, TRECHOS_LONGOS!$H:$H, "AÉREO", TRECHOS_LONGOS!$G:$G, "&lt;=5")</f>
        <v>89831.04</v>
      </c>
      <c r="P4" s="101">
        <f t="array" ref="P4">COUNTIFS(MONTH(TRECHOS_LONGOS!$F:$F), row()-1, TRECHOS_LONGOS!$H:$H, "AÉREO", TRECHOS_LONGOS!$G:$G, "&lt;=5")</f>
        <v>40</v>
      </c>
      <c r="Q4" s="102">
        <f t="shared" si="5"/>
        <v>0.6557377049</v>
      </c>
      <c r="R4" s="100">
        <f t="shared" si="6"/>
        <v>2245.78</v>
      </c>
      <c r="S4" s="94">
        <f t="array" ref="S4">SUMIFS(TRECHOS_LONGOS!$Y:$Y, MONTH(TRECHOS_LONGOS!$F:$F), row()-1, TRECHOS_LONGOS!$H:$H, "AÉREO", TRECHOS_LONGOS!$G:$G, "&gt;5", TRECHOS_LONGOS!$G:$G, "&lt;=15")</f>
        <v>27876.41</v>
      </c>
      <c r="T4" s="103">
        <f t="array" ref="T4">COUNTIFS(MONTH(TRECHOS_LONGOS!$F:$F), row()-1, TRECHOS_LONGOS!$H:$H, "AÉREO", TRECHOS_LONGOS!$G:$G, "&gt;5", TRECHOS_LONGOS!$G:$G, "&lt;=15")</f>
        <v>20</v>
      </c>
      <c r="U4" s="99">
        <f t="shared" si="7"/>
        <v>0.3278688525</v>
      </c>
      <c r="V4" s="94">
        <f t="shared" si="8"/>
        <v>1393.82</v>
      </c>
      <c r="W4" s="100">
        <f t="array" ref="W4">SUMIFS(TRECHOS_LONGOS!$Y:$Y, MONTH(TRECHOS_LONGOS!$F:$F), row()-1, TRECHOS_LONGOS!$H:$H, "AÉREO", TRECHOS_LONGOS!$G:$G, "&gt;=16")</f>
        <v>2006.38</v>
      </c>
      <c r="X4" s="101">
        <f t="array" ref="X4">COUNTIFS(MONTH(TRECHOS_LONGOS!$F:$F), row()-1, TRECHOS_LONGOS!$H:$H, "AÉREO", TRECHOS_LONGOS!$G:$G, "&gt;=16")</f>
        <v>1</v>
      </c>
      <c r="Y4" s="102">
        <f t="shared" si="9"/>
        <v>0.01639344262</v>
      </c>
      <c r="Z4" s="100">
        <f t="shared" si="10"/>
        <v>2006.38</v>
      </c>
      <c r="AA4" s="96">
        <f t="array" ref="AA4">SUMIFS(TRECHOS_LONGOS!$Y:$Y, MONTH(TRECHOS_LONGOS!$F:$F), row()-1, TRECHOS_LONGOS!$H:$H, "TERRESTRE")</f>
        <v>265.6</v>
      </c>
      <c r="AB4" s="104">
        <f t="array" ref="AB4">COUNTIFS(MONTH(TRECHOS_LONGOS!$F:$F), row()-1, TRECHOS_LONGOS!$H:$H, "TERRESTRE")</f>
        <v>4</v>
      </c>
      <c r="AC4" s="105">
        <f t="array" ref="AC4">SUMIFS(TRECHOS_LONGOS!$P:$P, MONTH(TRECHOS_LONGOS!$F:$F), row()-1, TRECHOS_LONGOS!$H:$H, "TERRESTRE")</f>
        <v>760</v>
      </c>
      <c r="AD4" s="96">
        <f t="shared" si="11"/>
        <v>66.4</v>
      </c>
      <c r="AE4" s="94">
        <f t="shared" si="12"/>
        <v>0.35</v>
      </c>
      <c r="AF4" s="106">
        <f t="array" ref="AF4">SUMIF(MONTH(HOSPEDAGEM!$E:$E), ROW()-1,HOSPEDAGEM!$J:$J)</f>
        <v>19096.23</v>
      </c>
      <c r="AG4" s="107">
        <f t="array" ref="AG4">SUMIF(MONTH(HOSPEDAGEM!$E:$E), ROW()-1,HOSPEDAGEM!$G:$G)</f>
        <v>46</v>
      </c>
      <c r="AH4" s="106">
        <f t="shared" si="13"/>
        <v>415.14</v>
      </c>
      <c r="AI4" s="108">
        <f t="array" ref="AI4">SUMIF(MONTH(DADOS_POR_VIAGEM!$B:$B), ROW()-1, DADOS_POR_VIAGEM!$H:$H)</f>
        <v>139475.66</v>
      </c>
      <c r="AJ4" s="109">
        <f t="array" ref="AJ4">if(row() &gt;= 13, 0, COUNTIF(MONTH(DADOS_POR_VIAGEM!$B:$B), ROW()-1))</f>
        <v>13</v>
      </c>
      <c r="AK4" s="108">
        <f t="shared" si="14"/>
        <v>10728.9</v>
      </c>
      <c r="AL4" s="73"/>
      <c r="AM4" s="73"/>
      <c r="AN4" s="73"/>
      <c r="AO4" s="73"/>
      <c r="AP4" s="73"/>
      <c r="AQ4" s="73"/>
      <c r="AR4" s="73"/>
      <c r="AS4" s="73"/>
      <c r="AT4" s="73"/>
      <c r="AU4" s="73"/>
      <c r="AV4" s="73"/>
      <c r="AW4" s="73"/>
      <c r="AX4" s="73"/>
      <c r="AY4" s="73"/>
      <c r="AZ4" s="73"/>
    </row>
    <row r="5" ht="30.75" customHeight="1">
      <c r="A5" s="110">
        <v>46113.0</v>
      </c>
      <c r="B5" s="94">
        <f t="array" ref="B5">SUMIFS(TRECHOS_LONGOS!$Y:$Y, MONTH(TRECHOS_LONGOS!$F:$F), row()-1, TRECHOS_LONGOS!$H:$H, "AÉREO")</f>
        <v>0</v>
      </c>
      <c r="C5" s="95">
        <f t="array" ref="C5">SUMIFS(TRECHOS_LONGOS!$Z:$Z, MONTH(TRECHOS_LONGOS!$F:$F), row()-1, TRECHOS_LONGOS!$H:$H, "AÉREO", TRECHOS_LONGOS!$O:$O, "AZUL")</f>
        <v>0</v>
      </c>
      <c r="D5" s="95">
        <f t="array" ref="D5">SUMIFS(TRECHOS_LONGOS!$Z:$Z, MONTH(TRECHOS_LONGOS!$F:$F), row()-1, TRECHOS_LONGOS!$H:$H, "AÉREO", TRECHOS_LONGOS!$O:$O, "GOL")</f>
        <v>0</v>
      </c>
      <c r="E5" s="95">
        <f t="array" ref="E5">SUMIFS(TRECHOS_LONGOS!$Z:$Z, MONTH(TRECHOS_LONGOS!$F:$F), row()-1, TRECHOS_LONGOS!$H:$H, "AÉREO", TRECHOS_LONGOS!$O:$O, "LATAM")</f>
        <v>0</v>
      </c>
      <c r="F5" s="95">
        <f t="array" ref="F5">COUNTIFS(MONTH(TRECHOS_LONGOS!$F:$F), row()-1, TRECHOS_LONGOS!$H:$H, "AÉREO")</f>
        <v>0</v>
      </c>
      <c r="G5" s="95">
        <f t="array" ref="G5">COUNTIFS(MONTH(TRECHOS_LONGOS!$F:$F), row()-1, TRECHOS_LONGOS!$H:$H, "AÉREO", TRECHOS_LONGOS!Z:Z, "&lt;&gt;0")</f>
        <v>0</v>
      </c>
      <c r="H5" s="95">
        <f t="array" ref="H5">SUMIFS(TRECHOS_LONGOS!$P:$P, MONTH(TRECHOS_LONGOS!$F:$F), row()-1, TRECHOS_LONGOS!$H:$H, "AÉREO")</f>
        <v>0</v>
      </c>
      <c r="I5" s="95">
        <f t="array" ref="I5">SUMIFS(TRECHOS_LONGOS!$P:$P, MONTH(TRECHOS_LONGOS!$F:$F), row()-1, TRECHOS_LONGOS!$H:$H, "AÉREO", TRECHOS_LONGOS!$Z:$Z, "&lt;&gt;0")</f>
        <v>0</v>
      </c>
      <c r="J5" s="96">
        <f t="shared" si="1"/>
        <v>0</v>
      </c>
      <c r="K5" s="97">
        <f t="shared" si="2"/>
        <v>0</v>
      </c>
      <c r="L5" s="94">
        <f t="shared" si="3"/>
        <v>0</v>
      </c>
      <c r="M5" s="98">
        <f t="shared" si="4"/>
        <v>0</v>
      </c>
      <c r="N5" s="99">
        <f t="array" ref="N5">IF( COUNTIFS(MONTH(TRECHOS_LONGOS!$F:$F), ROW()-1) = 0, 0, ROUND( COUNTIFS(MONTH(TRECHOS_LONGOS!$F:$F), ROW()-1, TRECHOS_LONGOS!$S:$S, "SIM") / COUNTIFS(MONTH(TRECHOS_LONGOS!$F:$F), ROW()-1), 4) )</f>
        <v>0</v>
      </c>
      <c r="O5" s="100">
        <f t="array" ref="O5">SUMIFS(TRECHOS_LONGOS!$Y:$Y, MONTH(TRECHOS_LONGOS!$F:$F), row()-1, TRECHOS_LONGOS!$H:$H, "AÉREO", TRECHOS_LONGOS!$G:$G, "&lt;=5")</f>
        <v>0</v>
      </c>
      <c r="P5" s="101">
        <f t="array" ref="P5">COUNTIFS(MONTH(TRECHOS_LONGOS!$F:$F), row()-1, TRECHOS_LONGOS!$H:$H, "AÉREO", TRECHOS_LONGOS!$G:$G, "&lt;=5")</f>
        <v>0</v>
      </c>
      <c r="Q5" s="102">
        <f t="shared" si="5"/>
        <v>0</v>
      </c>
      <c r="R5" s="100">
        <f t="shared" si="6"/>
        <v>0</v>
      </c>
      <c r="S5" s="94">
        <f t="array" ref="S5">SUMIFS(TRECHOS_LONGOS!$Y:$Y, MONTH(TRECHOS_LONGOS!$F:$F), row()-1, TRECHOS_LONGOS!$H:$H, "AÉREO", TRECHOS_LONGOS!$G:$G, "&gt;5", TRECHOS_LONGOS!$G:$G, "&lt;=15")</f>
        <v>0</v>
      </c>
      <c r="T5" s="103">
        <f t="array" ref="T5">COUNTIFS(MONTH(TRECHOS_LONGOS!$F:$F), row()-1, TRECHOS_LONGOS!$H:$H, "AÉREO", TRECHOS_LONGOS!$G:$G, "&gt;5", TRECHOS_LONGOS!$G:$G, "&lt;=15")</f>
        <v>0</v>
      </c>
      <c r="U5" s="99">
        <f t="shared" si="7"/>
        <v>0</v>
      </c>
      <c r="V5" s="94">
        <f t="shared" si="8"/>
        <v>0</v>
      </c>
      <c r="W5" s="100">
        <f t="array" ref="W5">SUMIFS(TRECHOS_LONGOS!$Y:$Y, MONTH(TRECHOS_LONGOS!$F:$F), row()-1, TRECHOS_LONGOS!$H:$H, "AÉREO", TRECHOS_LONGOS!$G:$G, "&gt;=16")</f>
        <v>0</v>
      </c>
      <c r="X5" s="101">
        <f t="array" ref="X5">COUNTIFS(MONTH(TRECHOS_LONGOS!$F:$F), row()-1, TRECHOS_LONGOS!$H:$H, "AÉREO", TRECHOS_LONGOS!$G:$G, "&gt;=16")</f>
        <v>0</v>
      </c>
      <c r="Y5" s="102">
        <f t="shared" si="9"/>
        <v>0</v>
      </c>
      <c r="Z5" s="100">
        <f t="shared" si="10"/>
        <v>0</v>
      </c>
      <c r="AA5" s="96">
        <f t="array" ref="AA5">SUMIFS(TRECHOS_LONGOS!$Y:$Y, MONTH(TRECHOS_LONGOS!$F:$F), row()-1, TRECHOS_LONGOS!$H:$H, "TERRESTRE")</f>
        <v>0</v>
      </c>
      <c r="AB5" s="104">
        <f t="array" ref="AB5">COUNTIFS(MONTH(TRECHOS_LONGOS!$F:$F), row()-1, TRECHOS_LONGOS!$H:$H, "TERRESTRE")</f>
        <v>0</v>
      </c>
      <c r="AC5" s="105">
        <f t="array" ref="AC5">SUMIFS(TRECHOS_LONGOS!$P:$P, MONTH(TRECHOS_LONGOS!$F:$F), row()-1, TRECHOS_LONGOS!$H:$H, "TERRESTRE")</f>
        <v>0</v>
      </c>
      <c r="AD5" s="96">
        <f t="shared" si="11"/>
        <v>0</v>
      </c>
      <c r="AE5" s="94">
        <f t="shared" si="12"/>
        <v>0</v>
      </c>
      <c r="AF5" s="106">
        <f t="array" ref="AF5">SUMIF(MONTH(HOSPEDAGEM!$E:$E), ROW()-1,HOSPEDAGEM!$J:$J)</f>
        <v>0</v>
      </c>
      <c r="AG5" s="107">
        <f t="array" ref="AG5">SUMIF(MONTH(HOSPEDAGEM!$E:$E), ROW()-1,HOSPEDAGEM!$G:$G)</f>
        <v>0</v>
      </c>
      <c r="AH5" s="106">
        <f t="shared" si="13"/>
        <v>0</v>
      </c>
      <c r="AI5" s="108">
        <f t="array" ref="AI5">SUMIF(MONTH(DADOS_POR_VIAGEM!$B:$B), ROW()-1, DADOS_POR_VIAGEM!$H:$H)</f>
        <v>0</v>
      </c>
      <c r="AJ5" s="109">
        <f t="array" ref="AJ5">if(row() &gt;= 13, 0, COUNTIF(MONTH(DADOS_POR_VIAGEM!$B:$B), ROW()-1))</f>
        <v>0</v>
      </c>
      <c r="AK5" s="108">
        <f t="shared" si="14"/>
        <v>0</v>
      </c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</row>
    <row r="6" ht="30.75" customHeight="1">
      <c r="A6" s="110">
        <v>46143.0</v>
      </c>
      <c r="B6" s="94">
        <f t="array" ref="B6">SUMIFS(TRECHOS_LONGOS!$Y:$Y, MONTH(TRECHOS_LONGOS!$F:$F), row()-1, TRECHOS_LONGOS!$H:$H, "AÉREO")</f>
        <v>0</v>
      </c>
      <c r="C6" s="95">
        <f t="array" ref="C6">SUMIFS(TRECHOS_LONGOS!$Z:$Z, MONTH(TRECHOS_LONGOS!$F:$F), row()-1, TRECHOS_LONGOS!$H:$H, "AÉREO", TRECHOS_LONGOS!$O:$O, "AZUL")</f>
        <v>0</v>
      </c>
      <c r="D6" s="95">
        <f t="array" ref="D6">SUMIFS(TRECHOS_LONGOS!$Z:$Z, MONTH(TRECHOS_LONGOS!$F:$F), row()-1, TRECHOS_LONGOS!$H:$H, "AÉREO", TRECHOS_LONGOS!$O:$O, "GOL")</f>
        <v>0</v>
      </c>
      <c r="E6" s="95">
        <f t="array" ref="E6">SUMIFS(TRECHOS_LONGOS!$Z:$Z, MONTH(TRECHOS_LONGOS!$F:$F), row()-1, TRECHOS_LONGOS!$H:$H, "AÉREO", TRECHOS_LONGOS!$O:$O, "LATAM")</f>
        <v>0</v>
      </c>
      <c r="F6" s="95">
        <f t="array" ref="F6">COUNTIFS(MONTH(TRECHOS_LONGOS!$F:$F), row()-1, TRECHOS_LONGOS!$H:$H, "AÉREO")</f>
        <v>0</v>
      </c>
      <c r="G6" s="95">
        <f t="array" ref="G6">COUNTIFS(MONTH(TRECHOS_LONGOS!$F:$F), row()-1, TRECHOS_LONGOS!$H:$H, "AÉREO", TRECHOS_LONGOS!Z:Z, "&lt;&gt;0")</f>
        <v>0</v>
      </c>
      <c r="H6" s="95">
        <f t="array" ref="H6">SUMIFS(TRECHOS_LONGOS!$P:$P, MONTH(TRECHOS_LONGOS!$F:$F), row()-1, TRECHOS_LONGOS!$H:$H, "AÉREO")</f>
        <v>0</v>
      </c>
      <c r="I6" s="95">
        <f t="array" ref="I6">SUMIFS(TRECHOS_LONGOS!$P:$P, MONTH(TRECHOS_LONGOS!$F:$F), row()-1, TRECHOS_LONGOS!$H:$H, "AÉREO", TRECHOS_LONGOS!$Z:$Z, "&lt;&gt;0")</f>
        <v>0</v>
      </c>
      <c r="J6" s="96">
        <f t="shared" si="1"/>
        <v>0</v>
      </c>
      <c r="K6" s="97">
        <f t="shared" si="2"/>
        <v>0</v>
      </c>
      <c r="L6" s="94">
        <f t="shared" si="3"/>
        <v>0</v>
      </c>
      <c r="M6" s="98">
        <f t="shared" si="4"/>
        <v>0</v>
      </c>
      <c r="N6" s="99">
        <f t="array" ref="N6">IF( COUNTIFS(MONTH(TRECHOS_LONGOS!$F:$F), ROW()-1) = 0, 0, ROUND( COUNTIFS(MONTH(TRECHOS_LONGOS!$F:$F), ROW()-1, TRECHOS_LONGOS!$S:$S, "SIM") / COUNTIFS(MONTH(TRECHOS_LONGOS!$F:$F), ROW()-1), 4) )</f>
        <v>0</v>
      </c>
      <c r="O6" s="100">
        <f t="array" ref="O6">SUMIFS(TRECHOS_LONGOS!$Y:$Y, MONTH(TRECHOS_LONGOS!$F:$F), row()-1, TRECHOS_LONGOS!$H:$H, "AÉREO", TRECHOS_LONGOS!$G:$G, "&lt;=5")</f>
        <v>0</v>
      </c>
      <c r="P6" s="101">
        <f t="array" ref="P6">COUNTIFS(MONTH(TRECHOS_LONGOS!$F:$F), row()-1, TRECHOS_LONGOS!$H:$H, "AÉREO", TRECHOS_LONGOS!$G:$G, "&lt;=5")</f>
        <v>0</v>
      </c>
      <c r="Q6" s="102">
        <f t="shared" si="5"/>
        <v>0</v>
      </c>
      <c r="R6" s="100">
        <f t="shared" si="6"/>
        <v>0</v>
      </c>
      <c r="S6" s="94">
        <f t="array" ref="S6">SUMIFS(TRECHOS_LONGOS!$Y:$Y, MONTH(TRECHOS_LONGOS!$F:$F), row()-1, TRECHOS_LONGOS!$H:$H, "AÉREO", TRECHOS_LONGOS!$G:$G, "&gt;5", TRECHOS_LONGOS!$G:$G, "&lt;=15")</f>
        <v>0</v>
      </c>
      <c r="T6" s="103">
        <f t="array" ref="T6">COUNTIFS(MONTH(TRECHOS_LONGOS!$F:$F), row()-1, TRECHOS_LONGOS!$H:$H, "AÉREO", TRECHOS_LONGOS!$G:$G, "&gt;5", TRECHOS_LONGOS!$G:$G, "&lt;=15")</f>
        <v>0</v>
      </c>
      <c r="U6" s="99">
        <f t="shared" si="7"/>
        <v>0</v>
      </c>
      <c r="V6" s="94">
        <f t="shared" si="8"/>
        <v>0</v>
      </c>
      <c r="W6" s="100">
        <f t="array" ref="W6">SUMIFS(TRECHOS_LONGOS!$Y:$Y, MONTH(TRECHOS_LONGOS!$F:$F), row()-1, TRECHOS_LONGOS!$H:$H, "AÉREO", TRECHOS_LONGOS!$G:$G, "&gt;=16")</f>
        <v>0</v>
      </c>
      <c r="X6" s="101">
        <f t="array" ref="X6">COUNTIFS(MONTH(TRECHOS_LONGOS!$F:$F), row()-1, TRECHOS_LONGOS!$H:$H, "AÉREO", TRECHOS_LONGOS!$G:$G, "&gt;=16")</f>
        <v>0</v>
      </c>
      <c r="Y6" s="102">
        <f t="shared" si="9"/>
        <v>0</v>
      </c>
      <c r="Z6" s="100">
        <f t="shared" si="10"/>
        <v>0</v>
      </c>
      <c r="AA6" s="96">
        <f t="array" ref="AA6">SUMIFS(TRECHOS_LONGOS!$Y:$Y, MONTH(TRECHOS_LONGOS!$F:$F), row()-1, TRECHOS_LONGOS!$H:$H, "TERRESTRE")</f>
        <v>0</v>
      </c>
      <c r="AB6" s="104">
        <f t="array" ref="AB6">COUNTIFS(MONTH(TRECHOS_LONGOS!$F:$F), row()-1, TRECHOS_LONGOS!$H:$H, "TERRESTRE")</f>
        <v>0</v>
      </c>
      <c r="AC6" s="105">
        <f t="array" ref="AC6">SUMIFS(TRECHOS_LONGOS!$P:$P, MONTH(TRECHOS_LONGOS!$F:$F), row()-1, TRECHOS_LONGOS!$H:$H, "TERRESTRE")</f>
        <v>0</v>
      </c>
      <c r="AD6" s="96">
        <f t="shared" si="11"/>
        <v>0</v>
      </c>
      <c r="AE6" s="94">
        <f t="shared" si="12"/>
        <v>0</v>
      </c>
      <c r="AF6" s="106">
        <f t="array" ref="AF6">SUMIF(MONTH(HOSPEDAGEM!$E:$E), ROW()-1,HOSPEDAGEM!$J:$J)</f>
        <v>0</v>
      </c>
      <c r="AG6" s="107">
        <f t="array" ref="AG6">SUMIF(MONTH(HOSPEDAGEM!$E:$E), ROW()-1,HOSPEDAGEM!$G:$G)</f>
        <v>0</v>
      </c>
      <c r="AH6" s="106">
        <f t="shared" si="13"/>
        <v>0</v>
      </c>
      <c r="AI6" s="108">
        <f t="array" ref="AI6">SUMIF(MONTH(DADOS_POR_VIAGEM!$B:$B), ROW()-1, DADOS_POR_VIAGEM!$H:$H)</f>
        <v>0</v>
      </c>
      <c r="AJ6" s="109">
        <f t="array" ref="AJ6">if(row() &gt;= 13, 0, COUNTIF(MONTH(DADOS_POR_VIAGEM!$B:$B), ROW()-1))</f>
        <v>0</v>
      </c>
      <c r="AK6" s="108">
        <f t="shared" si="14"/>
        <v>0</v>
      </c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</row>
    <row r="7" ht="30.75" customHeight="1">
      <c r="A7" s="110">
        <v>46174.0</v>
      </c>
      <c r="B7" s="94">
        <f t="array" ref="B7">SUMIFS(TRECHOS_LONGOS!$Y:$Y, MONTH(TRECHOS_LONGOS!$F:$F), row()-1, TRECHOS_LONGOS!$H:$H, "AÉREO")</f>
        <v>0</v>
      </c>
      <c r="C7" s="95">
        <f t="array" ref="C7">SUMIFS(TRECHOS_LONGOS!$Z:$Z, MONTH(TRECHOS_LONGOS!$F:$F), row()-1, TRECHOS_LONGOS!$H:$H, "AÉREO", TRECHOS_LONGOS!$O:$O, "AZUL")</f>
        <v>0</v>
      </c>
      <c r="D7" s="95">
        <f t="array" ref="D7">SUMIFS(TRECHOS_LONGOS!$Z:$Z, MONTH(TRECHOS_LONGOS!$F:$F), row()-1, TRECHOS_LONGOS!$H:$H, "AÉREO", TRECHOS_LONGOS!$O:$O, "GOL")</f>
        <v>0</v>
      </c>
      <c r="E7" s="95">
        <f t="array" ref="E7">SUMIFS(TRECHOS_LONGOS!$Z:$Z, MONTH(TRECHOS_LONGOS!$F:$F), row()-1, TRECHOS_LONGOS!$H:$H, "AÉREO", TRECHOS_LONGOS!$O:$O, "LATAM")</f>
        <v>0</v>
      </c>
      <c r="F7" s="95">
        <f t="array" ref="F7">COUNTIFS(MONTH(TRECHOS_LONGOS!$F:$F), row()-1, TRECHOS_LONGOS!$H:$H, "AÉREO")</f>
        <v>0</v>
      </c>
      <c r="G7" s="95">
        <f t="array" ref="G7">COUNTIFS(MONTH(TRECHOS_LONGOS!$F:$F), row()-1, TRECHOS_LONGOS!$H:$H, "AÉREO", TRECHOS_LONGOS!Z:Z, "&lt;&gt;0")</f>
        <v>0</v>
      </c>
      <c r="H7" s="95">
        <f t="array" ref="H7">SUMIFS(TRECHOS_LONGOS!$P:$P, MONTH(TRECHOS_LONGOS!$F:$F), row()-1, TRECHOS_LONGOS!$H:$H, "AÉREO")</f>
        <v>0</v>
      </c>
      <c r="I7" s="95">
        <f t="array" ref="I7">SUMIFS(TRECHOS_LONGOS!$P:$P, MONTH(TRECHOS_LONGOS!$F:$F), row()-1, TRECHOS_LONGOS!$H:$H, "AÉREO", TRECHOS_LONGOS!$Z:$Z, "&lt;&gt;0")</f>
        <v>0</v>
      </c>
      <c r="J7" s="96">
        <f t="shared" si="1"/>
        <v>0</v>
      </c>
      <c r="K7" s="97">
        <f t="shared" si="2"/>
        <v>0</v>
      </c>
      <c r="L7" s="94">
        <f t="shared" si="3"/>
        <v>0</v>
      </c>
      <c r="M7" s="98">
        <f t="shared" si="4"/>
        <v>0</v>
      </c>
      <c r="N7" s="99">
        <f t="array" ref="N7">IF( COUNTIFS(MONTH(TRECHOS_LONGOS!$F:$F), ROW()-1) = 0, 0, ROUND( COUNTIFS(MONTH(TRECHOS_LONGOS!$F:$F), ROW()-1, TRECHOS_LONGOS!$S:$S, "SIM") / COUNTIFS(MONTH(TRECHOS_LONGOS!$F:$F), ROW()-1), 4) )</f>
        <v>0</v>
      </c>
      <c r="O7" s="100">
        <f t="array" ref="O7">SUMIFS(TRECHOS_LONGOS!$Y:$Y, MONTH(TRECHOS_LONGOS!$F:$F), row()-1, TRECHOS_LONGOS!$H:$H, "AÉREO", TRECHOS_LONGOS!$G:$G, "&lt;=5")</f>
        <v>0</v>
      </c>
      <c r="P7" s="101">
        <f t="array" ref="P7">COUNTIFS(MONTH(TRECHOS_LONGOS!$F:$F), row()-1, TRECHOS_LONGOS!$H:$H, "AÉREO", TRECHOS_LONGOS!$G:$G, "&lt;=5")</f>
        <v>0</v>
      </c>
      <c r="Q7" s="102">
        <f t="shared" si="5"/>
        <v>0</v>
      </c>
      <c r="R7" s="100">
        <f t="shared" si="6"/>
        <v>0</v>
      </c>
      <c r="S7" s="94">
        <f t="array" ref="S7">SUMIFS(TRECHOS_LONGOS!$Y:$Y, MONTH(TRECHOS_LONGOS!$F:$F), row()-1, TRECHOS_LONGOS!$H:$H, "AÉREO", TRECHOS_LONGOS!$G:$G, "&gt;5", TRECHOS_LONGOS!$G:$G, "&lt;=15")</f>
        <v>0</v>
      </c>
      <c r="T7" s="103">
        <f t="array" ref="T7">COUNTIFS(MONTH(TRECHOS_LONGOS!$F:$F), row()-1, TRECHOS_LONGOS!$H:$H, "AÉREO", TRECHOS_LONGOS!$G:$G, "&gt;5", TRECHOS_LONGOS!$G:$G, "&lt;=15")</f>
        <v>0</v>
      </c>
      <c r="U7" s="99">
        <f t="shared" si="7"/>
        <v>0</v>
      </c>
      <c r="V7" s="94">
        <f t="shared" si="8"/>
        <v>0</v>
      </c>
      <c r="W7" s="100">
        <f t="array" ref="W7">SUMIFS(TRECHOS_LONGOS!$Y:$Y, MONTH(TRECHOS_LONGOS!$F:$F), row()-1, TRECHOS_LONGOS!$H:$H, "AÉREO", TRECHOS_LONGOS!$G:$G, "&gt;=16")</f>
        <v>0</v>
      </c>
      <c r="X7" s="101">
        <f t="array" ref="X7">COUNTIFS(MONTH(TRECHOS_LONGOS!$F:$F), row()-1, TRECHOS_LONGOS!$H:$H, "AÉREO", TRECHOS_LONGOS!$G:$G, "&gt;=16")</f>
        <v>0</v>
      </c>
      <c r="Y7" s="102">
        <f t="shared" si="9"/>
        <v>0</v>
      </c>
      <c r="Z7" s="100">
        <f t="shared" si="10"/>
        <v>0</v>
      </c>
      <c r="AA7" s="96">
        <f t="array" ref="AA7">SUMIFS(TRECHOS_LONGOS!$Y:$Y, MONTH(TRECHOS_LONGOS!$F:$F), row()-1, TRECHOS_LONGOS!$H:$H, "TERRESTRE")</f>
        <v>0</v>
      </c>
      <c r="AB7" s="104">
        <f t="array" ref="AB7">COUNTIFS(MONTH(TRECHOS_LONGOS!$F:$F), row()-1, TRECHOS_LONGOS!$H:$H, "TERRESTRE")</f>
        <v>0</v>
      </c>
      <c r="AC7" s="105">
        <f t="array" ref="AC7">SUMIFS(TRECHOS_LONGOS!$P:$P, MONTH(TRECHOS_LONGOS!$F:$F), row()-1, TRECHOS_LONGOS!$H:$H, "TERRESTRE")</f>
        <v>0</v>
      </c>
      <c r="AD7" s="96">
        <f t="shared" si="11"/>
        <v>0</v>
      </c>
      <c r="AE7" s="94">
        <f t="shared" si="12"/>
        <v>0</v>
      </c>
      <c r="AF7" s="106">
        <f t="array" ref="AF7">SUMIF(MONTH(HOSPEDAGEM!$E:$E), ROW()-1,HOSPEDAGEM!$J:$J)</f>
        <v>0</v>
      </c>
      <c r="AG7" s="107">
        <f t="array" ref="AG7">SUMIF(MONTH(HOSPEDAGEM!$E:$E), ROW()-1,HOSPEDAGEM!$G:$G)</f>
        <v>0</v>
      </c>
      <c r="AH7" s="106">
        <f t="shared" si="13"/>
        <v>0</v>
      </c>
      <c r="AI7" s="108">
        <f t="array" ref="AI7">SUMIF(MONTH(DADOS_POR_VIAGEM!$B:$B), ROW()-1, DADOS_POR_VIAGEM!$H:$H)</f>
        <v>0</v>
      </c>
      <c r="AJ7" s="109">
        <f t="array" ref="AJ7">if(row() &gt;= 13, 0, COUNTIF(MONTH(DADOS_POR_VIAGEM!$B:$B), ROW()-1))</f>
        <v>0</v>
      </c>
      <c r="AK7" s="108">
        <f t="shared" si="14"/>
        <v>0</v>
      </c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3"/>
      <c r="AY7" s="73"/>
      <c r="AZ7" s="73"/>
    </row>
    <row r="8" ht="30.75" customHeight="1">
      <c r="A8" s="110">
        <v>46204.0</v>
      </c>
      <c r="B8" s="94">
        <f t="array" ref="B8">SUMIFS(TRECHOS_LONGOS!$Y:$Y, MONTH(TRECHOS_LONGOS!$F:$F), row()-1, TRECHOS_LONGOS!$H:$H, "AÉREO")</f>
        <v>0</v>
      </c>
      <c r="C8" s="95">
        <f t="array" ref="C8">SUMIFS(TRECHOS_LONGOS!$Z:$Z, MONTH(TRECHOS_LONGOS!$F:$F), row()-1, TRECHOS_LONGOS!$H:$H, "AÉREO", TRECHOS_LONGOS!$O:$O, "AZUL")</f>
        <v>0</v>
      </c>
      <c r="D8" s="95">
        <f t="array" ref="D8">SUMIFS(TRECHOS_LONGOS!$Z:$Z, MONTH(TRECHOS_LONGOS!$F:$F), row()-1, TRECHOS_LONGOS!$H:$H, "AÉREO", TRECHOS_LONGOS!$O:$O, "GOL")</f>
        <v>0</v>
      </c>
      <c r="E8" s="95">
        <f t="array" ref="E8">SUMIFS(TRECHOS_LONGOS!$Z:$Z, MONTH(TRECHOS_LONGOS!$F:$F), row()-1, TRECHOS_LONGOS!$H:$H, "AÉREO", TRECHOS_LONGOS!$O:$O, "LATAM")</f>
        <v>0</v>
      </c>
      <c r="F8" s="95">
        <f t="array" ref="F8">COUNTIFS(MONTH(TRECHOS_LONGOS!$F:$F), row()-1, TRECHOS_LONGOS!$H:$H, "AÉREO")</f>
        <v>0</v>
      </c>
      <c r="G8" s="95">
        <f t="array" ref="G8">COUNTIFS(MONTH(TRECHOS_LONGOS!$F:$F), row()-1, TRECHOS_LONGOS!$H:$H, "AÉREO", TRECHOS_LONGOS!Z:Z, "&lt;&gt;0")</f>
        <v>0</v>
      </c>
      <c r="H8" s="95">
        <f t="array" ref="H8">SUMIFS(TRECHOS_LONGOS!$P:$P, MONTH(TRECHOS_LONGOS!$F:$F), row()-1, TRECHOS_LONGOS!$H:$H, "AÉREO")</f>
        <v>0</v>
      </c>
      <c r="I8" s="95">
        <f t="array" ref="I8">SUMIFS(TRECHOS_LONGOS!$P:$P, MONTH(TRECHOS_LONGOS!$F:$F), row()-1, TRECHOS_LONGOS!$H:$H, "AÉREO", TRECHOS_LONGOS!$Z:$Z, "&lt;&gt;0")</f>
        <v>0</v>
      </c>
      <c r="J8" s="96">
        <f t="shared" si="1"/>
        <v>0</v>
      </c>
      <c r="K8" s="97">
        <f t="shared" si="2"/>
        <v>0</v>
      </c>
      <c r="L8" s="94">
        <f t="shared" si="3"/>
        <v>0</v>
      </c>
      <c r="M8" s="98">
        <f t="shared" si="4"/>
        <v>0</v>
      </c>
      <c r="N8" s="99">
        <f t="array" ref="N8">IF( COUNTIFS(MONTH(TRECHOS_LONGOS!$F:$F), ROW()-1) = 0, 0, ROUND( COUNTIFS(MONTH(TRECHOS_LONGOS!$F:$F), ROW()-1, TRECHOS_LONGOS!$S:$S, "SIM") / COUNTIFS(MONTH(TRECHOS_LONGOS!$F:$F), ROW()-1), 4) )</f>
        <v>0</v>
      </c>
      <c r="O8" s="100">
        <f t="array" ref="O8">SUMIFS(TRECHOS_LONGOS!$Y:$Y, MONTH(TRECHOS_LONGOS!$F:$F), row()-1, TRECHOS_LONGOS!$H:$H, "AÉREO", TRECHOS_LONGOS!$G:$G, "&lt;=5")</f>
        <v>0</v>
      </c>
      <c r="P8" s="101">
        <f t="array" ref="P8">COUNTIFS(MONTH(TRECHOS_LONGOS!$F:$F), row()-1, TRECHOS_LONGOS!$H:$H, "AÉREO", TRECHOS_LONGOS!$G:$G, "&lt;=5")</f>
        <v>0</v>
      </c>
      <c r="Q8" s="102">
        <f t="shared" si="5"/>
        <v>0</v>
      </c>
      <c r="R8" s="100">
        <f t="shared" si="6"/>
        <v>0</v>
      </c>
      <c r="S8" s="94">
        <f t="array" ref="S8">SUMIFS(TRECHOS_LONGOS!$Y:$Y, MONTH(TRECHOS_LONGOS!$F:$F), row()-1, TRECHOS_LONGOS!$H:$H, "AÉREO", TRECHOS_LONGOS!$G:$G, "&gt;5", TRECHOS_LONGOS!$G:$G, "&lt;=15")</f>
        <v>0</v>
      </c>
      <c r="T8" s="103">
        <f t="array" ref="T8">COUNTIFS(MONTH(TRECHOS_LONGOS!$F:$F), row()-1, TRECHOS_LONGOS!$H:$H, "AÉREO", TRECHOS_LONGOS!$G:$G, "&gt;5", TRECHOS_LONGOS!$G:$G, "&lt;=15")</f>
        <v>0</v>
      </c>
      <c r="U8" s="99">
        <f t="shared" si="7"/>
        <v>0</v>
      </c>
      <c r="V8" s="94">
        <f t="shared" si="8"/>
        <v>0</v>
      </c>
      <c r="W8" s="100">
        <f t="array" ref="W8">SUMIFS(TRECHOS_LONGOS!$Y:$Y, MONTH(TRECHOS_LONGOS!$F:$F), row()-1, TRECHOS_LONGOS!$H:$H, "AÉREO", TRECHOS_LONGOS!$G:$G, "&gt;=16")</f>
        <v>0</v>
      </c>
      <c r="X8" s="101">
        <f t="array" ref="X8">COUNTIFS(MONTH(TRECHOS_LONGOS!$F:$F), row()-1, TRECHOS_LONGOS!$H:$H, "AÉREO", TRECHOS_LONGOS!$G:$G, "&gt;=16")</f>
        <v>0</v>
      </c>
      <c r="Y8" s="102">
        <f t="shared" si="9"/>
        <v>0</v>
      </c>
      <c r="Z8" s="100">
        <f t="shared" si="10"/>
        <v>0</v>
      </c>
      <c r="AA8" s="96">
        <f t="array" ref="AA8">SUMIFS(TRECHOS_LONGOS!$Y:$Y, MONTH(TRECHOS_LONGOS!$F:$F), row()-1, TRECHOS_LONGOS!$H:$H, "TERRESTRE")</f>
        <v>0</v>
      </c>
      <c r="AB8" s="104">
        <f t="array" ref="AB8">COUNTIFS(MONTH(TRECHOS_LONGOS!$F:$F), row()-1, TRECHOS_LONGOS!$H:$H, "TERRESTRE")</f>
        <v>0</v>
      </c>
      <c r="AC8" s="105">
        <f t="array" ref="AC8">SUMIFS(TRECHOS_LONGOS!$P:$P, MONTH(TRECHOS_LONGOS!$F:$F), row()-1, TRECHOS_LONGOS!$H:$H, "TERRESTRE")</f>
        <v>0</v>
      </c>
      <c r="AD8" s="96">
        <f t="shared" si="11"/>
        <v>0</v>
      </c>
      <c r="AE8" s="94">
        <f t="shared" si="12"/>
        <v>0</v>
      </c>
      <c r="AF8" s="106">
        <f t="array" ref="AF8">SUMIF(MONTH(HOSPEDAGEM!$E:$E), ROW()-1,HOSPEDAGEM!$J:$J)</f>
        <v>0</v>
      </c>
      <c r="AG8" s="107">
        <f t="array" ref="AG8">SUMIF(MONTH(HOSPEDAGEM!$E:$E), ROW()-1,HOSPEDAGEM!$G:$G)</f>
        <v>0</v>
      </c>
      <c r="AH8" s="106">
        <f t="shared" si="13"/>
        <v>0</v>
      </c>
      <c r="AI8" s="108">
        <f t="array" ref="AI8">SUMIF(MONTH(DADOS_POR_VIAGEM!$B:$B), ROW()-1, DADOS_POR_VIAGEM!$H:$H)</f>
        <v>0</v>
      </c>
      <c r="AJ8" s="109">
        <f t="array" ref="AJ8">if(row() &gt;= 13, 0, COUNTIF(MONTH(DADOS_POR_VIAGEM!$B:$B), ROW()-1))</f>
        <v>0</v>
      </c>
      <c r="AK8" s="108">
        <f t="shared" si="14"/>
        <v>0</v>
      </c>
      <c r="AL8" s="73"/>
      <c r="AM8" s="73"/>
      <c r="AN8" s="73"/>
      <c r="AO8" s="73"/>
      <c r="AP8" s="73"/>
      <c r="AQ8" s="73"/>
      <c r="AR8" s="73"/>
      <c r="AS8" s="73"/>
      <c r="AT8" s="73"/>
      <c r="AU8" s="73"/>
      <c r="AV8" s="73"/>
      <c r="AW8" s="73"/>
      <c r="AX8" s="73"/>
      <c r="AY8" s="73"/>
      <c r="AZ8" s="73"/>
    </row>
    <row r="9" ht="30.75" customHeight="1">
      <c r="A9" s="110">
        <v>46235.0</v>
      </c>
      <c r="B9" s="94">
        <f t="array" ref="B9">SUMIFS(TRECHOS_LONGOS!$Y:$Y, MONTH(TRECHOS_LONGOS!$F:$F), row()-1, TRECHOS_LONGOS!$H:$H, "AÉREO")</f>
        <v>0</v>
      </c>
      <c r="C9" s="95">
        <f t="array" ref="C9">SUMIFS(TRECHOS_LONGOS!$Z:$Z, MONTH(TRECHOS_LONGOS!$F:$F), row()-1, TRECHOS_LONGOS!$H:$H, "AÉREO", TRECHOS_LONGOS!$O:$O, "AZUL")</f>
        <v>0</v>
      </c>
      <c r="D9" s="95">
        <f t="array" ref="D9">SUMIFS(TRECHOS_LONGOS!$Z:$Z, MONTH(TRECHOS_LONGOS!$F:$F), row()-1, TRECHOS_LONGOS!$H:$H, "AÉREO", TRECHOS_LONGOS!$O:$O, "GOL")</f>
        <v>0</v>
      </c>
      <c r="E9" s="95">
        <f t="array" ref="E9">SUMIFS(TRECHOS_LONGOS!$Z:$Z, MONTH(TRECHOS_LONGOS!$F:$F), row()-1, TRECHOS_LONGOS!$H:$H, "AÉREO", TRECHOS_LONGOS!$O:$O, "LATAM")</f>
        <v>0</v>
      </c>
      <c r="F9" s="95">
        <f t="array" ref="F9">COUNTIFS(MONTH(TRECHOS_LONGOS!$F:$F), row()-1, TRECHOS_LONGOS!$H:$H, "AÉREO")</f>
        <v>0</v>
      </c>
      <c r="G9" s="95">
        <f t="array" ref="G9">COUNTIFS(MONTH(TRECHOS_LONGOS!$F:$F), row()-1, TRECHOS_LONGOS!$H:$H, "AÉREO", TRECHOS_LONGOS!Z:Z, "&lt;&gt;0")</f>
        <v>0</v>
      </c>
      <c r="H9" s="95">
        <f t="array" ref="H9">SUMIFS(TRECHOS_LONGOS!$P:$P, MONTH(TRECHOS_LONGOS!$F:$F), row()-1, TRECHOS_LONGOS!$H:$H, "AÉREO")</f>
        <v>0</v>
      </c>
      <c r="I9" s="95">
        <f t="array" ref="I9">SUMIFS(TRECHOS_LONGOS!$P:$P, MONTH(TRECHOS_LONGOS!$F:$F), row()-1, TRECHOS_LONGOS!$H:$H, "AÉREO", TRECHOS_LONGOS!$Z:$Z, "&lt;&gt;0")</f>
        <v>0</v>
      </c>
      <c r="J9" s="96">
        <f t="shared" si="1"/>
        <v>0</v>
      </c>
      <c r="K9" s="97">
        <f t="shared" si="2"/>
        <v>0</v>
      </c>
      <c r="L9" s="94">
        <f t="shared" si="3"/>
        <v>0</v>
      </c>
      <c r="M9" s="98">
        <f t="shared" si="4"/>
        <v>0</v>
      </c>
      <c r="N9" s="99">
        <f t="array" ref="N9">IF( COUNTIFS(MONTH(TRECHOS_LONGOS!$F:$F), ROW()-1) = 0, 0, ROUND( COUNTIFS(MONTH(TRECHOS_LONGOS!$F:$F), ROW()-1, TRECHOS_LONGOS!$S:$S, "SIM") / COUNTIFS(MONTH(TRECHOS_LONGOS!$F:$F), ROW()-1), 4) )</f>
        <v>0</v>
      </c>
      <c r="O9" s="100">
        <f t="array" ref="O9">SUMIFS(TRECHOS_LONGOS!$Y:$Y, MONTH(TRECHOS_LONGOS!$F:$F), row()-1, TRECHOS_LONGOS!$H:$H, "AÉREO", TRECHOS_LONGOS!$G:$G, "&lt;=5")</f>
        <v>0</v>
      </c>
      <c r="P9" s="101">
        <f t="array" ref="P9">COUNTIFS(MONTH(TRECHOS_LONGOS!$F:$F), row()-1, TRECHOS_LONGOS!$H:$H, "AÉREO", TRECHOS_LONGOS!$G:$G, "&lt;=5")</f>
        <v>0</v>
      </c>
      <c r="Q9" s="102">
        <f t="shared" si="5"/>
        <v>0</v>
      </c>
      <c r="R9" s="100">
        <f t="shared" si="6"/>
        <v>0</v>
      </c>
      <c r="S9" s="94">
        <f t="array" ref="S9">SUMIFS(TRECHOS_LONGOS!$Y:$Y, MONTH(TRECHOS_LONGOS!$F:$F), row()-1, TRECHOS_LONGOS!$H:$H, "AÉREO", TRECHOS_LONGOS!$G:$G, "&gt;5", TRECHOS_LONGOS!$G:$G, "&lt;=15")</f>
        <v>0</v>
      </c>
      <c r="T9" s="103">
        <f t="array" ref="T9">COUNTIFS(MONTH(TRECHOS_LONGOS!$F:$F), row()-1, TRECHOS_LONGOS!$H:$H, "AÉREO", TRECHOS_LONGOS!$G:$G, "&gt;5", TRECHOS_LONGOS!$G:$G, "&lt;=15")</f>
        <v>0</v>
      </c>
      <c r="U9" s="99">
        <f t="shared" si="7"/>
        <v>0</v>
      </c>
      <c r="V9" s="94">
        <f t="shared" si="8"/>
        <v>0</v>
      </c>
      <c r="W9" s="100">
        <f t="array" ref="W9">SUMIFS(TRECHOS_LONGOS!$Y:$Y, MONTH(TRECHOS_LONGOS!$F:$F), row()-1, TRECHOS_LONGOS!$H:$H, "AÉREO", TRECHOS_LONGOS!$G:$G, "&gt;=16")</f>
        <v>0</v>
      </c>
      <c r="X9" s="101">
        <f t="array" ref="X9">COUNTIFS(MONTH(TRECHOS_LONGOS!$F:$F), row()-1, TRECHOS_LONGOS!$H:$H, "AÉREO", TRECHOS_LONGOS!$G:$G, "&gt;=16")</f>
        <v>0</v>
      </c>
      <c r="Y9" s="102">
        <f t="shared" si="9"/>
        <v>0</v>
      </c>
      <c r="Z9" s="100">
        <f t="shared" si="10"/>
        <v>0</v>
      </c>
      <c r="AA9" s="96">
        <f t="array" ref="AA9">SUMIFS(TRECHOS_LONGOS!$Y:$Y, MONTH(TRECHOS_LONGOS!$F:$F), row()-1, TRECHOS_LONGOS!$H:$H, "TERRESTRE")</f>
        <v>0</v>
      </c>
      <c r="AB9" s="104">
        <f t="array" ref="AB9">COUNTIFS(MONTH(TRECHOS_LONGOS!$F:$F), row()-1, TRECHOS_LONGOS!$H:$H, "TERRESTRE")</f>
        <v>0</v>
      </c>
      <c r="AC9" s="105">
        <f t="array" ref="AC9">SUMIFS(TRECHOS_LONGOS!$P:$P, MONTH(TRECHOS_LONGOS!$F:$F), row()-1, TRECHOS_LONGOS!$H:$H, "TERRESTRE")</f>
        <v>0</v>
      </c>
      <c r="AD9" s="96">
        <f t="shared" si="11"/>
        <v>0</v>
      </c>
      <c r="AE9" s="94">
        <f t="shared" si="12"/>
        <v>0</v>
      </c>
      <c r="AF9" s="106">
        <f t="array" ref="AF9">SUMIF(MONTH(HOSPEDAGEM!$E:$E), ROW()-1,HOSPEDAGEM!$J:$J)</f>
        <v>0</v>
      </c>
      <c r="AG9" s="107">
        <f t="array" ref="AG9">SUMIF(MONTH(HOSPEDAGEM!$E:$E), ROW()-1,HOSPEDAGEM!$G:$G)</f>
        <v>0</v>
      </c>
      <c r="AH9" s="106">
        <f t="shared" si="13"/>
        <v>0</v>
      </c>
      <c r="AI9" s="108">
        <f t="array" ref="AI9">SUMIF(MONTH(DADOS_POR_VIAGEM!$B:$B), ROW()-1, DADOS_POR_VIAGEM!$H:$H)</f>
        <v>0</v>
      </c>
      <c r="AJ9" s="109">
        <f t="array" ref="AJ9">if(row() &gt;= 13, 0, COUNTIF(MONTH(DADOS_POR_VIAGEM!$B:$B), ROW()-1))</f>
        <v>0</v>
      </c>
      <c r="AK9" s="108">
        <f t="shared" si="14"/>
        <v>0</v>
      </c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73"/>
      <c r="AY9" s="73"/>
      <c r="AZ9" s="73"/>
    </row>
    <row r="10" ht="30.75" customHeight="1">
      <c r="A10" s="110">
        <v>46266.0</v>
      </c>
      <c r="B10" s="94">
        <f t="array" ref="B10">SUMIFS(TRECHOS_LONGOS!$Y:$Y, MONTH(TRECHOS_LONGOS!$F:$F), row()-1, TRECHOS_LONGOS!$H:$H, "AÉREO")</f>
        <v>0</v>
      </c>
      <c r="C10" s="95">
        <f t="array" ref="C10">SUMIFS(TRECHOS_LONGOS!$Z:$Z, MONTH(TRECHOS_LONGOS!$F:$F), row()-1, TRECHOS_LONGOS!$H:$H, "AÉREO", TRECHOS_LONGOS!$O:$O, "AZUL")</f>
        <v>0</v>
      </c>
      <c r="D10" s="95">
        <f t="array" ref="D10">SUMIFS(TRECHOS_LONGOS!$Z:$Z, MONTH(TRECHOS_LONGOS!$F:$F), row()-1, TRECHOS_LONGOS!$H:$H, "AÉREO", TRECHOS_LONGOS!$O:$O, "GOL")</f>
        <v>0</v>
      </c>
      <c r="E10" s="95">
        <f t="array" ref="E10">SUMIFS(TRECHOS_LONGOS!$Z:$Z, MONTH(TRECHOS_LONGOS!$F:$F), row()-1, TRECHOS_LONGOS!$H:$H, "AÉREO", TRECHOS_LONGOS!$O:$O, "LATAM")</f>
        <v>0</v>
      </c>
      <c r="F10" s="95">
        <f t="array" ref="F10">COUNTIFS(MONTH(TRECHOS_LONGOS!$F:$F), row()-1, TRECHOS_LONGOS!$H:$H, "AÉREO")</f>
        <v>0</v>
      </c>
      <c r="G10" s="95">
        <f t="array" ref="G10">COUNTIFS(MONTH(TRECHOS_LONGOS!$F:$F), row()-1, TRECHOS_LONGOS!$H:$H, "AÉREO", TRECHOS_LONGOS!Z:Z, "&lt;&gt;0")</f>
        <v>0</v>
      </c>
      <c r="H10" s="95">
        <f t="array" ref="H10">SUMIFS(TRECHOS_LONGOS!$P:$P, MONTH(TRECHOS_LONGOS!$F:$F), row()-1, TRECHOS_LONGOS!$H:$H, "AÉREO")</f>
        <v>0</v>
      </c>
      <c r="I10" s="95">
        <f t="array" ref="I10">SUMIFS(TRECHOS_LONGOS!$P:$P, MONTH(TRECHOS_LONGOS!$F:$F), row()-1, TRECHOS_LONGOS!$H:$H, "AÉREO", TRECHOS_LONGOS!$Z:$Z, "&lt;&gt;0")</f>
        <v>0</v>
      </c>
      <c r="J10" s="96">
        <f t="shared" si="1"/>
        <v>0</v>
      </c>
      <c r="K10" s="97">
        <f t="shared" si="2"/>
        <v>0</v>
      </c>
      <c r="L10" s="94">
        <f t="shared" si="3"/>
        <v>0</v>
      </c>
      <c r="M10" s="98">
        <f t="shared" si="4"/>
        <v>0</v>
      </c>
      <c r="N10" s="99">
        <f t="array" ref="N10">IF( COUNTIFS(MONTH(TRECHOS_LONGOS!$F:$F), ROW()-1) = 0, 0, ROUND( COUNTIFS(MONTH(TRECHOS_LONGOS!$F:$F), ROW()-1, TRECHOS_LONGOS!$S:$S, "SIM") / COUNTIFS(MONTH(TRECHOS_LONGOS!$F:$F), ROW()-1), 4) )</f>
        <v>0</v>
      </c>
      <c r="O10" s="100">
        <f t="array" ref="O10">SUMIFS(TRECHOS_LONGOS!$Y:$Y, MONTH(TRECHOS_LONGOS!$F:$F), row()-1, TRECHOS_LONGOS!$H:$H, "AÉREO", TRECHOS_LONGOS!$G:$G, "&lt;=5")</f>
        <v>0</v>
      </c>
      <c r="P10" s="101">
        <f t="array" ref="P10">COUNTIFS(MONTH(TRECHOS_LONGOS!$F:$F), row()-1, TRECHOS_LONGOS!$H:$H, "AÉREO", TRECHOS_LONGOS!$G:$G, "&lt;=5")</f>
        <v>0</v>
      </c>
      <c r="Q10" s="102">
        <f t="shared" si="5"/>
        <v>0</v>
      </c>
      <c r="R10" s="100">
        <f t="shared" si="6"/>
        <v>0</v>
      </c>
      <c r="S10" s="94">
        <f t="array" ref="S10">SUMIFS(TRECHOS_LONGOS!$Y:$Y, MONTH(TRECHOS_LONGOS!$F:$F), row()-1, TRECHOS_LONGOS!$H:$H, "AÉREO", TRECHOS_LONGOS!$G:$G, "&gt;5", TRECHOS_LONGOS!$G:$G, "&lt;=15")</f>
        <v>0</v>
      </c>
      <c r="T10" s="103">
        <f t="array" ref="T10">COUNTIFS(MONTH(TRECHOS_LONGOS!$F:$F), row()-1, TRECHOS_LONGOS!$H:$H, "AÉREO", TRECHOS_LONGOS!$G:$G, "&gt;5", TRECHOS_LONGOS!$G:$G, "&lt;=15")</f>
        <v>0</v>
      </c>
      <c r="U10" s="99">
        <f t="shared" si="7"/>
        <v>0</v>
      </c>
      <c r="V10" s="94">
        <f t="shared" si="8"/>
        <v>0</v>
      </c>
      <c r="W10" s="100">
        <f t="array" ref="W10">SUMIFS(TRECHOS_LONGOS!$Y:$Y, MONTH(TRECHOS_LONGOS!$F:$F), row()-1, TRECHOS_LONGOS!$H:$H, "AÉREO", TRECHOS_LONGOS!$G:$G, "&gt;=16")</f>
        <v>0</v>
      </c>
      <c r="X10" s="101">
        <f t="array" ref="X10">COUNTIFS(MONTH(TRECHOS_LONGOS!$F:$F), row()-1, TRECHOS_LONGOS!$H:$H, "AÉREO", TRECHOS_LONGOS!$G:$G, "&gt;=16")</f>
        <v>0</v>
      </c>
      <c r="Y10" s="102">
        <f t="shared" si="9"/>
        <v>0</v>
      </c>
      <c r="Z10" s="100">
        <f t="shared" si="10"/>
        <v>0</v>
      </c>
      <c r="AA10" s="96">
        <f t="array" ref="AA10">SUMIFS(TRECHOS_LONGOS!$Y:$Y, MONTH(TRECHOS_LONGOS!$F:$F), row()-1, TRECHOS_LONGOS!$H:$H, "TERRESTRE")</f>
        <v>0</v>
      </c>
      <c r="AB10" s="104">
        <f t="array" ref="AB10">COUNTIFS(MONTH(TRECHOS_LONGOS!$F:$F), row()-1, TRECHOS_LONGOS!$H:$H, "TERRESTRE")</f>
        <v>0</v>
      </c>
      <c r="AC10" s="105">
        <f t="array" ref="AC10">SUMIFS(TRECHOS_LONGOS!$P:$P, MONTH(TRECHOS_LONGOS!$F:$F), row()-1, TRECHOS_LONGOS!$H:$H, "TERRESTRE")</f>
        <v>0</v>
      </c>
      <c r="AD10" s="96">
        <f t="shared" si="11"/>
        <v>0</v>
      </c>
      <c r="AE10" s="94">
        <f t="shared" si="12"/>
        <v>0</v>
      </c>
      <c r="AF10" s="106">
        <f t="array" ref="AF10">SUMIF(MONTH(HOSPEDAGEM!$E:$E), ROW()-1,HOSPEDAGEM!$J:$J)</f>
        <v>0</v>
      </c>
      <c r="AG10" s="107">
        <f t="array" ref="AG10">SUMIF(MONTH(HOSPEDAGEM!$E:$E), ROW()-1,HOSPEDAGEM!$G:$G)</f>
        <v>0</v>
      </c>
      <c r="AH10" s="106">
        <f t="shared" si="13"/>
        <v>0</v>
      </c>
      <c r="AI10" s="108">
        <f t="array" ref="AI10">SUMIF(MONTH(DADOS_POR_VIAGEM!$B:$B), ROW()-1, DADOS_POR_VIAGEM!$H:$H)</f>
        <v>0</v>
      </c>
      <c r="AJ10" s="109">
        <f t="array" ref="AJ10">if(row() &gt;= 13, 0, COUNTIF(MONTH(DADOS_POR_VIAGEM!$B:$B), ROW()-1))</f>
        <v>0</v>
      </c>
      <c r="AK10" s="108">
        <f t="shared" si="14"/>
        <v>0</v>
      </c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</row>
    <row r="11" ht="30.75" customHeight="1">
      <c r="A11" s="110">
        <v>46296.0</v>
      </c>
      <c r="B11" s="94">
        <f t="array" ref="B11">SUMIFS(TRECHOS_LONGOS!$Y:$Y, MONTH(TRECHOS_LONGOS!$F:$F), row()-1, TRECHOS_LONGOS!$H:$H, "AÉREO")</f>
        <v>0</v>
      </c>
      <c r="C11" s="95">
        <f t="array" ref="C11">SUMIFS(TRECHOS_LONGOS!$Z:$Z, MONTH(TRECHOS_LONGOS!$F:$F), row()-1, TRECHOS_LONGOS!$H:$H, "AÉREO", TRECHOS_LONGOS!$O:$O, "AZUL")</f>
        <v>0</v>
      </c>
      <c r="D11" s="95">
        <f t="array" ref="D11">SUMIFS(TRECHOS_LONGOS!$Z:$Z, MONTH(TRECHOS_LONGOS!$F:$F), row()-1, TRECHOS_LONGOS!$H:$H, "AÉREO", TRECHOS_LONGOS!$O:$O, "GOL")</f>
        <v>0</v>
      </c>
      <c r="E11" s="95">
        <f t="array" ref="E11">SUMIFS(TRECHOS_LONGOS!$Z:$Z, MONTH(TRECHOS_LONGOS!$F:$F), row()-1, TRECHOS_LONGOS!$H:$H, "AÉREO", TRECHOS_LONGOS!$O:$O, "LATAM")</f>
        <v>0</v>
      </c>
      <c r="F11" s="95">
        <f t="array" ref="F11">COUNTIFS(MONTH(TRECHOS_LONGOS!$F:$F), row()-1, TRECHOS_LONGOS!$H:$H, "AÉREO")</f>
        <v>0</v>
      </c>
      <c r="G11" s="95">
        <f t="array" ref="G11">COUNTIFS(MONTH(TRECHOS_LONGOS!$F:$F), row()-1, TRECHOS_LONGOS!$H:$H, "AÉREO", TRECHOS_LONGOS!Z:Z, "&lt;&gt;0")</f>
        <v>0</v>
      </c>
      <c r="H11" s="95">
        <f t="array" ref="H11">SUMIFS(TRECHOS_LONGOS!$P:$P, MONTH(TRECHOS_LONGOS!$F:$F), row()-1, TRECHOS_LONGOS!$H:$H, "AÉREO")</f>
        <v>0</v>
      </c>
      <c r="I11" s="95">
        <f t="array" ref="I11">SUMIFS(TRECHOS_LONGOS!$P:$P, MONTH(TRECHOS_LONGOS!$F:$F), row()-1, TRECHOS_LONGOS!$H:$H, "AÉREO", TRECHOS_LONGOS!$Z:$Z, "&lt;&gt;0")</f>
        <v>0</v>
      </c>
      <c r="J11" s="96">
        <f t="shared" si="1"/>
        <v>0</v>
      </c>
      <c r="K11" s="97">
        <f t="shared" si="2"/>
        <v>0</v>
      </c>
      <c r="L11" s="94">
        <f t="shared" si="3"/>
        <v>0</v>
      </c>
      <c r="M11" s="98">
        <f t="shared" si="4"/>
        <v>0</v>
      </c>
      <c r="N11" s="99">
        <f t="array" ref="N11">IF( COUNTIFS(MONTH(TRECHOS_LONGOS!$F:$F), ROW()-1) = 0, 0, ROUND( COUNTIFS(MONTH(TRECHOS_LONGOS!$F:$F), ROW()-1, TRECHOS_LONGOS!$S:$S, "SIM") / COUNTIFS(MONTH(TRECHOS_LONGOS!$F:$F), ROW()-1), 4) )</f>
        <v>0</v>
      </c>
      <c r="O11" s="100">
        <f t="array" ref="O11">SUMIFS(TRECHOS_LONGOS!$Y:$Y, MONTH(TRECHOS_LONGOS!$F:$F), row()-1, TRECHOS_LONGOS!$H:$H, "AÉREO", TRECHOS_LONGOS!$G:$G, "&lt;=5")</f>
        <v>0</v>
      </c>
      <c r="P11" s="101">
        <f t="array" ref="P11">COUNTIFS(MONTH(TRECHOS_LONGOS!$F:$F), row()-1, TRECHOS_LONGOS!$H:$H, "AÉREO", TRECHOS_LONGOS!$G:$G, "&lt;=5")</f>
        <v>0</v>
      </c>
      <c r="Q11" s="102">
        <f t="shared" si="5"/>
        <v>0</v>
      </c>
      <c r="R11" s="100">
        <f t="shared" si="6"/>
        <v>0</v>
      </c>
      <c r="S11" s="94">
        <f t="array" ref="S11">SUMIFS(TRECHOS_LONGOS!$Y:$Y, MONTH(TRECHOS_LONGOS!$F:$F), row()-1, TRECHOS_LONGOS!$H:$H, "AÉREO", TRECHOS_LONGOS!$G:$G, "&gt;5", TRECHOS_LONGOS!$G:$G, "&lt;=15")</f>
        <v>0</v>
      </c>
      <c r="T11" s="103">
        <f t="array" ref="T11">COUNTIFS(MONTH(TRECHOS_LONGOS!$F:$F), row()-1, TRECHOS_LONGOS!$H:$H, "AÉREO", TRECHOS_LONGOS!$G:$G, "&gt;5", TRECHOS_LONGOS!$G:$G, "&lt;=15")</f>
        <v>0</v>
      </c>
      <c r="U11" s="99">
        <f t="shared" si="7"/>
        <v>0</v>
      </c>
      <c r="V11" s="94">
        <f t="shared" si="8"/>
        <v>0</v>
      </c>
      <c r="W11" s="100">
        <f t="array" ref="W11">SUMIFS(TRECHOS_LONGOS!$Y:$Y, MONTH(TRECHOS_LONGOS!$F:$F), row()-1, TRECHOS_LONGOS!$H:$H, "AÉREO", TRECHOS_LONGOS!$G:$G, "&gt;=16")</f>
        <v>0</v>
      </c>
      <c r="X11" s="101">
        <f t="array" ref="X11">COUNTIFS(MONTH(TRECHOS_LONGOS!$F:$F), row()-1, TRECHOS_LONGOS!$H:$H, "AÉREO", TRECHOS_LONGOS!$G:$G, "&gt;=16")</f>
        <v>0</v>
      </c>
      <c r="Y11" s="102">
        <f t="shared" si="9"/>
        <v>0</v>
      </c>
      <c r="Z11" s="100">
        <f t="shared" si="10"/>
        <v>0</v>
      </c>
      <c r="AA11" s="96">
        <f t="array" ref="AA11">SUMIFS(TRECHOS_LONGOS!$Y:$Y, MONTH(TRECHOS_LONGOS!$F:$F), row()-1, TRECHOS_LONGOS!$H:$H, "TERRESTRE")</f>
        <v>0</v>
      </c>
      <c r="AB11" s="104">
        <f t="array" ref="AB11">COUNTIFS(MONTH(TRECHOS_LONGOS!$F:$F), row()-1, TRECHOS_LONGOS!$H:$H, "TERRESTRE")</f>
        <v>0</v>
      </c>
      <c r="AC11" s="105">
        <f t="array" ref="AC11">SUMIFS(TRECHOS_LONGOS!$P:$P, MONTH(TRECHOS_LONGOS!$F:$F), row()-1, TRECHOS_LONGOS!$H:$H, "TERRESTRE")</f>
        <v>0</v>
      </c>
      <c r="AD11" s="96">
        <f t="shared" si="11"/>
        <v>0</v>
      </c>
      <c r="AE11" s="94">
        <f t="shared" si="12"/>
        <v>0</v>
      </c>
      <c r="AF11" s="106">
        <f t="array" ref="AF11">SUMIF(MONTH(HOSPEDAGEM!$E:$E), ROW()-1,HOSPEDAGEM!$J:$J)</f>
        <v>0</v>
      </c>
      <c r="AG11" s="107">
        <f t="array" ref="AG11">SUMIF(MONTH(HOSPEDAGEM!$E:$E), ROW()-1,HOSPEDAGEM!$G:$G)</f>
        <v>0</v>
      </c>
      <c r="AH11" s="106">
        <f t="shared" si="13"/>
        <v>0</v>
      </c>
      <c r="AI11" s="108">
        <f t="array" ref="AI11">SUMIF(MONTH(DADOS_POR_VIAGEM!$B:$B), ROW()-1, DADOS_POR_VIAGEM!$H:$H)</f>
        <v>0</v>
      </c>
      <c r="AJ11" s="109">
        <f t="array" ref="AJ11">if(row() &gt;= 13, 0, COUNTIF(MONTH(DADOS_POR_VIAGEM!$B:$B), ROW()-1))</f>
        <v>0</v>
      </c>
      <c r="AK11" s="108">
        <f t="shared" si="14"/>
        <v>0</v>
      </c>
      <c r="AL11" s="73"/>
      <c r="AM11" s="73"/>
      <c r="AN11" s="73"/>
      <c r="AO11" s="73"/>
      <c r="AP11" s="73"/>
      <c r="AQ11" s="73"/>
      <c r="AR11" s="73"/>
      <c r="AS11" s="73"/>
      <c r="AT11" s="73"/>
      <c r="AU11" s="73"/>
      <c r="AV11" s="73"/>
      <c r="AW11" s="73"/>
      <c r="AX11" s="73"/>
      <c r="AY11" s="73"/>
      <c r="AZ11" s="73"/>
    </row>
    <row r="12" ht="30.75" customHeight="1">
      <c r="A12" s="110">
        <v>46327.0</v>
      </c>
      <c r="B12" s="94">
        <f t="array" ref="B12">SUMIFS(TRECHOS_LONGOS!$Y:$Y, MONTH(TRECHOS_LONGOS!$F:$F), row()-1, TRECHOS_LONGOS!$H:$H, "AÉREO")</f>
        <v>0</v>
      </c>
      <c r="C12" s="95">
        <f t="array" ref="C12">SUMIFS(TRECHOS_LONGOS!$Z:$Z, MONTH(TRECHOS_LONGOS!$F:$F), row()-1, TRECHOS_LONGOS!$H:$H, "AÉREO", TRECHOS_LONGOS!$O:$O, "AZUL")</f>
        <v>0</v>
      </c>
      <c r="D12" s="95">
        <f t="array" ref="D12">SUMIFS(TRECHOS_LONGOS!$Z:$Z, MONTH(TRECHOS_LONGOS!$F:$F), row()-1, TRECHOS_LONGOS!$H:$H, "AÉREO", TRECHOS_LONGOS!$O:$O, "GOL")</f>
        <v>0</v>
      </c>
      <c r="E12" s="95">
        <f t="array" ref="E12">SUMIFS(TRECHOS_LONGOS!$Z:$Z, MONTH(TRECHOS_LONGOS!$F:$F), row()-1, TRECHOS_LONGOS!$H:$H, "AÉREO", TRECHOS_LONGOS!$O:$O, "LATAM")</f>
        <v>0</v>
      </c>
      <c r="F12" s="95">
        <f t="array" ref="F12">COUNTIFS(MONTH(TRECHOS_LONGOS!$F:$F), row()-1, TRECHOS_LONGOS!$H:$H, "AÉREO")</f>
        <v>0</v>
      </c>
      <c r="G12" s="95">
        <f t="array" ref="G12">COUNTIFS(MONTH(TRECHOS_LONGOS!$F:$F), row()-1, TRECHOS_LONGOS!$H:$H, "AÉREO", TRECHOS_LONGOS!Z:Z, "&lt;&gt;0")</f>
        <v>0</v>
      </c>
      <c r="H12" s="95">
        <f t="array" ref="H12">SUMIFS(TRECHOS_LONGOS!$P:$P, MONTH(TRECHOS_LONGOS!$F:$F), row()-1, TRECHOS_LONGOS!$H:$H, "AÉREO")</f>
        <v>0</v>
      </c>
      <c r="I12" s="95">
        <f t="array" ref="I12">SUMIFS(TRECHOS_LONGOS!$P:$P, MONTH(TRECHOS_LONGOS!$F:$F), row()-1, TRECHOS_LONGOS!$H:$H, "AÉREO", TRECHOS_LONGOS!$Z:$Z, "&lt;&gt;0")</f>
        <v>0</v>
      </c>
      <c r="J12" s="96">
        <f t="shared" si="1"/>
        <v>0</v>
      </c>
      <c r="K12" s="97">
        <f t="shared" si="2"/>
        <v>0</v>
      </c>
      <c r="L12" s="94">
        <f t="shared" si="3"/>
        <v>0</v>
      </c>
      <c r="M12" s="98">
        <f t="shared" si="4"/>
        <v>0</v>
      </c>
      <c r="N12" s="99">
        <f t="array" ref="N12">IF( COUNTIFS(MONTH(TRECHOS_LONGOS!$F:$F), ROW()-1) = 0, 0, ROUND( COUNTIFS(MONTH(TRECHOS_LONGOS!$F:$F), ROW()-1, TRECHOS_LONGOS!$S:$S, "SIM") / COUNTIFS(MONTH(TRECHOS_LONGOS!$F:$F), ROW()-1), 4) )</f>
        <v>0</v>
      </c>
      <c r="O12" s="100">
        <f t="array" ref="O12">SUMIFS(TRECHOS_LONGOS!$Y:$Y, MONTH(TRECHOS_LONGOS!$F:$F), row()-1, TRECHOS_LONGOS!$H:$H, "AÉREO", TRECHOS_LONGOS!$G:$G, "&lt;=5")</f>
        <v>0</v>
      </c>
      <c r="P12" s="101">
        <f t="array" ref="P12">COUNTIFS(MONTH(TRECHOS_LONGOS!$F:$F), row()-1, TRECHOS_LONGOS!$H:$H, "AÉREO", TRECHOS_LONGOS!$G:$G, "&lt;=5")</f>
        <v>0</v>
      </c>
      <c r="Q12" s="102">
        <f t="shared" si="5"/>
        <v>0</v>
      </c>
      <c r="R12" s="100">
        <f t="shared" si="6"/>
        <v>0</v>
      </c>
      <c r="S12" s="94">
        <f t="array" ref="S12">SUMIFS(TRECHOS_LONGOS!$Y:$Y, MONTH(TRECHOS_LONGOS!$F:$F), row()-1, TRECHOS_LONGOS!$H:$H, "AÉREO", TRECHOS_LONGOS!$G:$G, "&gt;5", TRECHOS_LONGOS!$G:$G, "&lt;=15")</f>
        <v>0</v>
      </c>
      <c r="T12" s="103">
        <f t="array" ref="T12">COUNTIFS(MONTH(TRECHOS_LONGOS!$F:$F), row()-1, TRECHOS_LONGOS!$H:$H, "AÉREO", TRECHOS_LONGOS!$G:$G, "&gt;5", TRECHOS_LONGOS!$G:$G, "&lt;=15")</f>
        <v>0</v>
      </c>
      <c r="U12" s="99">
        <f t="shared" si="7"/>
        <v>0</v>
      </c>
      <c r="V12" s="94">
        <f t="shared" si="8"/>
        <v>0</v>
      </c>
      <c r="W12" s="100">
        <f t="array" ref="W12">SUMIFS(TRECHOS_LONGOS!$Y:$Y, MONTH(TRECHOS_LONGOS!$F:$F), row()-1, TRECHOS_LONGOS!$H:$H, "AÉREO", TRECHOS_LONGOS!$G:$G, "&gt;=16")</f>
        <v>0</v>
      </c>
      <c r="X12" s="101">
        <f t="array" ref="X12">COUNTIFS(MONTH(TRECHOS_LONGOS!$F:$F), row()-1, TRECHOS_LONGOS!$H:$H, "AÉREO", TRECHOS_LONGOS!$G:$G, "&gt;=16")</f>
        <v>0</v>
      </c>
      <c r="Y12" s="102">
        <f t="shared" si="9"/>
        <v>0</v>
      </c>
      <c r="Z12" s="100">
        <f t="shared" si="10"/>
        <v>0</v>
      </c>
      <c r="AA12" s="96">
        <f t="array" ref="AA12">SUMIFS(TRECHOS_LONGOS!$Y:$Y, MONTH(TRECHOS_LONGOS!$F:$F), row()-1, TRECHOS_LONGOS!$H:$H, "TERRESTRE")</f>
        <v>0</v>
      </c>
      <c r="AB12" s="104">
        <f t="array" ref="AB12">COUNTIFS(MONTH(TRECHOS_LONGOS!$F:$F), row()-1, TRECHOS_LONGOS!$H:$H, "TERRESTRE")</f>
        <v>0</v>
      </c>
      <c r="AC12" s="105">
        <f t="array" ref="AC12">SUMIFS(TRECHOS_LONGOS!$P:$P, MONTH(TRECHOS_LONGOS!$F:$F), row()-1, TRECHOS_LONGOS!$H:$H, "TERRESTRE")</f>
        <v>0</v>
      </c>
      <c r="AD12" s="96">
        <f t="shared" si="11"/>
        <v>0</v>
      </c>
      <c r="AE12" s="94">
        <f t="shared" si="12"/>
        <v>0</v>
      </c>
      <c r="AF12" s="106">
        <f t="array" ref="AF12">SUMIF(MONTH(HOSPEDAGEM!$E:$E), ROW()-1,HOSPEDAGEM!$J:$J)</f>
        <v>0</v>
      </c>
      <c r="AG12" s="107">
        <f t="array" ref="AG12">SUMIF(MONTH(HOSPEDAGEM!$E:$E), ROW()-1,HOSPEDAGEM!$G:$G)</f>
        <v>0</v>
      </c>
      <c r="AH12" s="106">
        <f t="shared" si="13"/>
        <v>0</v>
      </c>
      <c r="AI12" s="108">
        <f t="array" ref="AI12">SUMIF(MONTH(DADOS_POR_VIAGEM!$B:$B), ROW()-1, DADOS_POR_VIAGEM!$H:$H)</f>
        <v>0</v>
      </c>
      <c r="AJ12" s="109">
        <f t="array" ref="AJ12">if(row() &gt;= 13, 0, COUNTIF(MONTH(DADOS_POR_VIAGEM!$B:$B), ROW()-1))</f>
        <v>0</v>
      </c>
      <c r="AK12" s="108">
        <f t="shared" si="14"/>
        <v>0</v>
      </c>
      <c r="AL12" s="73"/>
      <c r="AM12" s="73"/>
      <c r="AN12" s="73"/>
      <c r="AO12" s="73"/>
      <c r="AP12" s="73"/>
      <c r="AQ12" s="73"/>
      <c r="AR12" s="73"/>
      <c r="AS12" s="73"/>
      <c r="AT12" s="73"/>
      <c r="AU12" s="73"/>
      <c r="AV12" s="73"/>
      <c r="AW12" s="73"/>
      <c r="AX12" s="73"/>
      <c r="AY12" s="73"/>
      <c r="AZ12" s="73"/>
    </row>
    <row r="13" ht="30.75" customHeight="1">
      <c r="A13" s="110">
        <v>46357.0</v>
      </c>
      <c r="B13" s="94">
        <f t="array" ref="B13">SUMIFS(TRECHOS_LONGOS!$Y:$Y, MONTH(TRECHOS_LONGOS!$F:$F), row()-1, TRECHOS_LONGOS!$H:$H, "AÉREO")</f>
        <v>0</v>
      </c>
      <c r="C13" s="95">
        <f t="array" ref="C13">SUMIFS(TRECHOS_LONGOS!$Z:$Z, MONTH(TRECHOS_LONGOS!$F:$F), row()-1, TRECHOS_LONGOS!$H:$H, "AÉREO", TRECHOS_LONGOS!$O:$O, "AZUL")</f>
        <v>0</v>
      </c>
      <c r="D13" s="95">
        <f t="array" ref="D13">SUMIFS(TRECHOS_LONGOS!$Z:$Z, MONTH(TRECHOS_LONGOS!$F:$F), row()-1, TRECHOS_LONGOS!$H:$H, "AÉREO", TRECHOS_LONGOS!$O:$O, "GOL")</f>
        <v>0</v>
      </c>
      <c r="E13" s="95">
        <f t="array" ref="E13">SUMIFS(TRECHOS_LONGOS!$Z:$Z, MONTH(TRECHOS_LONGOS!$F:$F), row()-1, TRECHOS_LONGOS!$H:$H, "AÉREO", TRECHOS_LONGOS!$O:$O, "LATAM")</f>
        <v>0</v>
      </c>
      <c r="F13" s="95">
        <f t="array" ref="F13">COUNTIFS(MONTH(TRECHOS_LONGOS!$F:$F), row()-1, TRECHOS_LONGOS!$H:$H, "AÉREO")</f>
        <v>0</v>
      </c>
      <c r="G13" s="95">
        <f t="array" ref="G13">COUNTIFS(MONTH(TRECHOS_LONGOS!$F:$F), row()-1, TRECHOS_LONGOS!$H:$H, "AÉREO", TRECHOS_LONGOS!Z:Z, "&lt;&gt;0")</f>
        <v>0</v>
      </c>
      <c r="H13" s="95">
        <f t="array" ref="H13">SUMIFS(TRECHOS_LONGOS!$P:$P, MONTH(TRECHOS_LONGOS!$F:$F), row()-1, TRECHOS_LONGOS!$H:$H, "AÉREO")</f>
        <v>0</v>
      </c>
      <c r="I13" s="95">
        <f t="array" ref="I13">SUMIFS(TRECHOS_LONGOS!$P:$P, MONTH(TRECHOS_LONGOS!$F:$F), row()-1, TRECHOS_LONGOS!$H:$H, "AÉREO", TRECHOS_LONGOS!$Z:$Z, "&lt;&gt;0")</f>
        <v>0</v>
      </c>
      <c r="J13" s="96">
        <f t="shared" si="1"/>
        <v>0</v>
      </c>
      <c r="K13" s="97">
        <f t="shared" si="2"/>
        <v>0</v>
      </c>
      <c r="L13" s="94">
        <f t="shared" si="3"/>
        <v>0</v>
      </c>
      <c r="M13" s="98">
        <f t="shared" si="4"/>
        <v>0</v>
      </c>
      <c r="N13" s="99">
        <f t="array" ref="N13">IF( COUNTIFS(MONTH(TRECHOS_LONGOS!$F:$F), ROW()-1) = 0, 0, ROUND( COUNTIFS(MONTH(TRECHOS_LONGOS!$F:$F), ROW()-1, TRECHOS_LONGOS!$S:$S, "SIM") / COUNTIFS(MONTH(TRECHOS_LONGOS!$F:$F), ROW()-1), 4) )</f>
        <v>0</v>
      </c>
      <c r="O13" s="100">
        <f t="array" ref="O13">SUMIFS(TRECHOS_LONGOS!$Y:$Y, MONTH(TRECHOS_LONGOS!$F:$F), row()-1, TRECHOS_LONGOS!$H:$H, "AÉREO", TRECHOS_LONGOS!$G:$G, "&lt;=5")</f>
        <v>0</v>
      </c>
      <c r="P13" s="101">
        <f t="array" ref="P13">COUNTIFS(MONTH(TRECHOS_LONGOS!$F:$F), row()-1, TRECHOS_LONGOS!$H:$H, "AÉREO", TRECHOS_LONGOS!$G:$G, "&lt;=5")</f>
        <v>0</v>
      </c>
      <c r="Q13" s="102">
        <f t="shared" si="5"/>
        <v>0</v>
      </c>
      <c r="R13" s="100">
        <f t="shared" si="6"/>
        <v>0</v>
      </c>
      <c r="S13" s="94">
        <f t="array" ref="S13">SUMIFS(TRECHOS_LONGOS!$Y:$Y, MONTH(TRECHOS_LONGOS!$F:$F), row()-1, TRECHOS_LONGOS!$H:$H, "AÉREO", TRECHOS_LONGOS!$G:$G, "&gt;5", TRECHOS_LONGOS!$G:$G, "&lt;=15")</f>
        <v>0</v>
      </c>
      <c r="T13" s="103">
        <f t="array" ref="T13">COUNTIFS(MONTH(TRECHOS_LONGOS!$F:$F), row()-1, TRECHOS_LONGOS!$H:$H, "AÉREO", TRECHOS_LONGOS!$G:$G, "&gt;5", TRECHOS_LONGOS!$G:$G, "&lt;=15")</f>
        <v>0</v>
      </c>
      <c r="U13" s="99">
        <f t="shared" si="7"/>
        <v>0</v>
      </c>
      <c r="V13" s="94">
        <f t="shared" si="8"/>
        <v>0</v>
      </c>
      <c r="W13" s="100">
        <f t="array" ref="W13">SUMIFS(TRECHOS_LONGOS!$Y:$Y, MONTH(TRECHOS_LONGOS!$F:$F), row()-1, TRECHOS_LONGOS!$H:$H, "AÉREO", TRECHOS_LONGOS!$G:$G, "&gt;=16")</f>
        <v>0</v>
      </c>
      <c r="X13" s="101">
        <f t="array" ref="X13">COUNTIFS(MONTH(TRECHOS_LONGOS!$F:$F), row()-1, TRECHOS_LONGOS!$H:$H, "AÉREO", TRECHOS_LONGOS!$G:$G, "&gt;=16")</f>
        <v>0</v>
      </c>
      <c r="Y13" s="102">
        <f t="shared" si="9"/>
        <v>0</v>
      </c>
      <c r="Z13" s="100">
        <f t="shared" si="10"/>
        <v>0</v>
      </c>
      <c r="AA13" s="96">
        <f t="array" ref="AA13">SUMIFS(TRECHOS_LONGOS!$Y:$Y, MONTH(TRECHOS_LONGOS!$F:$F), row()-1, TRECHOS_LONGOS!$H:$H, "TERRESTRE")</f>
        <v>0</v>
      </c>
      <c r="AB13" s="104">
        <f t="array" ref="AB13">COUNTIFS(MONTH(TRECHOS_LONGOS!$F:$F), row()-1, TRECHOS_LONGOS!$H:$H, "TERRESTRE")</f>
        <v>0</v>
      </c>
      <c r="AC13" s="105">
        <f t="array" ref="AC13">SUMIFS(TRECHOS_LONGOS!$P:$P, MONTH(TRECHOS_LONGOS!$F:$F), row()-1, TRECHOS_LONGOS!$H:$H, "TERRESTRE")</f>
        <v>0</v>
      </c>
      <c r="AD13" s="96">
        <f t="shared" si="11"/>
        <v>0</v>
      </c>
      <c r="AE13" s="94">
        <f t="shared" si="12"/>
        <v>0</v>
      </c>
      <c r="AF13" s="106">
        <f t="array" ref="AF13">SUMIF(MONTH(HOSPEDAGEM!$E:$E), ROW()-1,HOSPEDAGEM!$J:$J)</f>
        <v>0</v>
      </c>
      <c r="AG13" s="107">
        <f t="array" ref="AG13">SUMIF(MONTH(HOSPEDAGEM!$E:$E), ROW()-1,HOSPEDAGEM!$G:$G)</f>
        <v>0</v>
      </c>
      <c r="AH13" s="106">
        <f t="shared" si="13"/>
        <v>0</v>
      </c>
      <c r="AI13" s="108">
        <f t="array" ref="AI13">SUMIF(MONTH(DADOS_POR_VIAGEM!$B:$B), ROW()-1, DADOS_POR_VIAGEM!$H:$H)</f>
        <v>0</v>
      </c>
      <c r="AJ13" s="109">
        <f t="array" ref="AJ13">if(row() &gt;= 13, 0, COUNTIF(MONTH(DADOS_POR_VIAGEM!$B:$B), ROW()-1))</f>
        <v>0</v>
      </c>
      <c r="AK13" s="108">
        <f t="shared" si="14"/>
        <v>0</v>
      </c>
      <c r="AL13" s="73"/>
      <c r="AM13" s="73"/>
      <c r="AN13" s="73"/>
      <c r="AO13" s="73"/>
      <c r="AP13" s="73"/>
      <c r="AQ13" s="73"/>
      <c r="AR13" s="73"/>
      <c r="AS13" s="73"/>
      <c r="AT13" s="73"/>
      <c r="AU13" s="73"/>
      <c r="AV13" s="73"/>
      <c r="AW13" s="73"/>
      <c r="AX13" s="73"/>
      <c r="AY13" s="73"/>
      <c r="AZ13" s="73"/>
    </row>
    <row r="14"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G14" s="111"/>
    </row>
    <row r="15"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</row>
    <row r="16"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</row>
    <row r="17"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112" t="s">
        <v>184</v>
      </c>
      <c r="AD17" s="60"/>
    </row>
    <row r="18"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</row>
    <row r="19"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</row>
    <row r="20"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</row>
    <row r="21"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</row>
    <row r="22"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</row>
    <row r="23"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</row>
    <row r="24"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</row>
    <row r="25"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</row>
    <row r="26"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</row>
    <row r="27"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</row>
    <row r="28"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</row>
    <row r="29"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</row>
    <row r="30"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</row>
    <row r="31"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</row>
    <row r="32"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</row>
    <row r="33"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</row>
    <row r="34"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</row>
    <row r="35"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</row>
    <row r="36"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</row>
    <row r="37"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</row>
    <row r="38"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</row>
    <row r="39"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</row>
    <row r="40"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</row>
    <row r="41"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</row>
    <row r="42"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</row>
    <row r="43"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</row>
    <row r="44"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</row>
    <row r="45"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</row>
    <row r="46"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</row>
    <row r="47"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</row>
    <row r="48"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</row>
    <row r="49"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</row>
    <row r="50"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</row>
    <row r="51"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</row>
    <row r="52"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</row>
    <row r="53"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</row>
    <row r="54"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</row>
    <row r="55"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</row>
    <row r="56"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</row>
    <row r="57"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</row>
    <row r="58"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</row>
    <row r="59"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</row>
    <row r="60"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</row>
    <row r="61"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</row>
    <row r="62"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</row>
    <row r="63"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</row>
    <row r="64"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</row>
    <row r="65"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</row>
    <row r="66"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</row>
    <row r="67"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</row>
    <row r="68"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</row>
    <row r="69"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</row>
    <row r="70"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</row>
    <row r="71"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</row>
    <row r="72"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</row>
    <row r="73"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</row>
    <row r="74"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</row>
    <row r="75"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</row>
    <row r="76"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</row>
    <row r="77"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</row>
    <row r="78"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</row>
    <row r="79"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</row>
    <row r="80"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</row>
    <row r="81"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</row>
    <row r="82"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</row>
    <row r="83"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</row>
    <row r="84"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</row>
    <row r="85"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</row>
    <row r="86"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</row>
    <row r="87"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</row>
    <row r="88"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</row>
    <row r="89"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</row>
    <row r="90"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</row>
    <row r="91"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</row>
    <row r="92"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</row>
    <row r="93"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</row>
    <row r="94"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</row>
    <row r="95"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</row>
    <row r="96"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</row>
    <row r="97"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</row>
    <row r="98"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</row>
    <row r="99"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</row>
    <row r="100"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</row>
    <row r="101"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</row>
    <row r="102"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</row>
    <row r="103"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</row>
    <row r="104"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</row>
    <row r="105"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</row>
    <row r="106"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</row>
    <row r="107"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</row>
    <row r="108"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</row>
    <row r="109"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</row>
    <row r="110"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</row>
    <row r="111"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</row>
    <row r="112"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</row>
    <row r="113"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</row>
    <row r="114"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</row>
    <row r="115"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</row>
    <row r="116"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</row>
    <row r="117"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</row>
    <row r="118"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</row>
    <row r="119"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</row>
    <row r="120"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</row>
    <row r="121"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</row>
    <row r="122"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</row>
    <row r="123"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</row>
    <row r="124"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</row>
    <row r="125"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</row>
    <row r="126"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</row>
    <row r="127"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</row>
    <row r="128"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</row>
    <row r="129"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</row>
    <row r="130"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</row>
    <row r="131"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</row>
    <row r="132"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</row>
    <row r="133"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</row>
    <row r="134"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</row>
    <row r="135"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</row>
    <row r="136"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</row>
    <row r="137"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</row>
    <row r="138"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</row>
    <row r="139"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</row>
    <row r="140"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</row>
    <row r="141"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</row>
    <row r="142"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</row>
    <row r="143"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</row>
    <row r="144"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</row>
    <row r="145"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</row>
    <row r="146"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</row>
    <row r="147"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</row>
    <row r="148"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</row>
    <row r="149"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</row>
    <row r="150"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</row>
    <row r="151"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</row>
    <row r="152"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</row>
    <row r="153"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</row>
    <row r="154"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</row>
    <row r="155"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</row>
    <row r="156"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</row>
    <row r="157"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</row>
    <row r="158"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</row>
    <row r="159"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</row>
    <row r="160"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</row>
    <row r="161"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</row>
    <row r="162"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</row>
    <row r="163"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</row>
    <row r="164"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</row>
    <row r="165"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</row>
    <row r="166"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</row>
    <row r="167"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</row>
    <row r="168"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</row>
    <row r="169"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</row>
    <row r="170"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</row>
    <row r="171"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</row>
    <row r="172"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</row>
    <row r="173"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</row>
    <row r="174"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</row>
    <row r="175"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</row>
    <row r="176"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</row>
    <row r="177"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</row>
    <row r="178"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</row>
    <row r="179"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</row>
    <row r="180"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</row>
    <row r="181"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</row>
    <row r="182"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</row>
    <row r="183"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</row>
    <row r="184"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</row>
    <row r="185"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</row>
    <row r="186"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</row>
    <row r="187"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</row>
    <row r="188"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</row>
    <row r="189"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</row>
    <row r="190"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</row>
    <row r="191"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</row>
    <row r="192"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</row>
    <row r="193"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</row>
    <row r="194"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</row>
    <row r="195"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</row>
    <row r="196"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</row>
    <row r="197"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</row>
    <row r="198"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</row>
    <row r="199"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</row>
    <row r="200"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</row>
    <row r="201"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</row>
    <row r="202"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</row>
    <row r="203"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</row>
    <row r="204"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</row>
    <row r="205"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</row>
    <row r="206"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</row>
    <row r="207"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</row>
    <row r="208"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</row>
    <row r="209"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</row>
    <row r="210"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</row>
    <row r="211"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</row>
    <row r="212"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</row>
    <row r="213"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</row>
    <row r="214"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</row>
    <row r="215"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</row>
    <row r="216"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</row>
    <row r="217"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</row>
    <row r="218"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</row>
    <row r="219"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</row>
    <row r="220"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</row>
    <row r="221"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</row>
    <row r="222"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</row>
    <row r="223"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</row>
    <row r="224"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</row>
    <row r="225"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</row>
    <row r="226"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</row>
    <row r="227"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</row>
    <row r="228"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</row>
    <row r="229"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</row>
    <row r="230"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</row>
    <row r="231"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</row>
    <row r="232"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</row>
    <row r="233"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</row>
    <row r="234"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</row>
    <row r="235"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</row>
    <row r="236"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</row>
    <row r="237"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</row>
    <row r="238"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</row>
    <row r="239"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</row>
    <row r="240"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</row>
    <row r="241"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</row>
    <row r="242"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</row>
    <row r="243"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</row>
    <row r="244"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</row>
    <row r="245"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</row>
    <row r="246"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</row>
    <row r="247"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</row>
    <row r="248"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</row>
    <row r="249"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</row>
    <row r="250"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</row>
    <row r="251"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</row>
    <row r="252"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</row>
    <row r="253"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</row>
    <row r="254"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</row>
    <row r="255"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</row>
    <row r="256"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</row>
    <row r="257"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</row>
    <row r="258"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</row>
    <row r="259"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</row>
    <row r="260"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</row>
    <row r="261"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</row>
    <row r="262"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</row>
    <row r="263"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</row>
    <row r="264"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</row>
    <row r="265"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</row>
    <row r="266"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</row>
    <row r="267"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</row>
    <row r="268"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</row>
    <row r="269"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</row>
    <row r="270"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</row>
    <row r="271"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</row>
    <row r="272"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</row>
    <row r="273"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</row>
    <row r="274"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</row>
    <row r="275"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</row>
    <row r="276"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</row>
    <row r="277"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</row>
    <row r="278"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</row>
    <row r="279"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</row>
    <row r="280"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</row>
    <row r="281"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</row>
    <row r="282"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</row>
    <row r="283"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</row>
    <row r="284"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</row>
    <row r="285"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</row>
    <row r="286"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</row>
    <row r="287"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</row>
    <row r="288"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</row>
    <row r="289"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</row>
    <row r="290"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</row>
    <row r="291"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</row>
    <row r="292"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</row>
    <row r="293"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</row>
    <row r="294"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</row>
    <row r="295"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</row>
    <row r="296"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</row>
    <row r="297"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</row>
    <row r="298"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</row>
    <row r="299"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</row>
    <row r="300"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</row>
    <row r="301"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</row>
    <row r="302"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</row>
    <row r="303"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</row>
    <row r="304"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</row>
    <row r="305"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</row>
    <row r="306"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</row>
    <row r="307"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</row>
    <row r="308"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</row>
    <row r="309"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</row>
    <row r="310"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</row>
    <row r="311"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</row>
    <row r="312"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</row>
    <row r="313"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</row>
    <row r="314"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</row>
    <row r="315"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</row>
    <row r="316"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</row>
    <row r="317"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</row>
    <row r="318"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</row>
    <row r="319"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</row>
    <row r="320"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</row>
    <row r="321"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</row>
    <row r="322"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</row>
    <row r="323"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</row>
    <row r="324"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</row>
    <row r="325"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</row>
    <row r="326"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</row>
    <row r="327"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</row>
    <row r="328"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</row>
    <row r="329"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</row>
    <row r="330"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</row>
    <row r="331"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</row>
    <row r="332"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</row>
    <row r="333"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</row>
    <row r="334"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</row>
    <row r="335"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</row>
    <row r="336"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</row>
    <row r="337"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</row>
    <row r="338"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</row>
    <row r="339"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</row>
    <row r="340"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</row>
    <row r="341"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</row>
    <row r="342"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</row>
    <row r="343"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</row>
    <row r="344"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</row>
    <row r="345"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</row>
    <row r="346"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</row>
    <row r="347"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</row>
    <row r="348"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  <c r="AD348" s="60"/>
    </row>
    <row r="349"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</row>
    <row r="350"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</row>
    <row r="351"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</row>
    <row r="352"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</row>
    <row r="353"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</row>
    <row r="354"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</row>
    <row r="355"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</row>
    <row r="356"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</row>
    <row r="357"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</row>
    <row r="358"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</row>
    <row r="359"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</row>
    <row r="360"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</row>
    <row r="361"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</row>
    <row r="362"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</row>
    <row r="363"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</row>
    <row r="364"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</row>
    <row r="365"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</row>
    <row r="366"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</row>
    <row r="367"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</row>
    <row r="368"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</row>
    <row r="369"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</row>
    <row r="370"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</row>
    <row r="371"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</row>
    <row r="372"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</row>
    <row r="373"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</row>
    <row r="374"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  <c r="AD374" s="60"/>
    </row>
    <row r="375"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</row>
    <row r="376"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  <c r="AD376" s="60"/>
    </row>
    <row r="377"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</row>
    <row r="378"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  <c r="AD378" s="60"/>
    </row>
    <row r="379"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</row>
    <row r="380"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  <c r="AD380" s="60"/>
    </row>
    <row r="381"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  <c r="AD381" s="60"/>
    </row>
    <row r="382"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  <c r="AD382" s="60"/>
    </row>
    <row r="383"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  <c r="AD383" s="60"/>
    </row>
    <row r="384"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  <c r="AD384" s="60"/>
    </row>
    <row r="385"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</row>
    <row r="386"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</row>
    <row r="387"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</row>
    <row r="388"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</row>
    <row r="389"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</row>
    <row r="390"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  <c r="AD390" s="60"/>
    </row>
    <row r="391"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  <c r="AD391" s="60"/>
    </row>
    <row r="392"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  <c r="AD392" s="60"/>
    </row>
    <row r="393"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  <c r="AD393" s="60"/>
    </row>
    <row r="394"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  <c r="AD394" s="60"/>
    </row>
    <row r="395"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</row>
    <row r="396"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  <c r="AD396" s="60"/>
    </row>
    <row r="397"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  <c r="AD397" s="60"/>
    </row>
    <row r="398"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</row>
    <row r="399"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</row>
    <row r="400"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</row>
    <row r="401"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  <c r="AD401" s="60"/>
    </row>
    <row r="402"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60"/>
      <c r="AD402" s="60"/>
    </row>
    <row r="403"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</row>
    <row r="404"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60"/>
      <c r="AD404" s="60"/>
    </row>
    <row r="405"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  <c r="AD405" s="60"/>
    </row>
    <row r="406"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  <c r="AD406" s="60"/>
    </row>
    <row r="407"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  <c r="AD407" s="60"/>
    </row>
    <row r="408"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  <c r="AD408" s="60"/>
    </row>
    <row r="409"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  <c r="AD409" s="60"/>
    </row>
    <row r="410"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60"/>
      <c r="AD410" s="60"/>
    </row>
    <row r="411"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</row>
    <row r="412"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  <c r="AD412" s="60"/>
    </row>
    <row r="413"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  <c r="AD413" s="60"/>
    </row>
    <row r="414"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</row>
    <row r="415"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  <c r="AD415" s="60"/>
    </row>
    <row r="416"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  <c r="AD416" s="60"/>
    </row>
    <row r="417"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  <c r="AD417" s="60"/>
    </row>
    <row r="418"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60"/>
      <c r="AD418" s="60"/>
    </row>
    <row r="419"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  <c r="AD419" s="60"/>
    </row>
    <row r="420"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  <c r="AD420" s="60"/>
    </row>
    <row r="421"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  <c r="AD421" s="60"/>
    </row>
    <row r="422"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</row>
    <row r="423"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  <c r="AD423" s="60"/>
    </row>
    <row r="424"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  <c r="AD424" s="60"/>
    </row>
    <row r="425"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</row>
    <row r="426"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  <c r="AD426" s="60"/>
    </row>
    <row r="427"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  <c r="AD427" s="60"/>
    </row>
    <row r="428"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  <c r="AD428" s="60"/>
    </row>
    <row r="429"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  <c r="AD429" s="60"/>
    </row>
    <row r="430"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  <c r="AD430" s="60"/>
    </row>
    <row r="431"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  <c r="AD431" s="60"/>
    </row>
    <row r="432"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  <c r="AD432" s="60"/>
    </row>
    <row r="433"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</row>
    <row r="434"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  <c r="AD434" s="60"/>
    </row>
    <row r="435"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  <c r="AD435" s="60"/>
    </row>
    <row r="436"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  <c r="AD436" s="60"/>
    </row>
    <row r="437"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  <c r="AD437" s="60"/>
    </row>
    <row r="438"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  <c r="AC438" s="60"/>
      <c r="AD438" s="60"/>
    </row>
    <row r="439"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  <c r="AD439" s="60"/>
    </row>
    <row r="440"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60"/>
      <c r="AD440" s="60"/>
    </row>
    <row r="441"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  <c r="AD441" s="60"/>
    </row>
    <row r="442"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60"/>
      <c r="AD442" s="60"/>
    </row>
    <row r="443"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  <c r="AD443" s="60"/>
    </row>
    <row r="444"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60"/>
      <c r="AD444" s="60"/>
    </row>
    <row r="445"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  <c r="AD445" s="60"/>
    </row>
    <row r="446"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60"/>
      <c r="AD446" s="60"/>
    </row>
    <row r="447"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  <c r="AD447" s="60"/>
    </row>
    <row r="448"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60"/>
      <c r="AD448" s="60"/>
    </row>
    <row r="449"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  <c r="AD449" s="60"/>
    </row>
    <row r="450"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60"/>
      <c r="AD450" s="60"/>
    </row>
    <row r="451"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  <c r="AD451" s="60"/>
    </row>
    <row r="452"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60"/>
      <c r="AD452" s="60"/>
    </row>
    <row r="453"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  <c r="AD453" s="60"/>
    </row>
    <row r="454"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60"/>
      <c r="AD454" s="60"/>
    </row>
    <row r="455"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  <c r="AD455" s="60"/>
    </row>
    <row r="456"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60"/>
      <c r="AD456" s="60"/>
    </row>
    <row r="457"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  <c r="AD457" s="60"/>
    </row>
    <row r="458"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60"/>
      <c r="AD458" s="60"/>
    </row>
    <row r="459"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  <c r="AD459" s="60"/>
    </row>
    <row r="460"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60"/>
      <c r="AD460" s="60"/>
    </row>
    <row r="461"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  <c r="AD461" s="60"/>
    </row>
    <row r="462"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60"/>
      <c r="AD462" s="60"/>
    </row>
    <row r="463"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  <c r="AD463" s="60"/>
    </row>
    <row r="464"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60"/>
      <c r="AD464" s="60"/>
    </row>
    <row r="465"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  <c r="AD465" s="60"/>
    </row>
    <row r="466"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60"/>
      <c r="AD466" s="60"/>
    </row>
    <row r="467"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  <c r="AD467" s="60"/>
    </row>
    <row r="468"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60"/>
      <c r="AD468" s="60"/>
    </row>
    <row r="469"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  <c r="AD469" s="60"/>
    </row>
    <row r="470"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60"/>
      <c r="AD470" s="60"/>
    </row>
    <row r="471"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  <c r="AD471" s="60"/>
    </row>
    <row r="472"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60"/>
      <c r="AD472" s="60"/>
    </row>
    <row r="473"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  <c r="AD473" s="60"/>
    </row>
    <row r="474"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60"/>
      <c r="AD474" s="60"/>
    </row>
    <row r="475"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  <c r="AD475" s="60"/>
    </row>
    <row r="476"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60"/>
      <c r="AD476" s="60"/>
    </row>
    <row r="477"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  <c r="AD477" s="60"/>
    </row>
    <row r="478"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60"/>
      <c r="AD478" s="60"/>
    </row>
    <row r="479"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  <c r="AD479" s="60"/>
    </row>
    <row r="480"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  <c r="AD480" s="60"/>
    </row>
    <row r="481"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  <c r="AD481" s="60"/>
    </row>
    <row r="482"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60"/>
      <c r="AD482" s="60"/>
    </row>
    <row r="483"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  <c r="AD483" s="60"/>
    </row>
    <row r="484"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60"/>
      <c r="AD484" s="60"/>
    </row>
    <row r="485"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  <c r="AD485" s="60"/>
    </row>
    <row r="486"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60"/>
      <c r="AD486" s="60"/>
    </row>
    <row r="487"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  <c r="AD487" s="60"/>
    </row>
    <row r="488"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60"/>
      <c r="AD488" s="60"/>
    </row>
    <row r="489"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  <c r="AD489" s="60"/>
    </row>
    <row r="490"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60"/>
      <c r="AD490" s="60"/>
    </row>
    <row r="491"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  <c r="AD491" s="60"/>
    </row>
    <row r="492"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60"/>
      <c r="AD492" s="60"/>
    </row>
    <row r="493"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  <c r="AD493" s="60"/>
    </row>
    <row r="494"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60"/>
      <c r="AD494" s="60"/>
    </row>
    <row r="495"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  <c r="AD495" s="60"/>
    </row>
    <row r="496"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60"/>
      <c r="AD496" s="60"/>
    </row>
    <row r="497"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  <c r="AD497" s="60"/>
    </row>
    <row r="498"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60"/>
      <c r="AD498" s="60"/>
    </row>
    <row r="499"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  <c r="AD499" s="60"/>
    </row>
    <row r="500"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  <c r="AD500" s="60"/>
    </row>
    <row r="501"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  <c r="AD501" s="60"/>
    </row>
    <row r="502"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  <c r="AD502" s="60"/>
    </row>
    <row r="503"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  <c r="AD503" s="60"/>
    </row>
    <row r="504"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  <c r="AD504" s="60"/>
    </row>
    <row r="505"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  <c r="AD505" s="60"/>
    </row>
    <row r="506"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60"/>
      <c r="AD506" s="60"/>
    </row>
    <row r="507"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60"/>
      <c r="AD507" s="60"/>
    </row>
    <row r="508"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60"/>
      <c r="AD508" s="60"/>
    </row>
    <row r="509"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  <c r="AD509" s="60"/>
    </row>
    <row r="510"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60"/>
      <c r="AD510" s="60"/>
    </row>
    <row r="511"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  <c r="AD511" s="60"/>
    </row>
    <row r="512"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60"/>
      <c r="AD512" s="60"/>
    </row>
    <row r="513"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  <c r="AD513" s="60"/>
    </row>
    <row r="514"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60"/>
      <c r="AD514" s="60"/>
    </row>
    <row r="515"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  <c r="AD515" s="60"/>
    </row>
    <row r="516"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60"/>
      <c r="AD516" s="60"/>
    </row>
    <row r="517"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  <c r="AD517" s="60"/>
    </row>
    <row r="518"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60"/>
      <c r="AD518" s="60"/>
    </row>
    <row r="519"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60"/>
      <c r="AD519" s="60"/>
    </row>
    <row r="520"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60"/>
      <c r="AD520" s="60"/>
    </row>
    <row r="521"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60"/>
      <c r="AD521" s="60"/>
    </row>
    <row r="522"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60"/>
      <c r="AD522" s="60"/>
    </row>
    <row r="523"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  <c r="AD523" s="60"/>
    </row>
    <row r="524"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60"/>
      <c r="AD524" s="60"/>
    </row>
    <row r="525"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  <c r="AD525" s="60"/>
    </row>
    <row r="526"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  <c r="AD526" s="60"/>
    </row>
    <row r="527"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  <c r="AD527" s="60"/>
    </row>
    <row r="528"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60"/>
      <c r="AD528" s="60"/>
    </row>
    <row r="529"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  <c r="AD529" s="60"/>
    </row>
    <row r="530"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60"/>
      <c r="AD530" s="60"/>
    </row>
    <row r="531"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  <c r="AD531" s="60"/>
    </row>
    <row r="532"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60"/>
      <c r="AD532" s="60"/>
    </row>
    <row r="533"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60"/>
      <c r="AD533" s="60"/>
    </row>
    <row r="534"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  <c r="AD534" s="60"/>
    </row>
    <row r="535"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  <c r="AD535" s="60"/>
    </row>
    <row r="536"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  <c r="AD536" s="60"/>
    </row>
    <row r="537"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60"/>
      <c r="AD537" s="60"/>
    </row>
    <row r="538"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60"/>
      <c r="AD538" s="60"/>
    </row>
    <row r="539"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60"/>
      <c r="AD539" s="60"/>
    </row>
    <row r="540"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60"/>
      <c r="AD540" s="60"/>
    </row>
    <row r="541"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60"/>
      <c r="AD541" s="60"/>
    </row>
    <row r="542"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60"/>
      <c r="AD542" s="60"/>
    </row>
    <row r="543"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60"/>
      <c r="AD543" s="60"/>
    </row>
    <row r="544"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60"/>
      <c r="AD544" s="60"/>
    </row>
    <row r="545"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60"/>
      <c r="AD545" s="60"/>
    </row>
    <row r="546"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60"/>
      <c r="AD546" s="60"/>
    </row>
    <row r="547"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  <c r="AD547" s="60"/>
    </row>
    <row r="548"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  <c r="AD548" s="60"/>
    </row>
    <row r="549"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  <c r="AD549" s="60"/>
    </row>
    <row r="550"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  <c r="AD550" s="60"/>
    </row>
    <row r="551"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60"/>
      <c r="AD551" s="60"/>
    </row>
    <row r="552"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  <c r="AD552" s="60"/>
    </row>
    <row r="553"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60"/>
      <c r="AD553" s="60"/>
    </row>
    <row r="554"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  <c r="AD554" s="60"/>
    </row>
    <row r="555"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60"/>
      <c r="AD555" s="60"/>
    </row>
    <row r="556"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60"/>
      <c r="AD556" s="60"/>
    </row>
    <row r="557"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60"/>
      <c r="AD557" s="60"/>
    </row>
    <row r="558"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  <c r="AD558" s="60"/>
    </row>
    <row r="559"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  <c r="AD559" s="60"/>
    </row>
    <row r="560"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  <c r="AD560" s="60"/>
    </row>
    <row r="561"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  <c r="AD561" s="60"/>
    </row>
    <row r="562"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  <c r="AD562" s="60"/>
    </row>
    <row r="563"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  <c r="AD563" s="60"/>
    </row>
    <row r="564"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  <c r="AD564" s="60"/>
    </row>
    <row r="565"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  <c r="AD565" s="60"/>
    </row>
    <row r="566"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  <c r="AD566" s="60"/>
    </row>
    <row r="567"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  <c r="AD567" s="60"/>
    </row>
    <row r="568"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  <c r="AD568" s="60"/>
    </row>
    <row r="569"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  <c r="AD569" s="60"/>
    </row>
    <row r="570"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</row>
    <row r="571"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  <c r="AD571" s="60"/>
    </row>
    <row r="572"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  <c r="AD572" s="60"/>
    </row>
    <row r="573"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  <c r="AD573" s="60"/>
    </row>
    <row r="574"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</row>
    <row r="575"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  <c r="AD575" s="60"/>
    </row>
    <row r="576"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  <c r="AD576" s="60"/>
    </row>
    <row r="577"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  <c r="AD577" s="60"/>
    </row>
    <row r="578"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  <c r="AD578" s="60"/>
    </row>
    <row r="579"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  <c r="AD579" s="60"/>
    </row>
    <row r="580"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  <c r="AD580" s="60"/>
    </row>
    <row r="581"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  <c r="AD581" s="60"/>
    </row>
    <row r="582"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  <c r="AD582" s="60"/>
    </row>
    <row r="583"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  <c r="AD583" s="60"/>
    </row>
    <row r="584"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  <c r="AD584" s="60"/>
    </row>
    <row r="585"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  <c r="AD585" s="60"/>
    </row>
    <row r="586"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  <c r="AD586" s="60"/>
    </row>
    <row r="587"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  <c r="AD587" s="60"/>
    </row>
    <row r="588"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  <c r="AD588" s="60"/>
    </row>
    <row r="589"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  <c r="AD589" s="60"/>
    </row>
    <row r="590"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60"/>
      <c r="AD590" s="60"/>
    </row>
    <row r="591"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  <c r="AD591" s="60"/>
    </row>
    <row r="592"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60"/>
      <c r="AD592" s="60"/>
    </row>
    <row r="593"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  <c r="AD593" s="60"/>
    </row>
    <row r="594"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  <c r="AD594" s="60"/>
    </row>
    <row r="595"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  <c r="AD595" s="60"/>
    </row>
    <row r="596"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60"/>
      <c r="AD596" s="60"/>
    </row>
    <row r="597"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  <c r="AD597" s="60"/>
    </row>
    <row r="598"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60"/>
      <c r="AD598" s="60"/>
    </row>
    <row r="599"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  <c r="AD599" s="60"/>
    </row>
    <row r="600"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  <c r="AD600" s="60"/>
    </row>
    <row r="601"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60"/>
      <c r="AD601" s="60"/>
    </row>
    <row r="602"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  <c r="AD602" s="60"/>
    </row>
    <row r="603"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  <c r="AD603" s="60"/>
    </row>
    <row r="604"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  <c r="AD604" s="60"/>
    </row>
    <row r="605"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60"/>
      <c r="AD605" s="60"/>
    </row>
    <row r="606"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60"/>
      <c r="AD606" s="60"/>
    </row>
    <row r="607"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60"/>
      <c r="AD607" s="60"/>
    </row>
    <row r="608"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60"/>
      <c r="AD608" s="60"/>
    </row>
    <row r="609"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  <c r="AD609" s="60"/>
    </row>
    <row r="610"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60"/>
      <c r="AD610" s="60"/>
    </row>
    <row r="611"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60"/>
      <c r="AD611" s="60"/>
    </row>
    <row r="612"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  <c r="AD612" s="60"/>
    </row>
    <row r="613"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  <c r="AD613" s="60"/>
    </row>
    <row r="614"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60"/>
      <c r="AD614" s="60"/>
    </row>
    <row r="615"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  <c r="AD615" s="60"/>
    </row>
    <row r="616"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  <c r="AD616" s="60"/>
    </row>
    <row r="617"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  <c r="AD617" s="60"/>
    </row>
    <row r="618"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  <c r="AD618" s="60"/>
    </row>
    <row r="619"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  <c r="AD619" s="60"/>
    </row>
    <row r="620"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  <c r="AD620" s="60"/>
    </row>
    <row r="621"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60"/>
      <c r="AD621" s="60"/>
    </row>
    <row r="622"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  <c r="AD622" s="60"/>
    </row>
    <row r="623"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  <c r="AD623" s="60"/>
    </row>
    <row r="624"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  <c r="AD624" s="60"/>
    </row>
    <row r="625"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60"/>
      <c r="AD625" s="60"/>
    </row>
    <row r="626"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  <c r="AD626" s="60"/>
    </row>
    <row r="627"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60"/>
      <c r="AD627" s="60"/>
    </row>
    <row r="628"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60"/>
      <c r="AD628" s="60"/>
    </row>
    <row r="629"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60"/>
      <c r="AD629" s="60"/>
    </row>
    <row r="630"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  <c r="AD630" s="60"/>
    </row>
    <row r="631"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60"/>
      <c r="AD631" s="60"/>
    </row>
    <row r="632"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60"/>
      <c r="AD632" s="60"/>
    </row>
    <row r="633"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60"/>
      <c r="AD633" s="60"/>
    </row>
    <row r="634"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60"/>
      <c r="AD634" s="60"/>
    </row>
    <row r="635"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60"/>
      <c r="AD635" s="60"/>
    </row>
    <row r="636"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60"/>
      <c r="AD636" s="60"/>
    </row>
    <row r="637"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60"/>
      <c r="AD637" s="60"/>
    </row>
    <row r="638"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60"/>
      <c r="AD638" s="60"/>
    </row>
    <row r="639"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60"/>
      <c r="AD639" s="60"/>
    </row>
    <row r="640"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60"/>
      <c r="AD640" s="60"/>
    </row>
    <row r="641"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  <c r="AD641" s="60"/>
    </row>
    <row r="642"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  <c r="AD642" s="60"/>
    </row>
    <row r="643"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  <c r="AD643" s="60"/>
    </row>
    <row r="644"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60"/>
      <c r="AD644" s="60"/>
    </row>
    <row r="645"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60"/>
      <c r="AD645" s="60"/>
    </row>
    <row r="646"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60"/>
      <c r="AD646" s="60"/>
    </row>
    <row r="647"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60"/>
      <c r="AD647" s="60"/>
    </row>
    <row r="648"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60"/>
      <c r="AD648" s="60"/>
    </row>
    <row r="649"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  <c r="AD649" s="60"/>
    </row>
    <row r="650"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  <c r="AD650" s="60"/>
    </row>
    <row r="651"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60"/>
      <c r="AD651" s="60"/>
    </row>
    <row r="652"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60"/>
      <c r="AD652" s="60"/>
    </row>
    <row r="653"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60"/>
      <c r="AD653" s="60"/>
    </row>
    <row r="654"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60"/>
      <c r="AD654" s="60"/>
    </row>
    <row r="655"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60"/>
      <c r="AD655" s="60"/>
    </row>
    <row r="656"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60"/>
      <c r="AD656" s="60"/>
    </row>
    <row r="657"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60"/>
      <c r="AD657" s="60"/>
    </row>
    <row r="658"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  <c r="AD658" s="60"/>
    </row>
    <row r="659"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60"/>
      <c r="AD659" s="60"/>
    </row>
    <row r="660"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  <c r="AD660" s="60"/>
    </row>
    <row r="661"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60"/>
      <c r="AD661" s="60"/>
    </row>
    <row r="662"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60"/>
      <c r="AD662" s="60"/>
    </row>
    <row r="663"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  <c r="AD663" s="60"/>
    </row>
    <row r="664"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  <c r="AD664" s="60"/>
    </row>
    <row r="665"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  <c r="AD665" s="60"/>
    </row>
    <row r="666"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  <c r="AD666" s="60"/>
    </row>
    <row r="667"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  <c r="AD667" s="60"/>
    </row>
    <row r="668"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  <c r="AD668" s="60"/>
    </row>
    <row r="669"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60"/>
      <c r="AD669" s="60"/>
    </row>
    <row r="670"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  <c r="AD670" s="60"/>
    </row>
    <row r="671"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  <c r="AD671" s="60"/>
    </row>
    <row r="672"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  <c r="AD672" s="60"/>
    </row>
    <row r="673"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60"/>
      <c r="AD673" s="60"/>
    </row>
    <row r="674"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60"/>
      <c r="AD674" s="60"/>
    </row>
    <row r="675"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  <c r="AC675" s="60"/>
      <c r="AD675" s="60"/>
    </row>
    <row r="676"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  <c r="AC676" s="60"/>
      <c r="AD676" s="60"/>
    </row>
    <row r="677"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60"/>
      <c r="AD677" s="60"/>
    </row>
    <row r="678"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  <c r="AC678" s="60"/>
      <c r="AD678" s="60"/>
    </row>
    <row r="679"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  <c r="AC679" s="60"/>
      <c r="AD679" s="60"/>
    </row>
    <row r="680"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  <c r="AC680" s="60"/>
      <c r="AD680" s="60"/>
    </row>
    <row r="681"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  <c r="AC681" s="60"/>
      <c r="AD681" s="60"/>
    </row>
    <row r="682"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60"/>
      <c r="AD682" s="60"/>
    </row>
    <row r="683"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60"/>
      <c r="AD683" s="60"/>
    </row>
    <row r="684"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60"/>
      <c r="AD684" s="60"/>
    </row>
    <row r="685"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60"/>
      <c r="AD685" s="60"/>
    </row>
    <row r="686"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60"/>
      <c r="AD686" s="60"/>
    </row>
    <row r="687"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  <c r="AC687" s="60"/>
      <c r="AD687" s="60"/>
    </row>
    <row r="688"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60"/>
      <c r="AD688" s="60"/>
    </row>
    <row r="689"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60"/>
      <c r="AD689" s="60"/>
    </row>
    <row r="690"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60"/>
      <c r="AD690" s="60"/>
    </row>
    <row r="691"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  <c r="AA691" s="60"/>
      <c r="AB691" s="60"/>
      <c r="AC691" s="60"/>
      <c r="AD691" s="60"/>
    </row>
    <row r="692"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  <c r="AA692" s="60"/>
      <c r="AB692" s="60"/>
      <c r="AC692" s="60"/>
      <c r="AD692" s="60"/>
    </row>
    <row r="693"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  <c r="AA693" s="60"/>
      <c r="AB693" s="60"/>
      <c r="AC693" s="60"/>
      <c r="AD693" s="60"/>
    </row>
    <row r="694"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  <c r="AA694" s="60"/>
      <c r="AB694" s="60"/>
      <c r="AC694" s="60"/>
      <c r="AD694" s="60"/>
    </row>
    <row r="695"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  <c r="AA695" s="60"/>
      <c r="AB695" s="60"/>
      <c r="AC695" s="60"/>
      <c r="AD695" s="60"/>
    </row>
    <row r="696"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  <c r="AA696" s="60"/>
      <c r="AB696" s="60"/>
      <c r="AC696" s="60"/>
      <c r="AD696" s="60"/>
    </row>
    <row r="697"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  <c r="AA697" s="60"/>
      <c r="AB697" s="60"/>
      <c r="AC697" s="60"/>
      <c r="AD697" s="60"/>
    </row>
    <row r="698"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  <c r="AA698" s="60"/>
      <c r="AB698" s="60"/>
      <c r="AC698" s="60"/>
      <c r="AD698" s="60"/>
    </row>
    <row r="699"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  <c r="AA699" s="60"/>
      <c r="AB699" s="60"/>
      <c r="AC699" s="60"/>
      <c r="AD699" s="60"/>
    </row>
    <row r="700"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60"/>
      <c r="AC700" s="60"/>
      <c r="AD700" s="60"/>
    </row>
    <row r="701"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  <c r="AA701" s="60"/>
      <c r="AB701" s="60"/>
      <c r="AC701" s="60"/>
      <c r="AD701" s="60"/>
    </row>
    <row r="702"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60"/>
      <c r="AC702" s="60"/>
      <c r="AD702" s="60"/>
    </row>
    <row r="703"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  <c r="AA703" s="60"/>
      <c r="AB703" s="60"/>
      <c r="AC703" s="60"/>
      <c r="AD703" s="60"/>
    </row>
    <row r="704"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  <c r="AA704" s="60"/>
      <c r="AB704" s="60"/>
      <c r="AC704" s="60"/>
      <c r="AD704" s="60"/>
    </row>
    <row r="705"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60"/>
      <c r="AC705" s="60"/>
      <c r="AD705" s="60"/>
    </row>
    <row r="706"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  <c r="AA706" s="60"/>
      <c r="AB706" s="60"/>
      <c r="AC706" s="60"/>
      <c r="AD706" s="60"/>
    </row>
    <row r="707"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60"/>
      <c r="AC707" s="60"/>
      <c r="AD707" s="60"/>
    </row>
    <row r="708"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  <c r="AA708" s="60"/>
      <c r="AB708" s="60"/>
      <c r="AC708" s="60"/>
      <c r="AD708" s="60"/>
    </row>
    <row r="709"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60"/>
      <c r="AC709" s="60"/>
      <c r="AD709" s="60"/>
    </row>
    <row r="710"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  <c r="AA710" s="60"/>
      <c r="AB710" s="60"/>
      <c r="AC710" s="60"/>
      <c r="AD710" s="60"/>
    </row>
    <row r="711"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60"/>
      <c r="AC711" s="60"/>
      <c r="AD711" s="60"/>
    </row>
    <row r="712"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  <c r="AA712" s="60"/>
      <c r="AB712" s="60"/>
      <c r="AC712" s="60"/>
      <c r="AD712" s="60"/>
    </row>
    <row r="713"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  <c r="AA713" s="60"/>
      <c r="AB713" s="60"/>
      <c r="AC713" s="60"/>
      <c r="AD713" s="60"/>
    </row>
    <row r="714"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  <c r="AA714" s="60"/>
      <c r="AB714" s="60"/>
      <c r="AC714" s="60"/>
      <c r="AD714" s="60"/>
    </row>
    <row r="715"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60"/>
      <c r="AC715" s="60"/>
      <c r="AD715" s="60"/>
    </row>
    <row r="716"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60"/>
      <c r="AC716" s="60"/>
      <c r="AD716" s="60"/>
    </row>
    <row r="717"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60"/>
      <c r="AC717" s="60"/>
      <c r="AD717" s="60"/>
    </row>
    <row r="718"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60"/>
      <c r="AC718" s="60"/>
      <c r="AD718" s="60"/>
    </row>
    <row r="719"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60"/>
      <c r="AC719" s="60"/>
      <c r="AD719" s="60"/>
    </row>
    <row r="720"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60"/>
      <c r="AC720" s="60"/>
      <c r="AD720" s="60"/>
    </row>
    <row r="721"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60"/>
      <c r="AC721" s="60"/>
      <c r="AD721" s="60"/>
    </row>
    <row r="722"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60"/>
      <c r="AC722" s="60"/>
      <c r="AD722" s="60"/>
    </row>
    <row r="723"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60"/>
      <c r="AC723" s="60"/>
      <c r="AD723" s="60"/>
    </row>
    <row r="724"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60"/>
      <c r="AC724" s="60"/>
      <c r="AD724" s="60"/>
    </row>
    <row r="725"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60"/>
      <c r="AC725" s="60"/>
      <c r="AD725" s="60"/>
    </row>
    <row r="726"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60"/>
      <c r="AC726" s="60"/>
      <c r="AD726" s="60"/>
    </row>
    <row r="727"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60"/>
      <c r="AC727" s="60"/>
      <c r="AD727" s="60"/>
    </row>
    <row r="728"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60"/>
      <c r="AC728" s="60"/>
      <c r="AD728" s="60"/>
    </row>
    <row r="729"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60"/>
      <c r="AC729" s="60"/>
      <c r="AD729" s="60"/>
    </row>
    <row r="730"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60"/>
      <c r="AC730" s="60"/>
      <c r="AD730" s="60"/>
    </row>
    <row r="731"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  <c r="AA731" s="60"/>
      <c r="AB731" s="60"/>
      <c r="AC731" s="60"/>
      <c r="AD731" s="60"/>
    </row>
    <row r="732"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60"/>
      <c r="AC732" s="60"/>
      <c r="AD732" s="60"/>
    </row>
    <row r="733"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60"/>
      <c r="AC733" s="60"/>
      <c r="AD733" s="60"/>
    </row>
    <row r="734"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60"/>
      <c r="AC734" s="60"/>
      <c r="AD734" s="60"/>
    </row>
    <row r="735"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  <c r="AA735" s="60"/>
      <c r="AB735" s="60"/>
      <c r="AC735" s="60"/>
      <c r="AD735" s="60"/>
    </row>
    <row r="736"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60"/>
      <c r="AC736" s="60"/>
      <c r="AD736" s="60"/>
    </row>
    <row r="737"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  <c r="AA737" s="60"/>
      <c r="AB737" s="60"/>
      <c r="AC737" s="60"/>
      <c r="AD737" s="60"/>
    </row>
    <row r="738"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  <c r="AA738" s="60"/>
      <c r="AB738" s="60"/>
      <c r="AC738" s="60"/>
      <c r="AD738" s="60"/>
    </row>
    <row r="739"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  <c r="AA739" s="60"/>
      <c r="AB739" s="60"/>
      <c r="AC739" s="60"/>
      <c r="AD739" s="60"/>
    </row>
    <row r="740"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  <c r="AA740" s="60"/>
      <c r="AB740" s="60"/>
      <c r="AC740" s="60"/>
      <c r="AD740" s="60"/>
    </row>
    <row r="741"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  <c r="AA741" s="60"/>
      <c r="AB741" s="60"/>
      <c r="AC741" s="60"/>
      <c r="AD741" s="60"/>
    </row>
    <row r="742"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  <c r="AA742" s="60"/>
      <c r="AB742" s="60"/>
      <c r="AC742" s="60"/>
      <c r="AD742" s="60"/>
    </row>
    <row r="743"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  <c r="AA743" s="60"/>
      <c r="AB743" s="60"/>
      <c r="AC743" s="60"/>
      <c r="AD743" s="60"/>
    </row>
    <row r="744"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  <c r="AA744" s="60"/>
      <c r="AB744" s="60"/>
      <c r="AC744" s="60"/>
      <c r="AD744" s="60"/>
    </row>
    <row r="745"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  <c r="AA745" s="60"/>
      <c r="AB745" s="60"/>
      <c r="AC745" s="60"/>
      <c r="AD745" s="60"/>
    </row>
    <row r="746"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  <c r="AA746" s="60"/>
      <c r="AB746" s="60"/>
      <c r="AC746" s="60"/>
      <c r="AD746" s="60"/>
    </row>
    <row r="747"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  <c r="AA747" s="60"/>
      <c r="AB747" s="60"/>
      <c r="AC747" s="60"/>
      <c r="AD747" s="60"/>
    </row>
    <row r="748"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  <c r="AA748" s="60"/>
      <c r="AB748" s="60"/>
      <c r="AC748" s="60"/>
      <c r="AD748" s="60"/>
    </row>
    <row r="749"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  <c r="AA749" s="60"/>
      <c r="AB749" s="60"/>
      <c r="AC749" s="60"/>
      <c r="AD749" s="60"/>
    </row>
    <row r="750"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  <c r="AA750" s="60"/>
      <c r="AB750" s="60"/>
      <c r="AC750" s="60"/>
      <c r="AD750" s="60"/>
    </row>
    <row r="751"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  <c r="AA751" s="60"/>
      <c r="AB751" s="60"/>
      <c r="AC751" s="60"/>
      <c r="AD751" s="60"/>
    </row>
    <row r="752"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  <c r="AA752" s="60"/>
      <c r="AB752" s="60"/>
      <c r="AC752" s="60"/>
      <c r="AD752" s="60"/>
    </row>
    <row r="753"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  <c r="AA753" s="60"/>
      <c r="AB753" s="60"/>
      <c r="AC753" s="60"/>
      <c r="AD753" s="60"/>
    </row>
    <row r="754"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  <c r="AA754" s="60"/>
      <c r="AB754" s="60"/>
      <c r="AC754" s="60"/>
      <c r="AD754" s="60"/>
    </row>
    <row r="755"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  <c r="AA755" s="60"/>
      <c r="AB755" s="60"/>
      <c r="AC755" s="60"/>
      <c r="AD755" s="60"/>
    </row>
    <row r="756"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  <c r="AA756" s="60"/>
      <c r="AB756" s="60"/>
      <c r="AC756" s="60"/>
      <c r="AD756" s="60"/>
    </row>
    <row r="757"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  <c r="AA757" s="60"/>
      <c r="AB757" s="60"/>
      <c r="AC757" s="60"/>
      <c r="AD757" s="60"/>
    </row>
    <row r="758"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  <c r="AA758" s="60"/>
      <c r="AB758" s="60"/>
      <c r="AC758" s="60"/>
      <c r="AD758" s="60"/>
    </row>
    <row r="759"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  <c r="AA759" s="60"/>
      <c r="AB759" s="60"/>
      <c r="AC759" s="60"/>
      <c r="AD759" s="60"/>
    </row>
    <row r="760"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  <c r="AA760" s="60"/>
      <c r="AB760" s="60"/>
      <c r="AC760" s="60"/>
      <c r="AD760" s="60"/>
    </row>
    <row r="761"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  <c r="AA761" s="60"/>
      <c r="AB761" s="60"/>
      <c r="AC761" s="60"/>
      <c r="AD761" s="60"/>
    </row>
    <row r="762"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  <c r="AA762" s="60"/>
      <c r="AB762" s="60"/>
      <c r="AC762" s="60"/>
      <c r="AD762" s="60"/>
    </row>
    <row r="763"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  <c r="AA763" s="60"/>
      <c r="AB763" s="60"/>
      <c r="AC763" s="60"/>
      <c r="AD763" s="60"/>
    </row>
    <row r="764"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  <c r="AA764" s="60"/>
      <c r="AB764" s="60"/>
      <c r="AC764" s="60"/>
      <c r="AD764" s="60"/>
    </row>
    <row r="765"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  <c r="AA765" s="60"/>
      <c r="AB765" s="60"/>
      <c r="AC765" s="60"/>
      <c r="AD765" s="60"/>
    </row>
    <row r="766"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  <c r="AA766" s="60"/>
      <c r="AB766" s="60"/>
      <c r="AC766" s="60"/>
      <c r="AD766" s="60"/>
    </row>
    <row r="767"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  <c r="AA767" s="60"/>
      <c r="AB767" s="60"/>
      <c r="AC767" s="60"/>
      <c r="AD767" s="60"/>
    </row>
    <row r="768"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  <c r="AA768" s="60"/>
      <c r="AB768" s="60"/>
      <c r="AC768" s="60"/>
      <c r="AD768" s="60"/>
    </row>
    <row r="769"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  <c r="AA769" s="60"/>
      <c r="AB769" s="60"/>
      <c r="AC769" s="60"/>
      <c r="AD769" s="60"/>
    </row>
    <row r="770"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  <c r="AA770" s="60"/>
      <c r="AB770" s="60"/>
      <c r="AC770" s="60"/>
      <c r="AD770" s="60"/>
    </row>
    <row r="771"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  <c r="AA771" s="60"/>
      <c r="AB771" s="60"/>
      <c r="AC771" s="60"/>
      <c r="AD771" s="60"/>
    </row>
    <row r="772"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  <c r="AA772" s="60"/>
      <c r="AB772" s="60"/>
      <c r="AC772" s="60"/>
      <c r="AD772" s="60"/>
    </row>
    <row r="773"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  <c r="AA773" s="60"/>
      <c r="AB773" s="60"/>
      <c r="AC773" s="60"/>
      <c r="AD773" s="60"/>
    </row>
    <row r="774"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  <c r="AA774" s="60"/>
      <c r="AB774" s="60"/>
      <c r="AC774" s="60"/>
      <c r="AD774" s="60"/>
    </row>
    <row r="775"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  <c r="AA775" s="60"/>
      <c r="AB775" s="60"/>
      <c r="AC775" s="60"/>
      <c r="AD775" s="60"/>
    </row>
    <row r="776"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  <c r="AA776" s="60"/>
      <c r="AB776" s="60"/>
      <c r="AC776" s="60"/>
      <c r="AD776" s="60"/>
    </row>
    <row r="777"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  <c r="AA777" s="60"/>
      <c r="AB777" s="60"/>
      <c r="AC777" s="60"/>
      <c r="AD777" s="60"/>
    </row>
    <row r="778"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  <c r="AA778" s="60"/>
      <c r="AB778" s="60"/>
      <c r="AC778" s="60"/>
      <c r="AD778" s="60"/>
    </row>
    <row r="779"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  <c r="AA779" s="60"/>
      <c r="AB779" s="60"/>
      <c r="AC779" s="60"/>
      <c r="AD779" s="60"/>
    </row>
    <row r="780"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  <c r="AA780" s="60"/>
      <c r="AB780" s="60"/>
      <c r="AC780" s="60"/>
      <c r="AD780" s="60"/>
    </row>
    <row r="781"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  <c r="AA781" s="60"/>
      <c r="AB781" s="60"/>
      <c r="AC781" s="60"/>
      <c r="AD781" s="60"/>
    </row>
    <row r="782"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  <c r="AA782" s="60"/>
      <c r="AB782" s="60"/>
      <c r="AC782" s="60"/>
      <c r="AD782" s="60"/>
    </row>
    <row r="783"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  <c r="AA783" s="60"/>
      <c r="AB783" s="60"/>
      <c r="AC783" s="60"/>
      <c r="AD783" s="60"/>
    </row>
    <row r="784"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  <c r="AA784" s="60"/>
      <c r="AB784" s="60"/>
      <c r="AC784" s="60"/>
      <c r="AD784" s="60"/>
    </row>
    <row r="785"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  <c r="AA785" s="60"/>
      <c r="AB785" s="60"/>
      <c r="AC785" s="60"/>
      <c r="AD785" s="60"/>
    </row>
    <row r="786"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  <c r="AA786" s="60"/>
      <c r="AB786" s="60"/>
      <c r="AC786" s="60"/>
      <c r="AD786" s="60"/>
    </row>
    <row r="787"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  <c r="AA787" s="60"/>
      <c r="AB787" s="60"/>
      <c r="AC787" s="60"/>
      <c r="AD787" s="60"/>
    </row>
    <row r="788"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  <c r="AA788" s="60"/>
      <c r="AB788" s="60"/>
      <c r="AC788" s="60"/>
      <c r="AD788" s="60"/>
    </row>
    <row r="789"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  <c r="AA789" s="60"/>
      <c r="AB789" s="60"/>
      <c r="AC789" s="60"/>
      <c r="AD789" s="60"/>
    </row>
    <row r="790"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  <c r="AA790" s="60"/>
      <c r="AB790" s="60"/>
      <c r="AC790" s="60"/>
      <c r="AD790" s="60"/>
    </row>
    <row r="791"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  <c r="AA791" s="60"/>
      <c r="AB791" s="60"/>
      <c r="AC791" s="60"/>
      <c r="AD791" s="60"/>
    </row>
    <row r="792"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  <c r="AA792" s="60"/>
      <c r="AB792" s="60"/>
      <c r="AC792" s="60"/>
      <c r="AD792" s="60"/>
    </row>
    <row r="793"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  <c r="AA793" s="60"/>
      <c r="AB793" s="60"/>
      <c r="AC793" s="60"/>
      <c r="AD793" s="60"/>
    </row>
    <row r="794"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  <c r="AA794" s="60"/>
      <c r="AB794" s="60"/>
      <c r="AC794" s="60"/>
      <c r="AD794" s="60"/>
    </row>
    <row r="795"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  <c r="AA795" s="60"/>
      <c r="AB795" s="60"/>
      <c r="AC795" s="60"/>
      <c r="AD795" s="60"/>
    </row>
    <row r="796"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  <c r="AA796" s="60"/>
      <c r="AB796" s="60"/>
      <c r="AC796" s="60"/>
      <c r="AD796" s="60"/>
    </row>
    <row r="797"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  <c r="AA797" s="60"/>
      <c r="AB797" s="60"/>
      <c r="AC797" s="60"/>
      <c r="AD797" s="60"/>
    </row>
    <row r="798"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  <c r="AA798" s="60"/>
      <c r="AB798" s="60"/>
      <c r="AC798" s="60"/>
      <c r="AD798" s="60"/>
    </row>
    <row r="799"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  <c r="AA799" s="60"/>
      <c r="AB799" s="60"/>
      <c r="AC799" s="60"/>
      <c r="AD799" s="60"/>
    </row>
    <row r="800"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  <c r="AA800" s="60"/>
      <c r="AB800" s="60"/>
      <c r="AC800" s="60"/>
      <c r="AD800" s="60"/>
    </row>
    <row r="801"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  <c r="AA801" s="60"/>
      <c r="AB801" s="60"/>
      <c r="AC801" s="60"/>
      <c r="AD801" s="60"/>
    </row>
    <row r="802"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  <c r="AA802" s="60"/>
      <c r="AB802" s="60"/>
      <c r="AC802" s="60"/>
      <c r="AD802" s="60"/>
    </row>
    <row r="803"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  <c r="AA803" s="60"/>
      <c r="AB803" s="60"/>
      <c r="AC803" s="60"/>
      <c r="AD803" s="60"/>
    </row>
    <row r="804"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  <c r="AA804" s="60"/>
      <c r="AB804" s="60"/>
      <c r="AC804" s="60"/>
      <c r="AD804" s="60"/>
    </row>
    <row r="805"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  <c r="AA805" s="60"/>
      <c r="AB805" s="60"/>
      <c r="AC805" s="60"/>
      <c r="AD805" s="60"/>
    </row>
    <row r="806"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  <c r="AA806" s="60"/>
      <c r="AB806" s="60"/>
      <c r="AC806" s="60"/>
      <c r="AD806" s="60"/>
    </row>
    <row r="807"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  <c r="AA807" s="60"/>
      <c r="AB807" s="60"/>
      <c r="AC807" s="60"/>
      <c r="AD807" s="60"/>
    </row>
    <row r="808"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  <c r="AA808" s="60"/>
      <c r="AB808" s="60"/>
      <c r="AC808" s="60"/>
      <c r="AD808" s="60"/>
    </row>
    <row r="809"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  <c r="AA809" s="60"/>
      <c r="AB809" s="60"/>
      <c r="AC809" s="60"/>
      <c r="AD809" s="60"/>
    </row>
    <row r="810"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  <c r="AA810" s="60"/>
      <c r="AB810" s="60"/>
      <c r="AC810" s="60"/>
      <c r="AD810" s="60"/>
    </row>
    <row r="811"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  <c r="AA811" s="60"/>
      <c r="AB811" s="60"/>
      <c r="AC811" s="60"/>
      <c r="AD811" s="60"/>
    </row>
    <row r="812"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  <c r="AA812" s="60"/>
      <c r="AB812" s="60"/>
      <c r="AC812" s="60"/>
      <c r="AD812" s="60"/>
    </row>
    <row r="813"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  <c r="AA813" s="60"/>
      <c r="AB813" s="60"/>
      <c r="AC813" s="60"/>
      <c r="AD813" s="60"/>
    </row>
    <row r="814"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  <c r="AA814" s="60"/>
      <c r="AB814" s="60"/>
      <c r="AC814" s="60"/>
      <c r="AD814" s="60"/>
    </row>
    <row r="815"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  <c r="AA815" s="60"/>
      <c r="AB815" s="60"/>
      <c r="AC815" s="60"/>
      <c r="AD815" s="60"/>
    </row>
    <row r="816"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  <c r="AA816" s="60"/>
      <c r="AB816" s="60"/>
      <c r="AC816" s="60"/>
      <c r="AD816" s="60"/>
    </row>
    <row r="817"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  <c r="AA817" s="60"/>
      <c r="AB817" s="60"/>
      <c r="AC817" s="60"/>
      <c r="AD817" s="60"/>
    </row>
    <row r="818"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  <c r="AA818" s="60"/>
      <c r="AB818" s="60"/>
      <c r="AC818" s="60"/>
      <c r="AD818" s="60"/>
    </row>
    <row r="819"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  <c r="AA819" s="60"/>
      <c r="AB819" s="60"/>
      <c r="AC819" s="60"/>
      <c r="AD819" s="60"/>
    </row>
    <row r="820"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  <c r="AA820" s="60"/>
      <c r="AB820" s="60"/>
      <c r="AC820" s="60"/>
      <c r="AD820" s="60"/>
    </row>
    <row r="821"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  <c r="AA821" s="60"/>
      <c r="AB821" s="60"/>
      <c r="AC821" s="60"/>
      <c r="AD821" s="60"/>
    </row>
    <row r="822"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  <c r="AA822" s="60"/>
      <c r="AB822" s="60"/>
      <c r="AC822" s="60"/>
      <c r="AD822" s="60"/>
    </row>
    <row r="823"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  <c r="AA823" s="60"/>
      <c r="AB823" s="60"/>
      <c r="AC823" s="60"/>
      <c r="AD823" s="60"/>
    </row>
    <row r="824"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  <c r="AA824" s="60"/>
      <c r="AB824" s="60"/>
      <c r="AC824" s="60"/>
      <c r="AD824" s="60"/>
    </row>
    <row r="825"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  <c r="AA825" s="60"/>
      <c r="AB825" s="60"/>
      <c r="AC825" s="60"/>
      <c r="AD825" s="60"/>
    </row>
    <row r="826"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  <c r="AA826" s="60"/>
      <c r="AB826" s="60"/>
      <c r="AC826" s="60"/>
      <c r="AD826" s="60"/>
    </row>
    <row r="827"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  <c r="AA827" s="60"/>
      <c r="AB827" s="60"/>
      <c r="AC827" s="60"/>
      <c r="AD827" s="60"/>
    </row>
    <row r="828"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  <c r="AA828" s="60"/>
      <c r="AB828" s="60"/>
      <c r="AC828" s="60"/>
      <c r="AD828" s="60"/>
    </row>
    <row r="829"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  <c r="AA829" s="60"/>
      <c r="AB829" s="60"/>
      <c r="AC829" s="60"/>
      <c r="AD829" s="60"/>
    </row>
    <row r="830"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  <c r="AA830" s="60"/>
      <c r="AB830" s="60"/>
      <c r="AC830" s="60"/>
      <c r="AD830" s="60"/>
    </row>
    <row r="831"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  <c r="AA831" s="60"/>
      <c r="AB831" s="60"/>
      <c r="AC831" s="60"/>
      <c r="AD831" s="60"/>
    </row>
    <row r="832"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  <c r="AA832" s="60"/>
      <c r="AB832" s="60"/>
      <c r="AC832" s="60"/>
      <c r="AD832" s="60"/>
    </row>
    <row r="833"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  <c r="AA833" s="60"/>
      <c r="AB833" s="60"/>
      <c r="AC833" s="60"/>
      <c r="AD833" s="60"/>
    </row>
    <row r="834"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  <c r="AA834" s="60"/>
      <c r="AB834" s="60"/>
      <c r="AC834" s="60"/>
      <c r="AD834" s="60"/>
    </row>
    <row r="835"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  <c r="AA835" s="60"/>
      <c r="AB835" s="60"/>
      <c r="AC835" s="60"/>
      <c r="AD835" s="60"/>
    </row>
    <row r="836"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  <c r="AA836" s="60"/>
      <c r="AB836" s="60"/>
      <c r="AC836" s="60"/>
      <c r="AD836" s="60"/>
    </row>
    <row r="837"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  <c r="AA837" s="60"/>
      <c r="AB837" s="60"/>
      <c r="AC837" s="60"/>
      <c r="AD837" s="60"/>
    </row>
    <row r="838"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  <c r="AA838" s="60"/>
      <c r="AB838" s="60"/>
      <c r="AC838" s="60"/>
      <c r="AD838" s="60"/>
    </row>
    <row r="839"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  <c r="AA839" s="60"/>
      <c r="AB839" s="60"/>
      <c r="AC839" s="60"/>
      <c r="AD839" s="60"/>
    </row>
    <row r="840"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  <c r="AA840" s="60"/>
      <c r="AB840" s="60"/>
      <c r="AC840" s="60"/>
      <c r="AD840" s="60"/>
    </row>
    <row r="841"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  <c r="AA841" s="60"/>
      <c r="AB841" s="60"/>
      <c r="AC841" s="60"/>
      <c r="AD841" s="60"/>
    </row>
    <row r="842"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  <c r="AA842" s="60"/>
      <c r="AB842" s="60"/>
      <c r="AC842" s="60"/>
      <c r="AD842" s="60"/>
    </row>
    <row r="843"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  <c r="AA843" s="60"/>
      <c r="AB843" s="60"/>
      <c r="AC843" s="60"/>
      <c r="AD843" s="60"/>
    </row>
    <row r="844"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  <c r="AA844" s="60"/>
      <c r="AB844" s="60"/>
      <c r="AC844" s="60"/>
      <c r="AD844" s="60"/>
    </row>
    <row r="845"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  <c r="AA845" s="60"/>
      <c r="AB845" s="60"/>
      <c r="AC845" s="60"/>
      <c r="AD845" s="60"/>
    </row>
    <row r="846"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  <c r="AA846" s="60"/>
      <c r="AB846" s="60"/>
      <c r="AC846" s="60"/>
      <c r="AD846" s="60"/>
    </row>
    <row r="847"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  <c r="AA847" s="60"/>
      <c r="AB847" s="60"/>
      <c r="AC847" s="60"/>
      <c r="AD847" s="60"/>
    </row>
    <row r="848"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  <c r="AA848" s="60"/>
      <c r="AB848" s="60"/>
      <c r="AC848" s="60"/>
      <c r="AD848" s="60"/>
    </row>
    <row r="849"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  <c r="AA849" s="60"/>
      <c r="AB849" s="60"/>
      <c r="AC849" s="60"/>
      <c r="AD849" s="60"/>
    </row>
    <row r="850"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  <c r="AA850" s="60"/>
      <c r="AB850" s="60"/>
      <c r="AC850" s="60"/>
      <c r="AD850" s="60"/>
    </row>
    <row r="851"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  <c r="AA851" s="60"/>
      <c r="AB851" s="60"/>
      <c r="AC851" s="60"/>
      <c r="AD851" s="60"/>
    </row>
    <row r="852"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  <c r="AA852" s="60"/>
      <c r="AB852" s="60"/>
      <c r="AC852" s="60"/>
      <c r="AD852" s="60"/>
    </row>
    <row r="853"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  <c r="AA853" s="60"/>
      <c r="AB853" s="60"/>
      <c r="AC853" s="60"/>
      <c r="AD853" s="60"/>
    </row>
    <row r="854"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  <c r="AA854" s="60"/>
      <c r="AB854" s="60"/>
      <c r="AC854" s="60"/>
      <c r="AD854" s="60"/>
    </row>
    <row r="855"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  <c r="AA855" s="60"/>
      <c r="AB855" s="60"/>
      <c r="AC855" s="60"/>
      <c r="AD855" s="60"/>
    </row>
    <row r="856"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  <c r="AA856" s="60"/>
      <c r="AB856" s="60"/>
      <c r="AC856" s="60"/>
      <c r="AD856" s="60"/>
    </row>
    <row r="857"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  <c r="AA857" s="60"/>
      <c r="AB857" s="60"/>
      <c r="AC857" s="60"/>
      <c r="AD857" s="60"/>
    </row>
    <row r="858"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  <c r="AA858" s="60"/>
      <c r="AB858" s="60"/>
      <c r="AC858" s="60"/>
      <c r="AD858" s="60"/>
    </row>
    <row r="859"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  <c r="AA859" s="60"/>
      <c r="AB859" s="60"/>
      <c r="AC859" s="60"/>
      <c r="AD859" s="60"/>
    </row>
    <row r="860"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  <c r="AA860" s="60"/>
      <c r="AB860" s="60"/>
      <c r="AC860" s="60"/>
      <c r="AD860" s="60"/>
    </row>
    <row r="861"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  <c r="AA861" s="60"/>
      <c r="AB861" s="60"/>
      <c r="AC861" s="60"/>
      <c r="AD861" s="60"/>
    </row>
    <row r="862"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  <c r="AA862" s="60"/>
      <c r="AB862" s="60"/>
      <c r="AC862" s="60"/>
      <c r="AD862" s="60"/>
    </row>
    <row r="863"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  <c r="AA863" s="60"/>
      <c r="AB863" s="60"/>
      <c r="AC863" s="60"/>
      <c r="AD863" s="60"/>
    </row>
    <row r="864"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  <c r="AA864" s="60"/>
      <c r="AB864" s="60"/>
      <c r="AC864" s="60"/>
      <c r="AD864" s="60"/>
    </row>
    <row r="865"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  <c r="AA865" s="60"/>
      <c r="AB865" s="60"/>
      <c r="AC865" s="60"/>
      <c r="AD865" s="60"/>
    </row>
    <row r="866"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  <c r="AA866" s="60"/>
      <c r="AB866" s="60"/>
      <c r="AC866" s="60"/>
      <c r="AD866" s="60"/>
    </row>
    <row r="867"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  <c r="AA867" s="60"/>
      <c r="AB867" s="60"/>
      <c r="AC867" s="60"/>
      <c r="AD867" s="60"/>
    </row>
    <row r="868"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  <c r="AA868" s="60"/>
      <c r="AB868" s="60"/>
      <c r="AC868" s="60"/>
      <c r="AD868" s="60"/>
    </row>
    <row r="869"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  <c r="AA869" s="60"/>
      <c r="AB869" s="60"/>
      <c r="AC869" s="60"/>
      <c r="AD869" s="60"/>
    </row>
    <row r="870"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  <c r="AA870" s="60"/>
      <c r="AB870" s="60"/>
      <c r="AC870" s="60"/>
      <c r="AD870" s="60"/>
    </row>
    <row r="871"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  <c r="AA871" s="60"/>
      <c r="AB871" s="60"/>
      <c r="AC871" s="60"/>
      <c r="AD871" s="60"/>
    </row>
    <row r="872"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  <c r="AA872" s="60"/>
      <c r="AB872" s="60"/>
      <c r="AC872" s="60"/>
      <c r="AD872" s="60"/>
    </row>
    <row r="873"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  <c r="AA873" s="60"/>
      <c r="AB873" s="60"/>
      <c r="AC873" s="60"/>
      <c r="AD873" s="60"/>
    </row>
    <row r="874"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  <c r="AA874" s="60"/>
      <c r="AB874" s="60"/>
      <c r="AC874" s="60"/>
      <c r="AD874" s="60"/>
    </row>
    <row r="875"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  <c r="AA875" s="60"/>
      <c r="AB875" s="60"/>
      <c r="AC875" s="60"/>
      <c r="AD875" s="60"/>
    </row>
    <row r="876"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  <c r="AA876" s="60"/>
      <c r="AB876" s="60"/>
      <c r="AC876" s="60"/>
      <c r="AD876" s="60"/>
    </row>
    <row r="877"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  <c r="AA877" s="60"/>
      <c r="AB877" s="60"/>
      <c r="AC877" s="60"/>
      <c r="AD877" s="60"/>
    </row>
    <row r="878"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  <c r="AA878" s="60"/>
      <c r="AB878" s="60"/>
      <c r="AC878" s="60"/>
      <c r="AD878" s="60"/>
    </row>
    <row r="879"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  <c r="AA879" s="60"/>
      <c r="AB879" s="60"/>
      <c r="AC879" s="60"/>
      <c r="AD879" s="60"/>
    </row>
    <row r="880"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  <c r="AA880" s="60"/>
      <c r="AB880" s="60"/>
      <c r="AC880" s="60"/>
      <c r="AD880" s="60"/>
    </row>
    <row r="881"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  <c r="AA881" s="60"/>
      <c r="AB881" s="60"/>
      <c r="AC881" s="60"/>
      <c r="AD881" s="60"/>
    </row>
    <row r="882"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  <c r="AA882" s="60"/>
      <c r="AB882" s="60"/>
      <c r="AC882" s="60"/>
      <c r="AD882" s="60"/>
    </row>
    <row r="883"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  <c r="AA883" s="60"/>
      <c r="AB883" s="60"/>
      <c r="AC883" s="60"/>
      <c r="AD883" s="60"/>
    </row>
    <row r="884"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  <c r="AA884" s="60"/>
      <c r="AB884" s="60"/>
      <c r="AC884" s="60"/>
      <c r="AD884" s="60"/>
    </row>
    <row r="885"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  <c r="AA885" s="60"/>
      <c r="AB885" s="60"/>
      <c r="AC885" s="60"/>
      <c r="AD885" s="60"/>
    </row>
    <row r="886"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  <c r="AA886" s="60"/>
      <c r="AB886" s="60"/>
      <c r="AC886" s="60"/>
      <c r="AD886" s="60"/>
    </row>
    <row r="887"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  <c r="AA887" s="60"/>
      <c r="AB887" s="60"/>
      <c r="AC887" s="60"/>
      <c r="AD887" s="60"/>
    </row>
    <row r="888"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  <c r="AA888" s="60"/>
      <c r="AB888" s="60"/>
      <c r="AC888" s="60"/>
      <c r="AD888" s="60"/>
    </row>
    <row r="889"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  <c r="AA889" s="60"/>
      <c r="AB889" s="60"/>
      <c r="AC889" s="60"/>
      <c r="AD889" s="60"/>
    </row>
    <row r="890"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  <c r="AA890" s="60"/>
      <c r="AB890" s="60"/>
      <c r="AC890" s="60"/>
      <c r="AD890" s="60"/>
    </row>
    <row r="891"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  <c r="AA891" s="60"/>
      <c r="AB891" s="60"/>
      <c r="AC891" s="60"/>
      <c r="AD891" s="60"/>
    </row>
    <row r="892"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  <c r="AA892" s="60"/>
      <c r="AB892" s="60"/>
      <c r="AC892" s="60"/>
      <c r="AD892" s="60"/>
    </row>
    <row r="893"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  <c r="AA893" s="60"/>
      <c r="AB893" s="60"/>
      <c r="AC893" s="60"/>
      <c r="AD893" s="60"/>
    </row>
    <row r="894"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  <c r="AA894" s="60"/>
      <c r="AB894" s="60"/>
      <c r="AC894" s="60"/>
      <c r="AD894" s="60"/>
    </row>
    <row r="895"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  <c r="AA895" s="60"/>
      <c r="AB895" s="60"/>
      <c r="AC895" s="60"/>
      <c r="AD895" s="60"/>
    </row>
    <row r="896"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  <c r="AA896" s="60"/>
      <c r="AB896" s="60"/>
      <c r="AC896" s="60"/>
      <c r="AD896" s="60"/>
    </row>
    <row r="897"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  <c r="AA897" s="60"/>
      <c r="AB897" s="60"/>
      <c r="AC897" s="60"/>
      <c r="AD897" s="60"/>
    </row>
    <row r="898"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  <c r="AA898" s="60"/>
      <c r="AB898" s="60"/>
      <c r="AC898" s="60"/>
      <c r="AD898" s="60"/>
    </row>
    <row r="899"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  <c r="AA899" s="60"/>
      <c r="AB899" s="60"/>
      <c r="AC899" s="60"/>
      <c r="AD899" s="60"/>
    </row>
    <row r="900"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  <c r="AA900" s="60"/>
      <c r="AB900" s="60"/>
      <c r="AC900" s="60"/>
      <c r="AD900" s="60"/>
    </row>
    <row r="901"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  <c r="AA901" s="60"/>
      <c r="AB901" s="60"/>
      <c r="AC901" s="60"/>
      <c r="AD901" s="60"/>
    </row>
    <row r="902"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  <c r="AA902" s="60"/>
      <c r="AB902" s="60"/>
      <c r="AC902" s="60"/>
      <c r="AD902" s="60"/>
    </row>
    <row r="903"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  <c r="AA903" s="60"/>
      <c r="AB903" s="60"/>
      <c r="AC903" s="60"/>
      <c r="AD903" s="60"/>
    </row>
    <row r="904"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  <c r="AA904" s="60"/>
      <c r="AB904" s="60"/>
      <c r="AC904" s="60"/>
      <c r="AD904" s="60"/>
    </row>
    <row r="905"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  <c r="AA905" s="60"/>
      <c r="AB905" s="60"/>
      <c r="AC905" s="60"/>
      <c r="AD905" s="60"/>
    </row>
    <row r="906"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  <c r="AA906" s="60"/>
      <c r="AB906" s="60"/>
      <c r="AC906" s="60"/>
      <c r="AD906" s="60"/>
    </row>
    <row r="907"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  <c r="AA907" s="60"/>
      <c r="AB907" s="60"/>
      <c r="AC907" s="60"/>
      <c r="AD907" s="60"/>
    </row>
    <row r="908"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  <c r="AA908" s="60"/>
      <c r="AB908" s="60"/>
      <c r="AC908" s="60"/>
      <c r="AD908" s="60"/>
    </row>
    <row r="909"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  <c r="AA909" s="60"/>
      <c r="AB909" s="60"/>
      <c r="AC909" s="60"/>
      <c r="AD909" s="60"/>
    </row>
    <row r="910"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  <c r="AA910" s="60"/>
      <c r="AB910" s="60"/>
      <c r="AC910" s="60"/>
      <c r="AD910" s="60"/>
    </row>
    <row r="911"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  <c r="AA911" s="60"/>
      <c r="AB911" s="60"/>
      <c r="AC911" s="60"/>
      <c r="AD911" s="60"/>
    </row>
    <row r="912"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  <c r="AA912" s="60"/>
      <c r="AB912" s="60"/>
      <c r="AC912" s="60"/>
      <c r="AD912" s="60"/>
    </row>
    <row r="913"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  <c r="AA913" s="60"/>
      <c r="AB913" s="60"/>
      <c r="AC913" s="60"/>
      <c r="AD913" s="60"/>
    </row>
    <row r="914"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  <c r="AA914" s="60"/>
      <c r="AB914" s="60"/>
      <c r="AC914" s="60"/>
      <c r="AD914" s="60"/>
    </row>
    <row r="915"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  <c r="AA915" s="60"/>
      <c r="AB915" s="60"/>
      <c r="AC915" s="60"/>
      <c r="AD915" s="60"/>
    </row>
    <row r="916"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  <c r="AA916" s="60"/>
      <c r="AB916" s="60"/>
      <c r="AC916" s="60"/>
      <c r="AD916" s="60"/>
    </row>
    <row r="917"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  <c r="AA917" s="60"/>
      <c r="AB917" s="60"/>
      <c r="AC917" s="60"/>
      <c r="AD917" s="60"/>
    </row>
    <row r="918"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  <c r="AA918" s="60"/>
      <c r="AB918" s="60"/>
      <c r="AC918" s="60"/>
      <c r="AD918" s="60"/>
    </row>
    <row r="919"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  <c r="AA919" s="60"/>
      <c r="AB919" s="60"/>
      <c r="AC919" s="60"/>
      <c r="AD919" s="60"/>
    </row>
    <row r="920"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  <c r="AA920" s="60"/>
      <c r="AB920" s="60"/>
      <c r="AC920" s="60"/>
      <c r="AD920" s="60"/>
    </row>
    <row r="921"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  <c r="AA921" s="60"/>
      <c r="AB921" s="60"/>
      <c r="AC921" s="60"/>
      <c r="AD921" s="60"/>
    </row>
    <row r="922"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  <c r="AA922" s="60"/>
      <c r="AB922" s="60"/>
      <c r="AC922" s="60"/>
      <c r="AD922" s="60"/>
    </row>
    <row r="923"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  <c r="AA923" s="60"/>
      <c r="AB923" s="60"/>
      <c r="AC923" s="60"/>
      <c r="AD923" s="60"/>
    </row>
    <row r="924"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  <c r="AA924" s="60"/>
      <c r="AB924" s="60"/>
      <c r="AC924" s="60"/>
      <c r="AD924" s="60"/>
    </row>
    <row r="925"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  <c r="AA925" s="60"/>
      <c r="AB925" s="60"/>
      <c r="AC925" s="60"/>
      <c r="AD925" s="60"/>
    </row>
    <row r="926"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  <c r="AA926" s="60"/>
      <c r="AB926" s="60"/>
      <c r="AC926" s="60"/>
      <c r="AD926" s="60"/>
    </row>
    <row r="927"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  <c r="AA927" s="60"/>
      <c r="AB927" s="60"/>
      <c r="AC927" s="60"/>
      <c r="AD927" s="60"/>
    </row>
    <row r="928"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  <c r="AA928" s="60"/>
      <c r="AB928" s="60"/>
      <c r="AC928" s="60"/>
      <c r="AD928" s="60"/>
    </row>
    <row r="929"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  <c r="AA929" s="60"/>
      <c r="AB929" s="60"/>
      <c r="AC929" s="60"/>
      <c r="AD929" s="60"/>
    </row>
    <row r="930"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  <c r="AA930" s="60"/>
      <c r="AB930" s="60"/>
      <c r="AC930" s="60"/>
      <c r="AD930" s="60"/>
    </row>
    <row r="931"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  <c r="AA931" s="60"/>
      <c r="AB931" s="60"/>
      <c r="AC931" s="60"/>
      <c r="AD931" s="60"/>
    </row>
    <row r="932"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  <c r="AA932" s="60"/>
      <c r="AB932" s="60"/>
      <c r="AC932" s="60"/>
      <c r="AD932" s="60"/>
    </row>
    <row r="933"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  <c r="AA933" s="60"/>
      <c r="AB933" s="60"/>
      <c r="AC933" s="60"/>
      <c r="AD933" s="60"/>
    </row>
    <row r="934"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  <c r="AA934" s="60"/>
      <c r="AB934" s="60"/>
      <c r="AC934" s="60"/>
      <c r="AD934" s="60"/>
    </row>
    <row r="935"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  <c r="AA935" s="60"/>
      <c r="AB935" s="60"/>
      <c r="AC935" s="60"/>
      <c r="AD935" s="60"/>
    </row>
    <row r="936"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  <c r="AA936" s="60"/>
      <c r="AB936" s="60"/>
      <c r="AC936" s="60"/>
      <c r="AD936" s="60"/>
    </row>
    <row r="937"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  <c r="AA937" s="60"/>
      <c r="AB937" s="60"/>
      <c r="AC937" s="60"/>
      <c r="AD937" s="60"/>
    </row>
    <row r="938"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  <c r="AA938" s="60"/>
      <c r="AB938" s="60"/>
      <c r="AC938" s="60"/>
      <c r="AD938" s="60"/>
    </row>
    <row r="939"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  <c r="AA939" s="60"/>
      <c r="AB939" s="60"/>
      <c r="AC939" s="60"/>
      <c r="AD939" s="60"/>
    </row>
    <row r="940"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  <c r="AA940" s="60"/>
      <c r="AB940" s="60"/>
      <c r="AC940" s="60"/>
      <c r="AD940" s="60"/>
    </row>
    <row r="941"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  <c r="AA941" s="60"/>
      <c r="AB941" s="60"/>
      <c r="AC941" s="60"/>
      <c r="AD941" s="60"/>
    </row>
    <row r="942"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  <c r="AA942" s="60"/>
      <c r="AB942" s="60"/>
      <c r="AC942" s="60"/>
      <c r="AD942" s="60"/>
    </row>
    <row r="943"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  <c r="AA943" s="60"/>
      <c r="AB943" s="60"/>
      <c r="AC943" s="60"/>
      <c r="AD943" s="60"/>
    </row>
    <row r="944"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  <c r="AA944" s="60"/>
      <c r="AB944" s="60"/>
      <c r="AC944" s="60"/>
      <c r="AD944" s="60"/>
    </row>
    <row r="945"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  <c r="AA945" s="60"/>
      <c r="AB945" s="60"/>
      <c r="AC945" s="60"/>
      <c r="AD945" s="60"/>
    </row>
    <row r="946"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  <c r="AA946" s="60"/>
      <c r="AB946" s="60"/>
      <c r="AC946" s="60"/>
      <c r="AD946" s="60"/>
    </row>
    <row r="947"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  <c r="AA947" s="60"/>
      <c r="AB947" s="60"/>
      <c r="AC947" s="60"/>
      <c r="AD947" s="60"/>
    </row>
    <row r="948"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  <c r="AA948" s="60"/>
      <c r="AB948" s="60"/>
      <c r="AC948" s="60"/>
      <c r="AD948" s="60"/>
    </row>
    <row r="949"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  <c r="AA949" s="60"/>
      <c r="AB949" s="60"/>
      <c r="AC949" s="60"/>
      <c r="AD949" s="60"/>
    </row>
    <row r="950"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  <c r="AA950" s="60"/>
      <c r="AB950" s="60"/>
      <c r="AC950" s="60"/>
      <c r="AD950" s="60"/>
    </row>
    <row r="951"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  <c r="AA951" s="60"/>
      <c r="AB951" s="60"/>
      <c r="AC951" s="60"/>
      <c r="AD951" s="60"/>
    </row>
    <row r="952"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  <c r="AA952" s="60"/>
      <c r="AB952" s="60"/>
      <c r="AC952" s="60"/>
      <c r="AD952" s="60"/>
    </row>
    <row r="953"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  <c r="AA953" s="60"/>
      <c r="AB953" s="60"/>
      <c r="AC953" s="60"/>
      <c r="AD953" s="60"/>
    </row>
    <row r="954"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  <c r="AA954" s="60"/>
      <c r="AB954" s="60"/>
      <c r="AC954" s="60"/>
      <c r="AD954" s="60"/>
    </row>
    <row r="955"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  <c r="AA955" s="60"/>
      <c r="AB955" s="60"/>
      <c r="AC955" s="60"/>
      <c r="AD955" s="60"/>
    </row>
    <row r="956"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  <c r="AA956" s="60"/>
      <c r="AB956" s="60"/>
      <c r="AC956" s="60"/>
      <c r="AD956" s="60"/>
    </row>
    <row r="957"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  <c r="AA957" s="60"/>
      <c r="AB957" s="60"/>
      <c r="AC957" s="60"/>
      <c r="AD957" s="60"/>
    </row>
    <row r="958"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  <c r="AA958" s="60"/>
      <c r="AB958" s="60"/>
      <c r="AC958" s="60"/>
      <c r="AD958" s="60"/>
    </row>
    <row r="959"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  <c r="AA959" s="60"/>
      <c r="AB959" s="60"/>
      <c r="AC959" s="60"/>
      <c r="AD959" s="60"/>
    </row>
    <row r="960"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  <c r="AA960" s="60"/>
      <c r="AB960" s="60"/>
      <c r="AC960" s="60"/>
      <c r="AD960" s="60"/>
    </row>
    <row r="961"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  <c r="AA961" s="60"/>
      <c r="AB961" s="60"/>
      <c r="AC961" s="60"/>
      <c r="AD961" s="60"/>
    </row>
    <row r="962"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  <c r="AA962" s="60"/>
      <c r="AB962" s="60"/>
      <c r="AC962" s="60"/>
      <c r="AD962" s="60"/>
    </row>
    <row r="963"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  <c r="AA963" s="60"/>
      <c r="AB963" s="60"/>
      <c r="AC963" s="60"/>
      <c r="AD963" s="60"/>
    </row>
    <row r="964"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  <c r="AA964" s="60"/>
      <c r="AB964" s="60"/>
      <c r="AC964" s="60"/>
      <c r="AD964" s="60"/>
    </row>
    <row r="965"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  <c r="AA965" s="60"/>
      <c r="AB965" s="60"/>
      <c r="AC965" s="60"/>
      <c r="AD965" s="60"/>
    </row>
    <row r="966"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  <c r="AA966" s="60"/>
      <c r="AB966" s="60"/>
      <c r="AC966" s="60"/>
      <c r="AD966" s="60"/>
    </row>
    <row r="967"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  <c r="AA967" s="60"/>
      <c r="AB967" s="60"/>
      <c r="AC967" s="60"/>
      <c r="AD967" s="60"/>
    </row>
    <row r="968"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  <c r="AA968" s="60"/>
      <c r="AB968" s="60"/>
      <c r="AC968" s="60"/>
      <c r="AD968" s="60"/>
    </row>
    <row r="969"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  <c r="AA969" s="60"/>
      <c r="AB969" s="60"/>
      <c r="AC969" s="60"/>
      <c r="AD969" s="60"/>
    </row>
    <row r="970"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  <c r="AA970" s="60"/>
      <c r="AB970" s="60"/>
      <c r="AC970" s="60"/>
      <c r="AD970" s="60"/>
    </row>
    <row r="971"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  <c r="AA971" s="60"/>
      <c r="AB971" s="60"/>
      <c r="AC971" s="60"/>
      <c r="AD971" s="60"/>
    </row>
    <row r="972"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  <c r="AA972" s="60"/>
      <c r="AB972" s="60"/>
      <c r="AC972" s="60"/>
      <c r="AD972" s="60"/>
    </row>
    <row r="973"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  <c r="AA973" s="60"/>
      <c r="AB973" s="60"/>
      <c r="AC973" s="60"/>
      <c r="AD973" s="60"/>
    </row>
    <row r="974"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  <c r="AA974" s="60"/>
      <c r="AB974" s="60"/>
      <c r="AC974" s="60"/>
      <c r="AD974" s="60"/>
    </row>
    <row r="975"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  <c r="AA975" s="60"/>
      <c r="AB975" s="60"/>
      <c r="AC975" s="60"/>
      <c r="AD975" s="60"/>
    </row>
    <row r="976"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  <c r="AA976" s="60"/>
      <c r="AB976" s="60"/>
      <c r="AC976" s="60"/>
      <c r="AD976" s="60"/>
    </row>
    <row r="977"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  <c r="AA977" s="60"/>
      <c r="AB977" s="60"/>
      <c r="AC977" s="60"/>
      <c r="AD977" s="60"/>
    </row>
    <row r="978"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  <c r="AA978" s="60"/>
      <c r="AB978" s="60"/>
      <c r="AC978" s="60"/>
      <c r="AD978" s="60"/>
    </row>
    <row r="979"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  <c r="AA979" s="60"/>
      <c r="AB979" s="60"/>
      <c r="AC979" s="60"/>
      <c r="AD979" s="60"/>
    </row>
    <row r="980"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  <c r="AA980" s="60"/>
      <c r="AB980" s="60"/>
      <c r="AC980" s="60"/>
      <c r="AD980" s="60"/>
    </row>
    <row r="981"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  <c r="AA981" s="60"/>
      <c r="AB981" s="60"/>
      <c r="AC981" s="60"/>
      <c r="AD981" s="60"/>
    </row>
    <row r="982"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  <c r="AA982" s="60"/>
      <c r="AB982" s="60"/>
      <c r="AC982" s="60"/>
      <c r="AD982" s="60"/>
    </row>
    <row r="983"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  <c r="AA983" s="60"/>
      <c r="AB983" s="60"/>
      <c r="AC983" s="60"/>
      <c r="AD983" s="60"/>
    </row>
    <row r="984"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  <c r="AA984" s="60"/>
      <c r="AB984" s="60"/>
      <c r="AC984" s="60"/>
      <c r="AD984" s="60"/>
    </row>
    <row r="985"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  <c r="AA985" s="60"/>
      <c r="AB985" s="60"/>
      <c r="AC985" s="60"/>
      <c r="AD985" s="60"/>
    </row>
    <row r="986"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  <c r="AA986" s="60"/>
      <c r="AB986" s="60"/>
      <c r="AC986" s="60"/>
      <c r="AD986" s="60"/>
    </row>
    <row r="987"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  <c r="AA987" s="60"/>
      <c r="AB987" s="60"/>
      <c r="AC987" s="60"/>
      <c r="AD987" s="60"/>
    </row>
    <row r="988"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  <c r="AA988" s="60"/>
      <c r="AB988" s="60"/>
      <c r="AC988" s="60"/>
      <c r="AD988" s="60"/>
    </row>
    <row r="989"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  <c r="AA989" s="60"/>
      <c r="AB989" s="60"/>
      <c r="AC989" s="60"/>
      <c r="AD989" s="60"/>
    </row>
    <row r="990"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  <c r="AA990" s="60"/>
      <c r="AB990" s="60"/>
      <c r="AC990" s="60"/>
      <c r="AD990" s="60"/>
    </row>
    <row r="991"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  <c r="AA991" s="60"/>
      <c r="AB991" s="60"/>
      <c r="AC991" s="60"/>
      <c r="AD991" s="60"/>
    </row>
    <row r="992"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  <c r="AA992" s="60"/>
      <c r="AB992" s="60"/>
      <c r="AC992" s="60"/>
      <c r="AD992" s="60"/>
    </row>
    <row r="993"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  <c r="AA993" s="60"/>
      <c r="AB993" s="60"/>
      <c r="AC993" s="60"/>
      <c r="AD993" s="60"/>
    </row>
    <row r="994"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  <c r="AA994" s="60"/>
      <c r="AB994" s="60"/>
      <c r="AC994" s="60"/>
      <c r="AD994" s="60"/>
    </row>
    <row r="995"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  <c r="AA995" s="60"/>
      <c r="AB995" s="60"/>
      <c r="AC995" s="60"/>
      <c r="AD995" s="60"/>
    </row>
    <row r="996"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  <c r="AA996" s="60"/>
      <c r="AB996" s="60"/>
      <c r="AC996" s="60"/>
      <c r="AD996" s="60"/>
    </row>
    <row r="997"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  <c r="AA997" s="60"/>
      <c r="AB997" s="60"/>
      <c r="AC997" s="60"/>
      <c r="AD997" s="60"/>
    </row>
    <row r="998"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  <c r="AA998" s="60"/>
      <c r="AB998" s="60"/>
      <c r="AC998" s="60"/>
      <c r="AD998" s="60"/>
    </row>
    <row r="999"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  <c r="AA999" s="60"/>
      <c r="AB999" s="60"/>
      <c r="AC999" s="60"/>
      <c r="AD999" s="60"/>
    </row>
    <row r="1000"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  <c r="AA1000" s="60"/>
      <c r="AB1000" s="60"/>
      <c r="AC1000" s="60"/>
      <c r="AD1000" s="6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13" width="18.88"/>
    <col customWidth="1" min="14" max="31" width="19.0"/>
    <col customWidth="1" min="32" max="37" width="19.63"/>
  </cols>
  <sheetData>
    <row r="1" ht="40.5" customHeight="1">
      <c r="A1" s="88" t="s">
        <v>185</v>
      </c>
      <c r="B1" s="113" t="s">
        <v>186</v>
      </c>
      <c r="C1" s="114" t="s">
        <v>187</v>
      </c>
      <c r="D1" s="114" t="s">
        <v>187</v>
      </c>
      <c r="E1" s="114" t="s">
        <v>187</v>
      </c>
      <c r="F1" s="113" t="s">
        <v>154</v>
      </c>
      <c r="G1" s="89" t="s">
        <v>155</v>
      </c>
      <c r="H1" s="89" t="s">
        <v>156</v>
      </c>
      <c r="I1" s="89" t="s">
        <v>157</v>
      </c>
      <c r="J1" s="90" t="s">
        <v>139</v>
      </c>
      <c r="K1" s="90" t="s">
        <v>141</v>
      </c>
      <c r="L1" s="90" t="s">
        <v>140</v>
      </c>
      <c r="M1" s="90" t="s">
        <v>142</v>
      </c>
      <c r="N1" s="115" t="s">
        <v>146</v>
      </c>
      <c r="O1" s="116" t="s">
        <v>160</v>
      </c>
      <c r="P1" s="116" t="s">
        <v>161</v>
      </c>
      <c r="Q1" s="116" t="s">
        <v>162</v>
      </c>
      <c r="R1" s="117" t="s">
        <v>163</v>
      </c>
      <c r="S1" s="113" t="s">
        <v>164</v>
      </c>
      <c r="T1" s="113" t="s">
        <v>165</v>
      </c>
      <c r="U1" s="118" t="s">
        <v>166</v>
      </c>
      <c r="V1" s="115" t="s">
        <v>167</v>
      </c>
      <c r="W1" s="119" t="s">
        <v>168</v>
      </c>
      <c r="X1" s="119" t="s">
        <v>169</v>
      </c>
      <c r="Y1" s="119" t="s">
        <v>170</v>
      </c>
      <c r="Z1" s="120" t="s">
        <v>171</v>
      </c>
      <c r="AA1" s="118" t="s">
        <v>172</v>
      </c>
      <c r="AB1" s="118" t="s">
        <v>173</v>
      </c>
      <c r="AC1" s="118" t="s">
        <v>174</v>
      </c>
      <c r="AD1" s="115" t="s">
        <v>175</v>
      </c>
      <c r="AE1" s="115" t="s">
        <v>176</v>
      </c>
      <c r="AF1" s="91" t="s">
        <v>177</v>
      </c>
      <c r="AG1" s="91" t="s">
        <v>178</v>
      </c>
      <c r="AH1" s="92" t="s">
        <v>147</v>
      </c>
      <c r="AI1" s="89" t="s">
        <v>179</v>
      </c>
      <c r="AJ1" s="89" t="s">
        <v>180</v>
      </c>
      <c r="AK1" s="90" t="s">
        <v>148</v>
      </c>
    </row>
    <row r="2" ht="38.25" customHeight="1">
      <c r="A2" s="93" t="s">
        <v>188</v>
      </c>
      <c r="B2" s="96">
        <f>SUM('EVOLUÇÃO_MENSAL'!B2:B4)</f>
        <v>199512.33</v>
      </c>
      <c r="C2" s="104">
        <f>SUM('EVOLUÇÃO_MENSAL'!C2:C4)</f>
        <v>530400</v>
      </c>
      <c r="D2" s="104">
        <f>SUM('EVOLUÇÃO_MENSAL'!D2:D4)</f>
        <v>0</v>
      </c>
      <c r="E2" s="104">
        <f>SUM('EVOLUÇÃO_MENSAL'!E2:E4)</f>
        <v>0</v>
      </c>
      <c r="F2" s="104">
        <f>SUM('EVOLUÇÃO_MENSAL'!F2:F4)</f>
        <v>96</v>
      </c>
      <c r="G2" s="104">
        <f>SUM('EVOLUÇÃO_MENSAL'!G2:G4)</f>
        <v>8</v>
      </c>
      <c r="H2" s="104">
        <f>SUM('EVOLUÇÃO_MENSAL'!H2:H4)</f>
        <v>139725</v>
      </c>
      <c r="I2" s="104">
        <f>SUM('EVOLUÇÃO_MENSAL'!I2:I4)</f>
        <v>5440</v>
      </c>
      <c r="J2" s="96">
        <f t="shared" ref="J2:J5" si="1">if(F2 = 0, 0, round(B2/F2,2))</f>
        <v>2078.25</v>
      </c>
      <c r="K2" s="121">
        <f t="shared" ref="K2:K5" si="2">if(F2 = 0, 0, round(C2/F2,2))</f>
        <v>5525</v>
      </c>
      <c r="L2" s="96">
        <f t="shared" ref="L2:L5" si="3">if(H2 = 0, 0, round(B2/H2,2))</f>
        <v>1.43</v>
      </c>
      <c r="M2" s="105">
        <f t="shared" ref="M2:M5" si="4">if(H2 = 0, 0, round(C2/H2,2))</f>
        <v>3.8</v>
      </c>
      <c r="N2" s="122">
        <f>IF(F2 = 0, 0, SUMPRODUCT('EVOLUÇÃO_MENSAL'!N$2:N$4, 'EVOLUÇÃO_MENSAL'!F$2:F$4) / F2)</f>
        <v>0.08800520833</v>
      </c>
      <c r="O2" s="123">
        <f>SUM('EVOLUÇÃO_MENSAL'!O2:O4)</f>
        <v>152978.78</v>
      </c>
      <c r="P2" s="124">
        <f>SUM('EVOLUÇÃO_MENSAL'!P2:P4)</f>
        <v>65</v>
      </c>
      <c r="Q2" s="102">
        <f t="shared" ref="Q2:Q5" si="5">IF($F2 = 0, 0, P2/$F2)</f>
        <v>0.6770833333</v>
      </c>
      <c r="R2" s="106">
        <f t="shared" ref="R2:R5" si="6">if( P2 = 0, 0, round( O2 / P2, 2))</f>
        <v>2353.52</v>
      </c>
      <c r="S2" s="96">
        <f>SUM('EVOLUÇÃO_MENSAL'!S2:S4)</f>
        <v>36538.27</v>
      </c>
      <c r="T2" s="125">
        <f>SUM('EVOLUÇÃO_MENSAL'!T2:T4)</f>
        <v>25</v>
      </c>
      <c r="U2" s="99">
        <f t="shared" ref="U2:U5" si="7">IF($F2 = 0, 0, T2/$F2)</f>
        <v>0.2604166667</v>
      </c>
      <c r="V2" s="108">
        <f t="shared" ref="V2:V5" si="8">if( T2 = 0, 0, round( S2 / T2, 2))</f>
        <v>1461.53</v>
      </c>
      <c r="W2" s="123">
        <f>SUM('EVOLUÇÃO_MENSAL'!W2:W4)</f>
        <v>9995.28</v>
      </c>
      <c r="X2" s="124">
        <f>SUM('EVOLUÇÃO_MENSAL'!X2:X4)</f>
        <v>6</v>
      </c>
      <c r="Y2" s="102">
        <f t="shared" ref="Y2:Y5" si="9">IF($F2 = 0, 0, X2/$F2)</f>
        <v>0.0625</v>
      </c>
      <c r="Z2" s="106">
        <f t="shared" ref="Z2:Z5" si="10">if( X2 = 0, 0, round( W2 / X2, 2))</f>
        <v>1665.88</v>
      </c>
      <c r="AA2" s="96">
        <f>SUM('EVOLUÇÃO_MENSAL'!AA2:AA4)</f>
        <v>265.6</v>
      </c>
      <c r="AB2" s="104">
        <f>SUM('EVOLUÇÃO_MENSAL'!AB2:AB4)</f>
        <v>4</v>
      </c>
      <c r="AC2" s="125">
        <f>SUM('EVOLUÇÃO_MENSAL'!AC2:AC4)</f>
        <v>760</v>
      </c>
      <c r="AD2" s="108">
        <f t="shared" ref="AD2:AD5" si="11">if( AB2 = 0, 0, round( AA2 / AB2, 2))</f>
        <v>66.4</v>
      </c>
      <c r="AE2" s="108">
        <f t="shared" ref="AE2:AE5" si="12">if( AC2 = 0, 0, round( AA2 / AC2, 2))</f>
        <v>0.35</v>
      </c>
      <c r="AF2" s="123">
        <f>SUM('EVOLUÇÃO_MENSAL'!AF2:AF4)</f>
        <v>30018.01</v>
      </c>
      <c r="AG2" s="124">
        <f>SUM('EVOLUÇÃO_MENSAL'!AG2:AG4)</f>
        <v>67</v>
      </c>
      <c r="AH2" s="126">
        <f t="shared" ref="AH2:AH5" si="13">if( AG2 = 0, 0, round( AF2 / AG2, 2))</f>
        <v>448.03</v>
      </c>
      <c r="AI2" s="96">
        <f>SUM('EVOLUÇÃO_MENSAL'!AI2:AI4)</f>
        <v>230695.94</v>
      </c>
      <c r="AJ2" s="125">
        <f>SUM('EVOLUÇÃO_MENSAL'!AJ2:AJ4)</f>
        <v>24</v>
      </c>
      <c r="AK2" s="108">
        <f t="shared" ref="AK2:AK5" si="14">if( AJ2 = 0, 0, round( AI2 / AJ2, 2))</f>
        <v>9612.33</v>
      </c>
    </row>
    <row r="3" ht="38.25" customHeight="1">
      <c r="A3" s="93" t="s">
        <v>189</v>
      </c>
      <c r="B3" s="96">
        <f>SUM('EVOLUÇÃO_MENSAL'!B5:B7)</f>
        <v>0</v>
      </c>
      <c r="C3" s="104">
        <f>SUM('EVOLUÇÃO_MENSAL'!C5:C7)</f>
        <v>0</v>
      </c>
      <c r="D3" s="104">
        <f>SUM('EVOLUÇÃO_MENSAL'!D5:D7)</f>
        <v>0</v>
      </c>
      <c r="E3" s="104">
        <f>SUM('EVOLUÇÃO_MENSAL'!E5:E7)</f>
        <v>0</v>
      </c>
      <c r="F3" s="104">
        <f>SUM('EVOLUÇÃO_MENSAL'!F5:F7)</f>
        <v>0</v>
      </c>
      <c r="G3" s="104">
        <f>SUM('EVOLUÇÃO_MENSAL'!G5:G7)</f>
        <v>0</v>
      </c>
      <c r="H3" s="104">
        <f>SUM('EVOLUÇÃO_MENSAL'!H5:H7)</f>
        <v>0</v>
      </c>
      <c r="I3" s="104">
        <f>SUM('EVOLUÇÃO_MENSAL'!I5:I7)</f>
        <v>0</v>
      </c>
      <c r="J3" s="96">
        <f t="shared" si="1"/>
        <v>0</v>
      </c>
      <c r="K3" s="121">
        <f t="shared" si="2"/>
        <v>0</v>
      </c>
      <c r="L3" s="96">
        <f t="shared" si="3"/>
        <v>0</v>
      </c>
      <c r="M3" s="105">
        <f t="shared" si="4"/>
        <v>0</v>
      </c>
      <c r="N3" s="122">
        <f>IF(F3 = 0, 0, SUMPRODUCT('EVOLUÇÃO_MENSAL'!N$5:N$7, 'EVOLUÇÃO_MENSAL'!F$5:F$7) / F3)</f>
        <v>0</v>
      </c>
      <c r="O3" s="123">
        <f>SUM('EVOLUÇÃO_MENSAL'!O5:O7)</f>
        <v>0</v>
      </c>
      <c r="P3" s="124">
        <f>SUM('EVOLUÇÃO_MENSAL'!P5:P7)</f>
        <v>0</v>
      </c>
      <c r="Q3" s="102">
        <f t="shared" si="5"/>
        <v>0</v>
      </c>
      <c r="R3" s="106">
        <f t="shared" si="6"/>
        <v>0</v>
      </c>
      <c r="S3" s="96">
        <f>SUM('EVOLUÇÃO_MENSAL'!S5:S7)</f>
        <v>0</v>
      </c>
      <c r="T3" s="125">
        <f>SUM('EVOLUÇÃO_MENSAL'!T5:T7)</f>
        <v>0</v>
      </c>
      <c r="U3" s="99">
        <f t="shared" si="7"/>
        <v>0</v>
      </c>
      <c r="V3" s="108">
        <f t="shared" si="8"/>
        <v>0</v>
      </c>
      <c r="W3" s="123">
        <f>SUM('EVOLUÇÃO_MENSAL'!W5:W7)</f>
        <v>0</v>
      </c>
      <c r="X3" s="124">
        <f>SUM('EVOLUÇÃO_MENSAL'!X5:X7)</f>
        <v>0</v>
      </c>
      <c r="Y3" s="102">
        <f t="shared" si="9"/>
        <v>0</v>
      </c>
      <c r="Z3" s="106">
        <f t="shared" si="10"/>
        <v>0</v>
      </c>
      <c r="AA3" s="96">
        <f>SUM('EVOLUÇÃO_MENSAL'!AA5:AA7)</f>
        <v>0</v>
      </c>
      <c r="AB3" s="104">
        <f>SUM('EVOLUÇÃO_MENSAL'!AB5:AB7)</f>
        <v>0</v>
      </c>
      <c r="AC3" s="125">
        <f>SUM('EVOLUÇÃO_MENSAL'!AC5:AC7)</f>
        <v>0</v>
      </c>
      <c r="AD3" s="108">
        <f t="shared" si="11"/>
        <v>0</v>
      </c>
      <c r="AE3" s="108">
        <f t="shared" si="12"/>
        <v>0</v>
      </c>
      <c r="AF3" s="123">
        <f>SUM('EVOLUÇÃO_MENSAL'!AF5:AF7)</f>
        <v>0</v>
      </c>
      <c r="AG3" s="124">
        <f>SUM('EVOLUÇÃO_MENSAL'!AG5:AG7)</f>
        <v>0</v>
      </c>
      <c r="AH3" s="126">
        <f t="shared" si="13"/>
        <v>0</v>
      </c>
      <c r="AI3" s="96">
        <f>SUM('EVOLUÇÃO_MENSAL'!AI5:AI7)</f>
        <v>0</v>
      </c>
      <c r="AJ3" s="125">
        <f>SUM('EVOLUÇÃO_MENSAL'!AJ5:AJ7)</f>
        <v>0</v>
      </c>
      <c r="AK3" s="108">
        <f t="shared" si="14"/>
        <v>0</v>
      </c>
    </row>
    <row r="4" ht="38.25" customHeight="1">
      <c r="A4" s="93" t="s">
        <v>190</v>
      </c>
      <c r="B4" s="96">
        <f>SUM('EVOLUÇÃO_MENSAL'!B8:B10)</f>
        <v>0</v>
      </c>
      <c r="C4" s="104">
        <f>SUM('EVOLUÇÃO_MENSAL'!C8:C10)</f>
        <v>0</v>
      </c>
      <c r="D4" s="104">
        <f>SUM('EVOLUÇÃO_MENSAL'!D8:D10)</f>
        <v>0</v>
      </c>
      <c r="E4" s="104">
        <f>SUM('EVOLUÇÃO_MENSAL'!E8:E10)</f>
        <v>0</v>
      </c>
      <c r="F4" s="104">
        <f>SUM('EVOLUÇÃO_MENSAL'!F8:F10)</f>
        <v>0</v>
      </c>
      <c r="G4" s="104">
        <f>SUM('EVOLUÇÃO_MENSAL'!G8:G10)</f>
        <v>0</v>
      </c>
      <c r="H4" s="104">
        <f>SUM('EVOLUÇÃO_MENSAL'!H8:H10)</f>
        <v>0</v>
      </c>
      <c r="I4" s="104">
        <f>SUM('EVOLUÇÃO_MENSAL'!I8:I10)</f>
        <v>0</v>
      </c>
      <c r="J4" s="96">
        <f t="shared" si="1"/>
        <v>0</v>
      </c>
      <c r="K4" s="121">
        <f t="shared" si="2"/>
        <v>0</v>
      </c>
      <c r="L4" s="96">
        <f t="shared" si="3"/>
        <v>0</v>
      </c>
      <c r="M4" s="105">
        <f t="shared" si="4"/>
        <v>0</v>
      </c>
      <c r="N4" s="122">
        <f>IF(F4 = 0, 0, SUMPRODUCT('EVOLUÇÃO_MENSAL'!N$8:N$10, 'EVOLUÇÃO_MENSAL'!F$8:F$10) / F4)</f>
        <v>0</v>
      </c>
      <c r="O4" s="123">
        <f>SUM('EVOLUÇÃO_MENSAL'!O8:O10)</f>
        <v>0</v>
      </c>
      <c r="P4" s="124">
        <f>SUM('EVOLUÇÃO_MENSAL'!P8:P10)</f>
        <v>0</v>
      </c>
      <c r="Q4" s="102">
        <f t="shared" si="5"/>
        <v>0</v>
      </c>
      <c r="R4" s="106">
        <f t="shared" si="6"/>
        <v>0</v>
      </c>
      <c r="S4" s="96">
        <f>SUM('EVOLUÇÃO_MENSAL'!S8:S10)</f>
        <v>0</v>
      </c>
      <c r="T4" s="125">
        <f>SUM('EVOLUÇÃO_MENSAL'!T8:T10)</f>
        <v>0</v>
      </c>
      <c r="U4" s="99">
        <f t="shared" si="7"/>
        <v>0</v>
      </c>
      <c r="V4" s="108">
        <f t="shared" si="8"/>
        <v>0</v>
      </c>
      <c r="W4" s="123">
        <f>SUM('EVOLUÇÃO_MENSAL'!W8:W10)</f>
        <v>0</v>
      </c>
      <c r="X4" s="124">
        <f>SUM('EVOLUÇÃO_MENSAL'!X8:X10)</f>
        <v>0</v>
      </c>
      <c r="Y4" s="102">
        <f t="shared" si="9"/>
        <v>0</v>
      </c>
      <c r="Z4" s="106">
        <f t="shared" si="10"/>
        <v>0</v>
      </c>
      <c r="AA4" s="96">
        <f>SUM('EVOLUÇÃO_MENSAL'!AA8:AA10)</f>
        <v>0</v>
      </c>
      <c r="AB4" s="104">
        <f>SUM('EVOLUÇÃO_MENSAL'!AB8:AB10)</f>
        <v>0</v>
      </c>
      <c r="AC4" s="125">
        <f>SUM('EVOLUÇÃO_MENSAL'!AC8:AC10)</f>
        <v>0</v>
      </c>
      <c r="AD4" s="108">
        <f t="shared" si="11"/>
        <v>0</v>
      </c>
      <c r="AE4" s="108">
        <f t="shared" si="12"/>
        <v>0</v>
      </c>
      <c r="AF4" s="123">
        <f>SUM('EVOLUÇÃO_MENSAL'!AF8:AF10)</f>
        <v>0</v>
      </c>
      <c r="AG4" s="124">
        <f>SUM('EVOLUÇÃO_MENSAL'!AG8:AG10)</f>
        <v>0</v>
      </c>
      <c r="AH4" s="126">
        <f t="shared" si="13"/>
        <v>0</v>
      </c>
      <c r="AI4" s="96">
        <f>SUM('EVOLUÇÃO_MENSAL'!AI8:AI10)</f>
        <v>0</v>
      </c>
      <c r="AJ4" s="125">
        <f>SUM('EVOLUÇÃO_MENSAL'!AJ8:AJ10)</f>
        <v>0</v>
      </c>
      <c r="AK4" s="108">
        <f t="shared" si="14"/>
        <v>0</v>
      </c>
    </row>
    <row r="5" ht="38.25" customHeight="1">
      <c r="A5" s="93" t="s">
        <v>191</v>
      </c>
      <c r="B5" s="96">
        <f>SUM('EVOLUÇÃO_MENSAL'!B11:B13)</f>
        <v>0</v>
      </c>
      <c r="C5" s="104">
        <f>SUM('EVOLUÇÃO_MENSAL'!C11:C13)</f>
        <v>0</v>
      </c>
      <c r="D5" s="104">
        <f>SUM('EVOLUÇÃO_MENSAL'!D11:D13)</f>
        <v>0</v>
      </c>
      <c r="E5" s="104">
        <f>SUM('EVOLUÇÃO_MENSAL'!E11:E13)</f>
        <v>0</v>
      </c>
      <c r="F5" s="104">
        <f>SUM('EVOLUÇÃO_MENSAL'!F11:F13)</f>
        <v>0</v>
      </c>
      <c r="G5" s="104">
        <f>SUM('EVOLUÇÃO_MENSAL'!G11:G13)</f>
        <v>0</v>
      </c>
      <c r="H5" s="104">
        <f>SUM('EVOLUÇÃO_MENSAL'!H11:H13)</f>
        <v>0</v>
      </c>
      <c r="I5" s="104">
        <f>SUM('EVOLUÇÃO_MENSAL'!I11:I13)</f>
        <v>0</v>
      </c>
      <c r="J5" s="96">
        <f t="shared" si="1"/>
        <v>0</v>
      </c>
      <c r="K5" s="121">
        <f t="shared" si="2"/>
        <v>0</v>
      </c>
      <c r="L5" s="96">
        <f t="shared" si="3"/>
        <v>0</v>
      </c>
      <c r="M5" s="105">
        <f t="shared" si="4"/>
        <v>0</v>
      </c>
      <c r="N5" s="122">
        <f>IF(F5 = 0, 0, SUMPRODUCT('EVOLUÇÃO_MENSAL'!N$11:N$13, 'EVOLUÇÃO_MENSAL'!F$11:F$13) / F5)</f>
        <v>0</v>
      </c>
      <c r="O5" s="123">
        <f>SUM('EVOLUÇÃO_MENSAL'!O11:O13)</f>
        <v>0</v>
      </c>
      <c r="P5" s="124">
        <f>SUM('EVOLUÇÃO_MENSAL'!P11:P13)</f>
        <v>0</v>
      </c>
      <c r="Q5" s="102">
        <f t="shared" si="5"/>
        <v>0</v>
      </c>
      <c r="R5" s="106">
        <f t="shared" si="6"/>
        <v>0</v>
      </c>
      <c r="S5" s="96">
        <f>SUM('EVOLUÇÃO_MENSAL'!S11:S13)</f>
        <v>0</v>
      </c>
      <c r="T5" s="125">
        <f>SUM('EVOLUÇÃO_MENSAL'!T11:T13)</f>
        <v>0</v>
      </c>
      <c r="U5" s="99">
        <f t="shared" si="7"/>
        <v>0</v>
      </c>
      <c r="V5" s="108">
        <f t="shared" si="8"/>
        <v>0</v>
      </c>
      <c r="W5" s="123">
        <f>SUM('EVOLUÇÃO_MENSAL'!W11:W13)</f>
        <v>0</v>
      </c>
      <c r="X5" s="124">
        <f>SUM('EVOLUÇÃO_MENSAL'!X11:X13)</f>
        <v>0</v>
      </c>
      <c r="Y5" s="102">
        <f t="shared" si="9"/>
        <v>0</v>
      </c>
      <c r="Z5" s="106">
        <f t="shared" si="10"/>
        <v>0</v>
      </c>
      <c r="AA5" s="96">
        <f>SUM('EVOLUÇÃO_MENSAL'!AA11:AA13)</f>
        <v>0</v>
      </c>
      <c r="AB5" s="104">
        <f>SUM('EVOLUÇÃO_MENSAL'!AB11:AB13)</f>
        <v>0</v>
      </c>
      <c r="AC5" s="125">
        <f>SUM('EVOLUÇÃO_MENSAL'!AC11:AC13)</f>
        <v>0</v>
      </c>
      <c r="AD5" s="108">
        <f t="shared" si="11"/>
        <v>0</v>
      </c>
      <c r="AE5" s="108">
        <f t="shared" si="12"/>
        <v>0</v>
      </c>
      <c r="AF5" s="123">
        <f>SUM('EVOLUÇÃO_MENSAL'!AF11:AF13)</f>
        <v>0</v>
      </c>
      <c r="AG5" s="124">
        <f>SUM('EVOLUÇÃO_MENSAL'!AG11:AG13)</f>
        <v>0</v>
      </c>
      <c r="AH5" s="126">
        <f t="shared" si="13"/>
        <v>0</v>
      </c>
      <c r="AI5" s="96">
        <f>SUM('EVOLUÇÃO_MENSAL'!AI11:AI13)</f>
        <v>0</v>
      </c>
      <c r="AJ5" s="125">
        <f>SUM('EVOLUÇÃO_MENSAL'!AJ11:AJ13)</f>
        <v>0</v>
      </c>
      <c r="AK5" s="108">
        <f t="shared" si="14"/>
        <v>0</v>
      </c>
    </row>
    <row r="6" ht="30.75" customHeight="1">
      <c r="A6" s="127"/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73"/>
      <c r="O6" s="128"/>
      <c r="P6" s="128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</row>
    <row r="7" ht="30.75" customHeight="1">
      <c r="A7" s="127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73"/>
      <c r="O7" s="128"/>
      <c r="P7" s="128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</row>
    <row r="8" ht="30.75" customHeight="1">
      <c r="A8" s="127"/>
      <c r="B8" s="128"/>
      <c r="C8" s="128"/>
      <c r="D8" s="128"/>
      <c r="E8" s="128"/>
      <c r="F8" s="128"/>
      <c r="G8" s="128"/>
      <c r="H8" s="128"/>
      <c r="I8" s="128"/>
      <c r="J8" s="128"/>
      <c r="K8" s="128"/>
      <c r="L8" s="128"/>
      <c r="M8" s="128"/>
      <c r="N8" s="73"/>
      <c r="O8" s="128"/>
      <c r="P8" s="128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</row>
    <row r="9" ht="30.75" customHeight="1">
      <c r="A9" s="127"/>
      <c r="B9" s="128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8"/>
      <c r="N9" s="73"/>
      <c r="O9" s="128"/>
      <c r="P9" s="128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</row>
    <row r="10" ht="30.75" customHeight="1">
      <c r="A10" s="127"/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73"/>
      <c r="O10" s="128"/>
      <c r="P10" s="128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</row>
    <row r="11" ht="30.75" customHeight="1">
      <c r="A11" s="127"/>
      <c r="B11" s="128"/>
      <c r="C11" s="128"/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73"/>
      <c r="O11" s="128"/>
      <c r="P11" s="128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</row>
    <row r="12" ht="30.75" customHeight="1">
      <c r="A12" s="127"/>
      <c r="B12" s="128"/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73"/>
      <c r="O12" s="128"/>
      <c r="P12" s="128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</row>
    <row r="13" ht="30.75" customHeight="1">
      <c r="A13" s="127"/>
      <c r="B13" s="128"/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73"/>
      <c r="O13" s="128"/>
      <c r="P13" s="128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</row>
    <row r="14"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O14" s="60"/>
      <c r="P14" s="60"/>
    </row>
    <row r="15"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O15" s="60"/>
      <c r="P15" s="60"/>
    </row>
    <row r="16"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O16" s="60"/>
      <c r="P16" s="60"/>
    </row>
    <row r="17"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O17" s="60"/>
      <c r="P17" s="60"/>
    </row>
    <row r="18"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O18" s="60"/>
      <c r="P18" s="60"/>
    </row>
    <row r="19"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O19" s="60"/>
      <c r="P19" s="60"/>
    </row>
    <row r="20"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O20" s="60"/>
      <c r="P20" s="60"/>
    </row>
    <row r="21"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O21" s="60"/>
      <c r="P21" s="60"/>
    </row>
    <row r="22"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O22" s="60"/>
      <c r="P22" s="60"/>
    </row>
    <row r="23"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O23" s="60"/>
      <c r="P23" s="60"/>
    </row>
    <row r="24"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O24" s="60"/>
      <c r="P24" s="60"/>
    </row>
    <row r="25"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O25" s="60"/>
      <c r="P25" s="60"/>
    </row>
    <row r="26"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O26" s="60"/>
      <c r="P26" s="60"/>
    </row>
    <row r="27"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O27" s="60"/>
      <c r="P27" s="60"/>
    </row>
    <row r="28"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O28" s="60"/>
      <c r="P28" s="60"/>
    </row>
    <row r="29"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O29" s="60"/>
      <c r="P29" s="60"/>
    </row>
    <row r="30"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O30" s="60"/>
      <c r="P30" s="60"/>
    </row>
    <row r="31"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O31" s="60"/>
      <c r="P31" s="60"/>
    </row>
    <row r="32"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O32" s="60"/>
      <c r="P32" s="60"/>
    </row>
    <row r="33"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O33" s="60"/>
      <c r="P33" s="60"/>
    </row>
    <row r="34"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O34" s="60"/>
      <c r="P34" s="60"/>
    </row>
    <row r="35"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O35" s="60"/>
      <c r="P35" s="60"/>
    </row>
    <row r="36"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O36" s="60"/>
      <c r="P36" s="60"/>
    </row>
    <row r="37"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O37" s="60"/>
      <c r="P37" s="60"/>
    </row>
    <row r="38"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O38" s="60"/>
      <c r="P38" s="60"/>
    </row>
    <row r="39"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O39" s="60"/>
      <c r="P39" s="60"/>
    </row>
    <row r="40"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O40" s="60"/>
      <c r="P40" s="60"/>
    </row>
    <row r="41"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O41" s="60"/>
      <c r="P41" s="60"/>
    </row>
    <row r="42"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O42" s="60"/>
      <c r="P42" s="60"/>
    </row>
    <row r="43"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O43" s="60"/>
      <c r="P43" s="60"/>
    </row>
    <row r="44"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O44" s="60"/>
      <c r="P44" s="60"/>
    </row>
    <row r="45"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O45" s="60"/>
      <c r="P45" s="60"/>
    </row>
    <row r="46"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O46" s="60"/>
      <c r="P46" s="60"/>
    </row>
    <row r="47"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O47" s="60"/>
      <c r="P47" s="60"/>
    </row>
    <row r="48"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O48" s="60"/>
      <c r="P48" s="60"/>
    </row>
    <row r="49"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O49" s="60"/>
      <c r="P49" s="60"/>
    </row>
    <row r="50"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O50" s="60"/>
      <c r="P50" s="60"/>
    </row>
    <row r="51"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O51" s="60"/>
      <c r="P51" s="60"/>
    </row>
    <row r="52"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O52" s="60"/>
      <c r="P52" s="60"/>
    </row>
    <row r="53"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O53" s="60"/>
      <c r="P53" s="60"/>
    </row>
    <row r="54"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O54" s="60"/>
      <c r="P54" s="60"/>
    </row>
    <row r="55"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O55" s="60"/>
      <c r="P55" s="60"/>
    </row>
    <row r="56"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O56" s="60"/>
      <c r="P56" s="60"/>
    </row>
    <row r="57"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O57" s="60"/>
      <c r="P57" s="60"/>
    </row>
    <row r="58"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O58" s="60"/>
      <c r="P58" s="60"/>
    </row>
    <row r="59"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O59" s="60"/>
      <c r="P59" s="60"/>
    </row>
    <row r="60"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O60" s="60"/>
      <c r="P60" s="60"/>
    </row>
    <row r="61"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O61" s="60"/>
      <c r="P61" s="60"/>
    </row>
    <row r="62"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O62" s="60"/>
      <c r="P62" s="60"/>
    </row>
    <row r="63"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O63" s="60"/>
      <c r="P63" s="60"/>
    </row>
    <row r="64"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O64" s="60"/>
      <c r="P64" s="60"/>
    </row>
    <row r="65"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O65" s="60"/>
      <c r="P65" s="60"/>
    </row>
    <row r="66"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O66" s="60"/>
      <c r="P66" s="60"/>
    </row>
    <row r="67"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O67" s="60"/>
      <c r="P67" s="60"/>
    </row>
    <row r="68"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O68" s="60"/>
      <c r="P68" s="60"/>
    </row>
    <row r="69"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O69" s="60"/>
      <c r="P69" s="60"/>
    </row>
    <row r="70"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O70" s="60"/>
      <c r="P70" s="60"/>
    </row>
    <row r="71"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O71" s="60"/>
      <c r="P71" s="60"/>
    </row>
    <row r="72"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O72" s="60"/>
      <c r="P72" s="60"/>
    </row>
    <row r="73"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O73" s="60"/>
      <c r="P73" s="60"/>
    </row>
    <row r="74"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O74" s="60"/>
      <c r="P74" s="60"/>
    </row>
    <row r="75"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O75" s="60"/>
      <c r="P75" s="60"/>
    </row>
    <row r="76"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O76" s="60"/>
      <c r="P76" s="60"/>
    </row>
    <row r="77"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O77" s="60"/>
      <c r="P77" s="60"/>
    </row>
    <row r="78"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O78" s="60"/>
      <c r="P78" s="60"/>
    </row>
    <row r="79"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O79" s="60"/>
      <c r="P79" s="60"/>
    </row>
    <row r="80"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O80" s="60"/>
      <c r="P80" s="60"/>
    </row>
    <row r="81"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O81" s="60"/>
      <c r="P81" s="60"/>
    </row>
    <row r="82"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O82" s="60"/>
      <c r="P82" s="60"/>
    </row>
    <row r="83"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O83" s="60"/>
      <c r="P83" s="60"/>
    </row>
    <row r="84"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O84" s="60"/>
      <c r="P84" s="60"/>
    </row>
    <row r="85"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O85" s="60"/>
      <c r="P85" s="60"/>
    </row>
    <row r="86"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O86" s="60"/>
      <c r="P86" s="60"/>
    </row>
    <row r="87"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O87" s="60"/>
      <c r="P87" s="60"/>
    </row>
    <row r="88"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O88" s="60"/>
      <c r="P88" s="60"/>
    </row>
    <row r="89"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O89" s="60"/>
      <c r="P89" s="60"/>
    </row>
    <row r="90"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O90" s="60"/>
      <c r="P90" s="60"/>
    </row>
    <row r="91"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O91" s="60"/>
      <c r="P91" s="60"/>
    </row>
    <row r="92"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O92" s="60"/>
      <c r="P92" s="60"/>
    </row>
    <row r="93"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O93" s="60"/>
      <c r="P93" s="60"/>
    </row>
    <row r="94"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O94" s="60"/>
      <c r="P94" s="60"/>
    </row>
    <row r="95"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O95" s="60"/>
      <c r="P95" s="60"/>
    </row>
    <row r="96"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O96" s="60"/>
      <c r="P96" s="60"/>
    </row>
    <row r="97"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O97" s="60"/>
      <c r="P97" s="60"/>
    </row>
    <row r="98"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O98" s="60"/>
      <c r="P98" s="60"/>
    </row>
    <row r="99"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O99" s="60"/>
      <c r="P99" s="60"/>
    </row>
    <row r="100"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O100" s="60"/>
      <c r="P100" s="60"/>
    </row>
    <row r="101"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O101" s="60"/>
      <c r="P101" s="60"/>
    </row>
    <row r="102"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O102" s="60"/>
      <c r="P102" s="60"/>
    </row>
    <row r="103"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O103" s="60"/>
      <c r="P103" s="60"/>
    </row>
    <row r="104"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O104" s="60"/>
      <c r="P104" s="60"/>
    </row>
    <row r="105"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O105" s="60"/>
      <c r="P105" s="60"/>
    </row>
    <row r="106"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O106" s="60"/>
      <c r="P106" s="60"/>
    </row>
    <row r="107"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O107" s="60"/>
      <c r="P107" s="60"/>
    </row>
    <row r="108"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O108" s="60"/>
      <c r="P108" s="60"/>
    </row>
    <row r="109"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O109" s="60"/>
      <c r="P109" s="60"/>
    </row>
    <row r="110"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O110" s="60"/>
      <c r="P110" s="60"/>
    </row>
    <row r="111"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O111" s="60"/>
      <c r="P111" s="60"/>
    </row>
    <row r="112"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O112" s="60"/>
      <c r="P112" s="60"/>
    </row>
    <row r="113"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O113" s="60"/>
      <c r="P113" s="60"/>
    </row>
    <row r="114"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O114" s="60"/>
      <c r="P114" s="60"/>
    </row>
    <row r="115"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O115" s="60"/>
      <c r="P115" s="60"/>
    </row>
    <row r="116"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O116" s="60"/>
      <c r="P116" s="60"/>
    </row>
    <row r="117"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O117" s="60"/>
      <c r="P117" s="60"/>
    </row>
    <row r="118"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O118" s="60"/>
      <c r="P118" s="60"/>
    </row>
    <row r="119"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O119" s="60"/>
      <c r="P119" s="60"/>
    </row>
    <row r="120"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O120" s="60"/>
      <c r="P120" s="60"/>
    </row>
    <row r="121"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O121" s="60"/>
      <c r="P121" s="60"/>
    </row>
    <row r="122"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O122" s="60"/>
      <c r="P122" s="60"/>
    </row>
    <row r="123"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O123" s="60"/>
      <c r="P123" s="60"/>
    </row>
    <row r="124"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O124" s="60"/>
      <c r="P124" s="60"/>
    </row>
    <row r="125"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O125" s="60"/>
      <c r="P125" s="60"/>
    </row>
    <row r="126"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O126" s="60"/>
      <c r="P126" s="60"/>
    </row>
    <row r="127"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O127" s="60"/>
      <c r="P127" s="60"/>
    </row>
    <row r="128"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O128" s="60"/>
      <c r="P128" s="60"/>
    </row>
    <row r="129"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O129" s="60"/>
      <c r="P129" s="60"/>
    </row>
    <row r="130"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O130" s="60"/>
      <c r="P130" s="60"/>
    </row>
    <row r="131"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O131" s="60"/>
      <c r="P131" s="60"/>
    </row>
    <row r="132"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O132" s="60"/>
      <c r="P132" s="60"/>
    </row>
    <row r="133"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O133" s="60"/>
      <c r="P133" s="60"/>
    </row>
    <row r="134"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O134" s="60"/>
      <c r="P134" s="60"/>
    </row>
    <row r="135"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O135" s="60"/>
      <c r="P135" s="60"/>
    </row>
    <row r="136"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O136" s="60"/>
      <c r="P136" s="60"/>
    </row>
    <row r="137"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O137" s="60"/>
      <c r="P137" s="60"/>
    </row>
    <row r="138"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O138" s="60"/>
      <c r="P138" s="60"/>
    </row>
    <row r="139"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O139" s="60"/>
      <c r="P139" s="60"/>
    </row>
    <row r="140"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O140" s="60"/>
      <c r="P140" s="60"/>
    </row>
    <row r="141"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O141" s="60"/>
      <c r="P141" s="60"/>
    </row>
    <row r="142"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O142" s="60"/>
      <c r="P142" s="60"/>
    </row>
    <row r="143"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O143" s="60"/>
      <c r="P143" s="60"/>
    </row>
    <row r="144"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O144" s="60"/>
      <c r="P144" s="60"/>
    </row>
    <row r="145"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O145" s="60"/>
      <c r="P145" s="60"/>
    </row>
    <row r="146"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O146" s="60"/>
      <c r="P146" s="60"/>
    </row>
    <row r="147"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O147" s="60"/>
      <c r="P147" s="60"/>
    </row>
    <row r="148"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O148" s="60"/>
      <c r="P148" s="60"/>
    </row>
    <row r="149"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O149" s="60"/>
      <c r="P149" s="60"/>
    </row>
    <row r="150"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O150" s="60"/>
      <c r="P150" s="60"/>
    </row>
    <row r="151"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O151" s="60"/>
      <c r="P151" s="60"/>
    </row>
    <row r="152"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O152" s="60"/>
      <c r="P152" s="60"/>
    </row>
    <row r="153"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O153" s="60"/>
      <c r="P153" s="60"/>
    </row>
    <row r="154"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O154" s="60"/>
      <c r="P154" s="60"/>
    </row>
    <row r="155"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O155" s="60"/>
      <c r="P155" s="60"/>
    </row>
    <row r="156"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O156" s="60"/>
      <c r="P156" s="60"/>
    </row>
    <row r="157"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O157" s="60"/>
      <c r="P157" s="60"/>
    </row>
    <row r="158"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O158" s="60"/>
      <c r="P158" s="60"/>
    </row>
    <row r="159"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O159" s="60"/>
      <c r="P159" s="60"/>
    </row>
    <row r="160"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O160" s="60"/>
      <c r="P160" s="60"/>
    </row>
    <row r="161"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O161" s="60"/>
      <c r="P161" s="60"/>
    </row>
    <row r="162"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O162" s="60"/>
      <c r="P162" s="60"/>
    </row>
    <row r="163"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O163" s="60"/>
      <c r="P163" s="60"/>
    </row>
    <row r="164"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O164" s="60"/>
      <c r="P164" s="60"/>
    </row>
    <row r="165"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O165" s="60"/>
      <c r="P165" s="60"/>
    </row>
    <row r="166"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O166" s="60"/>
      <c r="P166" s="60"/>
    </row>
    <row r="167"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O167" s="60"/>
      <c r="P167" s="60"/>
    </row>
    <row r="168"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O168" s="60"/>
      <c r="P168" s="60"/>
    </row>
    <row r="169"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O169" s="60"/>
      <c r="P169" s="60"/>
    </row>
    <row r="170"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O170" s="60"/>
      <c r="P170" s="60"/>
    </row>
    <row r="171"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O171" s="60"/>
      <c r="P171" s="60"/>
    </row>
    <row r="172"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O172" s="60"/>
      <c r="P172" s="60"/>
    </row>
    <row r="173"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O173" s="60"/>
      <c r="P173" s="60"/>
    </row>
    <row r="174"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O174" s="60"/>
      <c r="P174" s="60"/>
    </row>
    <row r="175"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O175" s="60"/>
      <c r="P175" s="60"/>
    </row>
    <row r="176"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O176" s="60"/>
      <c r="P176" s="60"/>
    </row>
    <row r="177"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O177" s="60"/>
      <c r="P177" s="60"/>
    </row>
    <row r="178"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O178" s="60"/>
      <c r="P178" s="60"/>
    </row>
    <row r="179"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O179" s="60"/>
      <c r="P179" s="60"/>
    </row>
    <row r="180"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O180" s="60"/>
      <c r="P180" s="60"/>
    </row>
    <row r="181"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O181" s="60"/>
      <c r="P181" s="60"/>
    </row>
    <row r="182"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O182" s="60"/>
      <c r="P182" s="60"/>
    </row>
    <row r="183"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O183" s="60"/>
      <c r="P183" s="60"/>
    </row>
    <row r="184"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O184" s="60"/>
      <c r="P184" s="60"/>
    </row>
    <row r="185"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O185" s="60"/>
      <c r="P185" s="60"/>
    </row>
    <row r="186"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O186" s="60"/>
      <c r="P186" s="60"/>
    </row>
    <row r="187"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O187" s="60"/>
      <c r="P187" s="60"/>
    </row>
    <row r="188"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O188" s="60"/>
      <c r="P188" s="60"/>
    </row>
    <row r="189"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O189" s="60"/>
      <c r="P189" s="60"/>
    </row>
    <row r="190"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O190" s="60"/>
      <c r="P190" s="60"/>
    </row>
    <row r="191"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O191" s="60"/>
      <c r="P191" s="60"/>
    </row>
    <row r="192"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O192" s="60"/>
      <c r="P192" s="60"/>
    </row>
    <row r="193"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O193" s="60"/>
      <c r="P193" s="60"/>
    </row>
    <row r="194"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O194" s="60"/>
      <c r="P194" s="60"/>
    </row>
    <row r="195"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O195" s="60"/>
      <c r="P195" s="60"/>
    </row>
    <row r="196"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O196" s="60"/>
      <c r="P196" s="60"/>
    </row>
    <row r="197"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O197" s="60"/>
      <c r="P197" s="60"/>
    </row>
    <row r="198"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O198" s="60"/>
      <c r="P198" s="60"/>
    </row>
    <row r="199"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O199" s="60"/>
      <c r="P199" s="60"/>
    </row>
    <row r="200"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O200" s="60"/>
      <c r="P200" s="60"/>
    </row>
    <row r="201"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O201" s="60"/>
      <c r="P201" s="60"/>
    </row>
    <row r="202"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O202" s="60"/>
      <c r="P202" s="60"/>
    </row>
    <row r="203"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O203" s="60"/>
      <c r="P203" s="60"/>
    </row>
    <row r="204"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O204" s="60"/>
      <c r="P204" s="60"/>
    </row>
    <row r="205"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O205" s="60"/>
      <c r="P205" s="60"/>
    </row>
    <row r="206"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O206" s="60"/>
      <c r="P206" s="60"/>
    </row>
    <row r="207"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O207" s="60"/>
      <c r="P207" s="60"/>
    </row>
    <row r="208"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O208" s="60"/>
      <c r="P208" s="60"/>
    </row>
    <row r="209"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O209" s="60"/>
      <c r="P209" s="60"/>
    </row>
    <row r="210"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O210" s="60"/>
      <c r="P210" s="60"/>
    </row>
    <row r="211"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O211" s="60"/>
      <c r="P211" s="60"/>
    </row>
    <row r="212"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O212" s="60"/>
      <c r="P212" s="60"/>
    </row>
    <row r="213"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O213" s="60"/>
      <c r="P213" s="60"/>
    </row>
    <row r="214"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O214" s="60"/>
      <c r="P214" s="60"/>
    </row>
    <row r="215"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O215" s="60"/>
      <c r="P215" s="60"/>
    </row>
    <row r="216"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O216" s="60"/>
      <c r="P216" s="60"/>
    </row>
    <row r="217"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O217" s="60"/>
      <c r="P217" s="60"/>
    </row>
    <row r="218"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O218" s="60"/>
      <c r="P218" s="60"/>
    </row>
    <row r="219"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O219" s="60"/>
      <c r="P219" s="60"/>
    </row>
    <row r="220"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O220" s="60"/>
      <c r="P220" s="60"/>
    </row>
    <row r="221"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O221" s="60"/>
      <c r="P221" s="60"/>
    </row>
    <row r="222"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O222" s="60"/>
      <c r="P222" s="60"/>
    </row>
    <row r="223"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O223" s="60"/>
      <c r="P223" s="60"/>
    </row>
    <row r="224"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O224" s="60"/>
      <c r="P224" s="60"/>
    </row>
    <row r="225"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O225" s="60"/>
      <c r="P225" s="60"/>
    </row>
    <row r="226"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O226" s="60"/>
      <c r="P226" s="60"/>
    </row>
    <row r="227"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O227" s="60"/>
      <c r="P227" s="60"/>
    </row>
    <row r="228"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O228" s="60"/>
      <c r="P228" s="60"/>
    </row>
    <row r="229"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O229" s="60"/>
      <c r="P229" s="60"/>
    </row>
    <row r="230"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O230" s="60"/>
      <c r="P230" s="60"/>
    </row>
    <row r="231"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O231" s="60"/>
      <c r="P231" s="60"/>
    </row>
    <row r="232"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O232" s="60"/>
      <c r="P232" s="60"/>
    </row>
    <row r="233"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O233" s="60"/>
      <c r="P233" s="60"/>
    </row>
    <row r="234"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O234" s="60"/>
      <c r="P234" s="60"/>
    </row>
    <row r="235"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O235" s="60"/>
      <c r="P235" s="60"/>
    </row>
    <row r="236"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O236" s="60"/>
      <c r="P236" s="60"/>
    </row>
    <row r="237"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O237" s="60"/>
      <c r="P237" s="60"/>
    </row>
    <row r="238"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O238" s="60"/>
      <c r="P238" s="60"/>
    </row>
    <row r="239"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O239" s="60"/>
      <c r="P239" s="60"/>
    </row>
    <row r="240"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O240" s="60"/>
      <c r="P240" s="60"/>
    </row>
    <row r="241"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O241" s="60"/>
      <c r="P241" s="60"/>
    </row>
    <row r="242"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O242" s="60"/>
      <c r="P242" s="60"/>
    </row>
    <row r="243"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O243" s="60"/>
      <c r="P243" s="60"/>
    </row>
    <row r="244"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O244" s="60"/>
      <c r="P244" s="60"/>
    </row>
    <row r="245"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O245" s="60"/>
      <c r="P245" s="60"/>
    </row>
    <row r="246"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O246" s="60"/>
      <c r="P246" s="60"/>
    </row>
    <row r="247"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O247" s="60"/>
      <c r="P247" s="60"/>
    </row>
    <row r="248"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O248" s="60"/>
      <c r="P248" s="60"/>
    </row>
    <row r="249"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O249" s="60"/>
      <c r="P249" s="60"/>
    </row>
    <row r="250"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O250" s="60"/>
      <c r="P250" s="60"/>
    </row>
    <row r="251"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O251" s="60"/>
      <c r="P251" s="60"/>
    </row>
    <row r="252"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O252" s="60"/>
      <c r="P252" s="60"/>
    </row>
    <row r="253"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O253" s="60"/>
      <c r="P253" s="60"/>
    </row>
    <row r="254"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O254" s="60"/>
      <c r="P254" s="60"/>
    </row>
    <row r="255"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O255" s="60"/>
      <c r="P255" s="60"/>
    </row>
    <row r="256"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O256" s="60"/>
      <c r="P256" s="60"/>
    </row>
    <row r="257"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O257" s="60"/>
      <c r="P257" s="60"/>
    </row>
    <row r="258"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O258" s="60"/>
      <c r="P258" s="60"/>
    </row>
    <row r="259"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O259" s="60"/>
      <c r="P259" s="60"/>
    </row>
    <row r="260"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O260" s="60"/>
      <c r="P260" s="60"/>
    </row>
    <row r="261"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O261" s="60"/>
      <c r="P261" s="60"/>
    </row>
    <row r="262"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O262" s="60"/>
      <c r="P262" s="60"/>
    </row>
    <row r="263"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O263" s="60"/>
      <c r="P263" s="60"/>
    </row>
    <row r="264"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O264" s="60"/>
      <c r="P264" s="60"/>
    </row>
    <row r="265"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O265" s="60"/>
      <c r="P265" s="60"/>
    </row>
    <row r="266"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O266" s="60"/>
      <c r="P266" s="60"/>
    </row>
    <row r="267"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O267" s="60"/>
      <c r="P267" s="60"/>
    </row>
    <row r="268"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O268" s="60"/>
      <c r="P268" s="60"/>
    </row>
    <row r="269"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O269" s="60"/>
      <c r="P269" s="60"/>
    </row>
    <row r="270"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O270" s="60"/>
      <c r="P270" s="60"/>
    </row>
    <row r="271"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O271" s="60"/>
      <c r="P271" s="60"/>
    </row>
    <row r="272"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O272" s="60"/>
      <c r="P272" s="60"/>
    </row>
    <row r="273"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O273" s="60"/>
      <c r="P273" s="60"/>
    </row>
    <row r="274"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O274" s="60"/>
      <c r="P274" s="60"/>
    </row>
    <row r="275"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O275" s="60"/>
      <c r="P275" s="60"/>
    </row>
    <row r="276"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O276" s="60"/>
      <c r="P276" s="60"/>
    </row>
    <row r="277"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O277" s="60"/>
      <c r="P277" s="60"/>
    </row>
    <row r="278"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O278" s="60"/>
      <c r="P278" s="60"/>
    </row>
    <row r="279"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O279" s="60"/>
      <c r="P279" s="60"/>
    </row>
    <row r="280"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O280" s="60"/>
      <c r="P280" s="60"/>
    </row>
    <row r="281"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O281" s="60"/>
      <c r="P281" s="60"/>
    </row>
    <row r="282"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O282" s="60"/>
      <c r="P282" s="60"/>
    </row>
    <row r="283"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O283" s="60"/>
      <c r="P283" s="60"/>
    </row>
    <row r="284"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O284" s="60"/>
      <c r="P284" s="60"/>
    </row>
    <row r="285"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O285" s="60"/>
      <c r="P285" s="60"/>
    </row>
    <row r="286"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O286" s="60"/>
      <c r="P286" s="60"/>
    </row>
    <row r="287"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O287" s="60"/>
      <c r="P287" s="60"/>
    </row>
    <row r="288"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O288" s="60"/>
      <c r="P288" s="60"/>
    </row>
    <row r="289"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O289" s="60"/>
      <c r="P289" s="60"/>
    </row>
    <row r="290"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O290" s="60"/>
      <c r="P290" s="60"/>
    </row>
    <row r="291"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O291" s="60"/>
      <c r="P291" s="60"/>
    </row>
    <row r="292"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O292" s="60"/>
      <c r="P292" s="60"/>
    </row>
    <row r="293"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O293" s="60"/>
      <c r="P293" s="60"/>
    </row>
    <row r="294"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O294" s="60"/>
      <c r="P294" s="60"/>
    </row>
    <row r="295"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O295" s="60"/>
      <c r="P295" s="60"/>
    </row>
    <row r="296"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O296" s="60"/>
      <c r="P296" s="60"/>
    </row>
    <row r="297"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O297" s="60"/>
      <c r="P297" s="60"/>
    </row>
    <row r="298"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O298" s="60"/>
      <c r="P298" s="60"/>
    </row>
    <row r="299"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O299" s="60"/>
      <c r="P299" s="60"/>
    </row>
    <row r="300"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O300" s="60"/>
      <c r="P300" s="60"/>
    </row>
    <row r="301"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O301" s="60"/>
      <c r="P301" s="60"/>
    </row>
    <row r="302"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O302" s="60"/>
      <c r="P302" s="60"/>
    </row>
    <row r="303"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O303" s="60"/>
      <c r="P303" s="60"/>
    </row>
    <row r="304"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O304" s="60"/>
      <c r="P304" s="60"/>
    </row>
    <row r="305"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O305" s="60"/>
      <c r="P305" s="60"/>
    </row>
    <row r="306"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O306" s="60"/>
      <c r="P306" s="60"/>
    </row>
    <row r="307"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O307" s="60"/>
      <c r="P307" s="60"/>
    </row>
    <row r="308"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O308" s="60"/>
      <c r="P308" s="60"/>
    </row>
    <row r="309"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O309" s="60"/>
      <c r="P309" s="60"/>
    </row>
    <row r="310"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O310" s="60"/>
      <c r="P310" s="60"/>
    </row>
    <row r="311"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O311" s="60"/>
      <c r="P311" s="60"/>
    </row>
    <row r="312"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O312" s="60"/>
      <c r="P312" s="60"/>
    </row>
    <row r="313"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O313" s="60"/>
      <c r="P313" s="60"/>
    </row>
    <row r="314"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O314" s="60"/>
      <c r="P314" s="60"/>
    </row>
    <row r="315"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O315" s="60"/>
      <c r="P315" s="60"/>
    </row>
    <row r="316"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O316" s="60"/>
      <c r="P316" s="60"/>
    </row>
    <row r="317"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O317" s="60"/>
      <c r="P317" s="60"/>
    </row>
    <row r="318"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O318" s="60"/>
      <c r="P318" s="60"/>
    </row>
    <row r="319"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O319" s="60"/>
      <c r="P319" s="60"/>
    </row>
    <row r="320"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O320" s="60"/>
      <c r="P320" s="60"/>
    </row>
    <row r="321"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O321" s="60"/>
      <c r="P321" s="60"/>
    </row>
    <row r="322"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O322" s="60"/>
      <c r="P322" s="60"/>
    </row>
    <row r="323"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O323" s="60"/>
      <c r="P323" s="60"/>
    </row>
    <row r="324"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O324" s="60"/>
      <c r="P324" s="60"/>
    </row>
    <row r="325"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O325" s="60"/>
      <c r="P325" s="60"/>
    </row>
    <row r="326"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O326" s="60"/>
      <c r="P326" s="60"/>
    </row>
    <row r="327"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O327" s="60"/>
      <c r="P327" s="60"/>
    </row>
    <row r="328"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O328" s="60"/>
      <c r="P328" s="60"/>
    </row>
    <row r="329"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O329" s="60"/>
      <c r="P329" s="60"/>
    </row>
    <row r="330"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O330" s="60"/>
      <c r="P330" s="60"/>
    </row>
    <row r="331"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O331" s="60"/>
      <c r="P331" s="60"/>
    </row>
    <row r="332"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O332" s="60"/>
      <c r="P332" s="60"/>
    </row>
    <row r="333"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O333" s="60"/>
      <c r="P333" s="60"/>
    </row>
    <row r="334"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O334" s="60"/>
      <c r="P334" s="60"/>
    </row>
    <row r="335"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O335" s="60"/>
      <c r="P335" s="60"/>
    </row>
    <row r="336"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O336" s="60"/>
      <c r="P336" s="60"/>
    </row>
    <row r="337"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O337" s="60"/>
      <c r="P337" s="60"/>
    </row>
    <row r="338"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O338" s="60"/>
      <c r="P338" s="60"/>
    </row>
    <row r="339"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O339" s="60"/>
      <c r="P339" s="60"/>
    </row>
    <row r="340"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O340" s="60"/>
      <c r="P340" s="60"/>
    </row>
    <row r="341"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O341" s="60"/>
      <c r="P341" s="60"/>
    </row>
    <row r="342"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O342" s="60"/>
      <c r="P342" s="60"/>
    </row>
    <row r="343"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O343" s="60"/>
      <c r="P343" s="60"/>
    </row>
    <row r="344"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O344" s="60"/>
      <c r="P344" s="60"/>
    </row>
    <row r="345"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O345" s="60"/>
      <c r="P345" s="60"/>
    </row>
    <row r="346"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O346" s="60"/>
      <c r="P346" s="60"/>
    </row>
    <row r="347"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O347" s="60"/>
      <c r="P347" s="60"/>
    </row>
    <row r="348"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O348" s="60"/>
      <c r="P348" s="60"/>
    </row>
    <row r="349"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O349" s="60"/>
      <c r="P349" s="60"/>
    </row>
    <row r="350"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O350" s="60"/>
      <c r="P350" s="60"/>
    </row>
    <row r="351"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O351" s="60"/>
      <c r="P351" s="60"/>
    </row>
    <row r="352"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O352" s="60"/>
      <c r="P352" s="60"/>
    </row>
    <row r="353"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O353" s="60"/>
      <c r="P353" s="60"/>
    </row>
    <row r="354"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O354" s="60"/>
      <c r="P354" s="60"/>
    </row>
    <row r="355"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O355" s="60"/>
      <c r="P355" s="60"/>
    </row>
    <row r="356"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O356" s="60"/>
      <c r="P356" s="60"/>
    </row>
    <row r="357"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O357" s="60"/>
      <c r="P357" s="60"/>
    </row>
    <row r="358"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O358" s="60"/>
      <c r="P358" s="60"/>
    </row>
    <row r="359"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O359" s="60"/>
      <c r="P359" s="60"/>
    </row>
    <row r="360"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O360" s="60"/>
      <c r="P360" s="60"/>
    </row>
    <row r="361"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O361" s="60"/>
      <c r="P361" s="60"/>
    </row>
    <row r="362"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O362" s="60"/>
      <c r="P362" s="60"/>
    </row>
    <row r="363"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O363" s="60"/>
      <c r="P363" s="60"/>
    </row>
    <row r="364"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O364" s="60"/>
      <c r="P364" s="60"/>
    </row>
    <row r="365"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O365" s="60"/>
      <c r="P365" s="60"/>
    </row>
    <row r="366"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O366" s="60"/>
      <c r="P366" s="60"/>
    </row>
    <row r="367"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O367" s="60"/>
      <c r="P367" s="60"/>
    </row>
    <row r="368"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O368" s="60"/>
      <c r="P368" s="60"/>
    </row>
    <row r="369"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O369" s="60"/>
      <c r="P369" s="60"/>
    </row>
    <row r="370"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O370" s="60"/>
      <c r="P370" s="60"/>
    </row>
    <row r="371"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O371" s="60"/>
      <c r="P371" s="60"/>
    </row>
    <row r="372"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O372" s="60"/>
      <c r="P372" s="60"/>
    </row>
    <row r="373"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O373" s="60"/>
      <c r="P373" s="60"/>
    </row>
    <row r="374"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O374" s="60"/>
      <c r="P374" s="60"/>
    </row>
    <row r="375"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O375" s="60"/>
      <c r="P375" s="60"/>
    </row>
    <row r="376"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O376" s="60"/>
      <c r="P376" s="60"/>
    </row>
    <row r="377"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O377" s="60"/>
      <c r="P377" s="60"/>
    </row>
    <row r="378"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O378" s="60"/>
      <c r="P378" s="60"/>
    </row>
    <row r="379"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O379" s="60"/>
      <c r="P379" s="60"/>
    </row>
    <row r="380"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O380" s="60"/>
      <c r="P380" s="60"/>
    </row>
    <row r="381"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O381" s="60"/>
      <c r="P381" s="60"/>
    </row>
    <row r="382"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O382" s="60"/>
      <c r="P382" s="60"/>
    </row>
    <row r="383"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O383" s="60"/>
      <c r="P383" s="60"/>
    </row>
    <row r="384"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O384" s="60"/>
      <c r="P384" s="60"/>
    </row>
    <row r="385"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O385" s="60"/>
      <c r="P385" s="60"/>
    </row>
    <row r="386"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O386" s="60"/>
      <c r="P386" s="60"/>
    </row>
    <row r="387"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O387" s="60"/>
      <c r="P387" s="60"/>
    </row>
    <row r="388"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O388" s="60"/>
      <c r="P388" s="60"/>
    </row>
    <row r="389"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O389" s="60"/>
      <c r="P389" s="60"/>
    </row>
    <row r="390"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O390" s="60"/>
      <c r="P390" s="60"/>
    </row>
    <row r="391"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O391" s="60"/>
      <c r="P391" s="60"/>
    </row>
    <row r="392"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O392" s="60"/>
      <c r="P392" s="60"/>
    </row>
    <row r="393"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O393" s="60"/>
      <c r="P393" s="60"/>
    </row>
    <row r="394"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O394" s="60"/>
      <c r="P394" s="60"/>
    </row>
    <row r="395"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O395" s="60"/>
      <c r="P395" s="60"/>
    </row>
    <row r="396"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O396" s="60"/>
      <c r="P396" s="60"/>
    </row>
    <row r="397"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O397" s="60"/>
      <c r="P397" s="60"/>
    </row>
    <row r="398"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O398" s="60"/>
      <c r="P398" s="60"/>
    </row>
    <row r="399"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O399" s="60"/>
      <c r="P399" s="60"/>
    </row>
    <row r="400"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O400" s="60"/>
      <c r="P400" s="60"/>
    </row>
    <row r="401"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O401" s="60"/>
      <c r="P401" s="60"/>
    </row>
    <row r="402"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O402" s="60"/>
      <c r="P402" s="60"/>
    </row>
    <row r="403"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O403" s="60"/>
      <c r="P403" s="60"/>
    </row>
    <row r="404"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O404" s="60"/>
      <c r="P404" s="60"/>
    </row>
    <row r="405"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O405" s="60"/>
      <c r="P405" s="60"/>
    </row>
    <row r="406"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O406" s="60"/>
      <c r="P406" s="60"/>
    </row>
    <row r="407"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O407" s="60"/>
      <c r="P407" s="60"/>
    </row>
    <row r="408"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O408" s="60"/>
      <c r="P408" s="60"/>
    </row>
    <row r="409"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O409" s="60"/>
      <c r="P409" s="60"/>
    </row>
    <row r="410"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O410" s="60"/>
      <c r="P410" s="60"/>
    </row>
    <row r="411"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O411" s="60"/>
      <c r="P411" s="60"/>
    </row>
    <row r="412"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O412" s="60"/>
      <c r="P412" s="60"/>
    </row>
    <row r="413"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O413" s="60"/>
      <c r="P413" s="60"/>
    </row>
    <row r="414"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O414" s="60"/>
      <c r="P414" s="60"/>
    </row>
    <row r="415"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O415" s="60"/>
      <c r="P415" s="60"/>
    </row>
    <row r="416"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O416" s="60"/>
      <c r="P416" s="60"/>
    </row>
    <row r="417"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O417" s="60"/>
      <c r="P417" s="60"/>
    </row>
    <row r="418"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O418" s="60"/>
      <c r="P418" s="60"/>
    </row>
    <row r="419"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O419" s="60"/>
      <c r="P419" s="60"/>
    </row>
    <row r="420"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O420" s="60"/>
      <c r="P420" s="60"/>
    </row>
    <row r="421"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O421" s="60"/>
      <c r="P421" s="60"/>
    </row>
    <row r="422"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O422" s="60"/>
      <c r="P422" s="60"/>
    </row>
    <row r="423"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O423" s="60"/>
      <c r="P423" s="60"/>
    </row>
    <row r="424"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O424" s="60"/>
      <c r="P424" s="60"/>
    </row>
    <row r="425"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O425" s="60"/>
      <c r="P425" s="60"/>
    </row>
    <row r="426"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O426" s="60"/>
      <c r="P426" s="60"/>
    </row>
    <row r="427"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O427" s="60"/>
      <c r="P427" s="60"/>
    </row>
    <row r="428"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O428" s="60"/>
      <c r="P428" s="60"/>
    </row>
    <row r="429"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O429" s="60"/>
      <c r="P429" s="60"/>
    </row>
    <row r="430"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O430" s="60"/>
      <c r="P430" s="60"/>
    </row>
    <row r="431"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O431" s="60"/>
      <c r="P431" s="60"/>
    </row>
    <row r="432"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O432" s="60"/>
      <c r="P432" s="60"/>
    </row>
    <row r="433"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O433" s="60"/>
      <c r="P433" s="60"/>
    </row>
    <row r="434"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O434" s="60"/>
      <c r="P434" s="60"/>
    </row>
    <row r="435"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O435" s="60"/>
      <c r="P435" s="60"/>
    </row>
    <row r="436"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O436" s="60"/>
      <c r="P436" s="60"/>
    </row>
    <row r="437"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O437" s="60"/>
      <c r="P437" s="60"/>
    </row>
    <row r="438"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O438" s="60"/>
      <c r="P438" s="60"/>
    </row>
    <row r="439"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O439" s="60"/>
      <c r="P439" s="60"/>
    </row>
    <row r="440"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O440" s="60"/>
      <c r="P440" s="60"/>
    </row>
    <row r="441"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O441" s="60"/>
      <c r="P441" s="60"/>
    </row>
    <row r="442"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O442" s="60"/>
      <c r="P442" s="60"/>
    </row>
    <row r="443"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O443" s="60"/>
      <c r="P443" s="60"/>
    </row>
    <row r="444"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O444" s="60"/>
      <c r="P444" s="60"/>
    </row>
    <row r="445"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O445" s="60"/>
      <c r="P445" s="60"/>
    </row>
    <row r="446"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O446" s="60"/>
      <c r="P446" s="60"/>
    </row>
    <row r="447"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O447" s="60"/>
      <c r="P447" s="60"/>
    </row>
    <row r="448"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O448" s="60"/>
      <c r="P448" s="60"/>
    </row>
    <row r="449"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O449" s="60"/>
      <c r="P449" s="60"/>
    </row>
    <row r="450"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O450" s="60"/>
      <c r="P450" s="60"/>
    </row>
    <row r="451"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O451" s="60"/>
      <c r="P451" s="60"/>
    </row>
    <row r="452"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O452" s="60"/>
      <c r="P452" s="60"/>
    </row>
    <row r="453"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O453" s="60"/>
      <c r="P453" s="60"/>
    </row>
    <row r="454"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O454" s="60"/>
      <c r="P454" s="60"/>
    </row>
    <row r="455"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O455" s="60"/>
      <c r="P455" s="60"/>
    </row>
    <row r="456"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O456" s="60"/>
      <c r="P456" s="60"/>
    </row>
    <row r="457"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O457" s="60"/>
      <c r="P457" s="60"/>
    </row>
    <row r="458"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O458" s="60"/>
      <c r="P458" s="60"/>
    </row>
    <row r="459"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O459" s="60"/>
      <c r="P459" s="60"/>
    </row>
    <row r="460"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O460" s="60"/>
      <c r="P460" s="60"/>
    </row>
    <row r="461"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O461" s="60"/>
      <c r="P461" s="60"/>
    </row>
    <row r="462"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O462" s="60"/>
      <c r="P462" s="60"/>
    </row>
    <row r="463"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O463" s="60"/>
      <c r="P463" s="60"/>
    </row>
    <row r="464"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O464" s="60"/>
      <c r="P464" s="60"/>
    </row>
    <row r="465"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O465" s="60"/>
      <c r="P465" s="60"/>
    </row>
    <row r="466"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O466" s="60"/>
      <c r="P466" s="60"/>
    </row>
    <row r="467"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O467" s="60"/>
      <c r="P467" s="60"/>
    </row>
    <row r="468"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O468" s="60"/>
      <c r="P468" s="60"/>
    </row>
    <row r="469"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O469" s="60"/>
      <c r="P469" s="60"/>
    </row>
    <row r="470"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O470" s="60"/>
      <c r="P470" s="60"/>
    </row>
    <row r="471"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O471" s="60"/>
      <c r="P471" s="60"/>
    </row>
    <row r="472"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O472" s="60"/>
      <c r="P472" s="60"/>
    </row>
    <row r="473"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O473" s="60"/>
      <c r="P473" s="60"/>
    </row>
    <row r="474"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O474" s="60"/>
      <c r="P474" s="60"/>
    </row>
    <row r="475"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O475" s="60"/>
      <c r="P475" s="60"/>
    </row>
    <row r="476"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O476" s="60"/>
      <c r="P476" s="60"/>
    </row>
    <row r="477"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O477" s="60"/>
      <c r="P477" s="60"/>
    </row>
    <row r="478"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O478" s="60"/>
      <c r="P478" s="60"/>
    </row>
    <row r="479"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O479" s="60"/>
      <c r="P479" s="60"/>
    </row>
    <row r="480"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O480" s="60"/>
      <c r="P480" s="60"/>
    </row>
    <row r="481"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O481" s="60"/>
      <c r="P481" s="60"/>
    </row>
    <row r="482"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O482" s="60"/>
      <c r="P482" s="60"/>
    </row>
    <row r="483"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O483" s="60"/>
      <c r="P483" s="60"/>
    </row>
    <row r="484"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O484" s="60"/>
      <c r="P484" s="60"/>
    </row>
    <row r="485"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O485" s="60"/>
      <c r="P485" s="60"/>
    </row>
    <row r="486"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O486" s="60"/>
      <c r="P486" s="60"/>
    </row>
    <row r="487"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O487" s="60"/>
      <c r="P487" s="60"/>
    </row>
    <row r="488"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O488" s="60"/>
      <c r="P488" s="60"/>
    </row>
    <row r="489"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O489" s="60"/>
      <c r="P489" s="60"/>
    </row>
    <row r="490"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O490" s="60"/>
      <c r="P490" s="60"/>
    </row>
    <row r="491"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O491" s="60"/>
      <c r="P491" s="60"/>
    </row>
    <row r="492"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O492" s="60"/>
      <c r="P492" s="60"/>
    </row>
    <row r="493"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O493" s="60"/>
      <c r="P493" s="60"/>
    </row>
    <row r="494"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O494" s="60"/>
      <c r="P494" s="60"/>
    </row>
    <row r="495"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O495" s="60"/>
      <c r="P495" s="60"/>
    </row>
    <row r="496"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O496" s="60"/>
      <c r="P496" s="60"/>
    </row>
    <row r="497"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O497" s="60"/>
      <c r="P497" s="60"/>
    </row>
    <row r="498"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O498" s="60"/>
      <c r="P498" s="60"/>
    </row>
    <row r="499"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O499" s="60"/>
      <c r="P499" s="60"/>
    </row>
    <row r="500"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O500" s="60"/>
      <c r="P500" s="60"/>
    </row>
    <row r="501"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O501" s="60"/>
      <c r="P501" s="60"/>
    </row>
    <row r="502"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O502" s="60"/>
      <c r="P502" s="60"/>
    </row>
    <row r="503"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O503" s="60"/>
      <c r="P503" s="60"/>
    </row>
    <row r="504"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O504" s="60"/>
      <c r="P504" s="60"/>
    </row>
    <row r="505"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O505" s="60"/>
      <c r="P505" s="60"/>
    </row>
    <row r="506"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O506" s="60"/>
      <c r="P506" s="60"/>
    </row>
    <row r="507"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O507" s="60"/>
      <c r="P507" s="60"/>
    </row>
    <row r="508"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O508" s="60"/>
      <c r="P508" s="60"/>
    </row>
    <row r="509"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O509" s="60"/>
      <c r="P509" s="60"/>
    </row>
    <row r="510"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O510" s="60"/>
      <c r="P510" s="60"/>
    </row>
    <row r="511"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O511" s="60"/>
      <c r="P511" s="60"/>
    </row>
    <row r="512"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O512" s="60"/>
      <c r="P512" s="60"/>
    </row>
    <row r="513"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O513" s="60"/>
      <c r="P513" s="60"/>
    </row>
    <row r="514"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O514" s="60"/>
      <c r="P514" s="60"/>
    </row>
    <row r="515"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O515" s="60"/>
      <c r="P515" s="60"/>
    </row>
    <row r="516"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O516" s="60"/>
      <c r="P516" s="60"/>
    </row>
    <row r="517"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O517" s="60"/>
      <c r="P517" s="60"/>
    </row>
    <row r="518"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O518" s="60"/>
      <c r="P518" s="60"/>
    </row>
    <row r="519"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O519" s="60"/>
      <c r="P519" s="60"/>
    </row>
    <row r="520"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O520" s="60"/>
      <c r="P520" s="60"/>
    </row>
    <row r="521"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O521" s="60"/>
      <c r="P521" s="60"/>
    </row>
    <row r="522"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O522" s="60"/>
      <c r="P522" s="60"/>
    </row>
    <row r="523"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O523" s="60"/>
      <c r="P523" s="60"/>
    </row>
    <row r="524"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O524" s="60"/>
      <c r="P524" s="60"/>
    </row>
    <row r="525"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O525" s="60"/>
      <c r="P525" s="60"/>
    </row>
    <row r="526"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O526" s="60"/>
      <c r="P526" s="60"/>
    </row>
    <row r="527"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O527" s="60"/>
      <c r="P527" s="60"/>
    </row>
    <row r="528"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O528" s="60"/>
      <c r="P528" s="60"/>
    </row>
    <row r="529"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O529" s="60"/>
      <c r="P529" s="60"/>
    </row>
    <row r="530"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O530" s="60"/>
      <c r="P530" s="60"/>
    </row>
    <row r="531"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O531" s="60"/>
      <c r="P531" s="60"/>
    </row>
    <row r="532"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O532" s="60"/>
      <c r="P532" s="60"/>
    </row>
    <row r="533"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O533" s="60"/>
      <c r="P533" s="60"/>
    </row>
    <row r="534"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O534" s="60"/>
      <c r="P534" s="60"/>
    </row>
    <row r="535"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O535" s="60"/>
      <c r="P535" s="60"/>
    </row>
    <row r="536"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O536" s="60"/>
      <c r="P536" s="60"/>
    </row>
    <row r="537"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O537" s="60"/>
      <c r="P537" s="60"/>
    </row>
    <row r="538"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O538" s="60"/>
      <c r="P538" s="60"/>
    </row>
    <row r="539"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O539" s="60"/>
      <c r="P539" s="60"/>
    </row>
    <row r="540"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O540" s="60"/>
      <c r="P540" s="60"/>
    </row>
    <row r="541"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O541" s="60"/>
      <c r="P541" s="60"/>
    </row>
    <row r="542"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O542" s="60"/>
      <c r="P542" s="60"/>
    </row>
    <row r="543"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O543" s="60"/>
      <c r="P543" s="60"/>
    </row>
    <row r="544"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O544" s="60"/>
      <c r="P544" s="60"/>
    </row>
    <row r="545"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O545" s="60"/>
      <c r="P545" s="60"/>
    </row>
    <row r="546"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O546" s="60"/>
      <c r="P546" s="60"/>
    </row>
    <row r="547"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O547" s="60"/>
      <c r="P547" s="60"/>
    </row>
    <row r="548"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O548" s="60"/>
      <c r="P548" s="60"/>
    </row>
    <row r="549"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O549" s="60"/>
      <c r="P549" s="60"/>
    </row>
    <row r="550"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O550" s="60"/>
      <c r="P550" s="60"/>
    </row>
    <row r="551"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O551" s="60"/>
      <c r="P551" s="60"/>
    </row>
    <row r="552"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O552" s="60"/>
      <c r="P552" s="60"/>
    </row>
    <row r="553"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O553" s="60"/>
      <c r="P553" s="60"/>
    </row>
    <row r="554"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O554" s="60"/>
      <c r="P554" s="60"/>
    </row>
    <row r="555"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O555" s="60"/>
      <c r="P555" s="60"/>
    </row>
    <row r="556"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O556" s="60"/>
      <c r="P556" s="60"/>
    </row>
    <row r="557"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O557" s="60"/>
      <c r="P557" s="60"/>
    </row>
    <row r="558"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O558" s="60"/>
      <c r="P558" s="60"/>
    </row>
    <row r="559"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O559" s="60"/>
      <c r="P559" s="60"/>
    </row>
    <row r="560"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O560" s="60"/>
      <c r="P560" s="60"/>
    </row>
    <row r="561"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O561" s="60"/>
      <c r="P561" s="60"/>
    </row>
    <row r="562"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O562" s="60"/>
      <c r="P562" s="60"/>
    </row>
    <row r="563"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O563" s="60"/>
      <c r="P563" s="60"/>
    </row>
    <row r="564"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O564" s="60"/>
      <c r="P564" s="60"/>
    </row>
    <row r="565"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O565" s="60"/>
      <c r="P565" s="60"/>
    </row>
    <row r="566"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O566" s="60"/>
      <c r="P566" s="60"/>
    </row>
    <row r="567"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O567" s="60"/>
      <c r="P567" s="60"/>
    </row>
    <row r="568"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O568" s="60"/>
      <c r="P568" s="60"/>
    </row>
    <row r="569"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O569" s="60"/>
      <c r="P569" s="60"/>
    </row>
    <row r="570"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O570" s="60"/>
      <c r="P570" s="60"/>
    </row>
    <row r="571"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O571" s="60"/>
      <c r="P571" s="60"/>
    </row>
    <row r="572"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O572" s="60"/>
      <c r="P572" s="60"/>
    </row>
    <row r="573"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O573" s="60"/>
      <c r="P573" s="60"/>
    </row>
    <row r="574"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O574" s="60"/>
      <c r="P574" s="60"/>
    </row>
    <row r="575"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O575" s="60"/>
      <c r="P575" s="60"/>
    </row>
    <row r="576"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O576" s="60"/>
      <c r="P576" s="60"/>
    </row>
    <row r="577"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O577" s="60"/>
      <c r="P577" s="60"/>
    </row>
    <row r="578"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O578" s="60"/>
      <c r="P578" s="60"/>
    </row>
    <row r="579"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O579" s="60"/>
      <c r="P579" s="60"/>
    </row>
    <row r="580"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O580" s="60"/>
      <c r="P580" s="60"/>
    </row>
    <row r="581"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O581" s="60"/>
      <c r="P581" s="60"/>
    </row>
    <row r="582"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O582" s="60"/>
      <c r="P582" s="60"/>
    </row>
    <row r="583"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O583" s="60"/>
      <c r="P583" s="60"/>
    </row>
    <row r="584"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O584" s="60"/>
      <c r="P584" s="60"/>
    </row>
    <row r="585"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O585" s="60"/>
      <c r="P585" s="60"/>
    </row>
    <row r="586"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O586" s="60"/>
      <c r="P586" s="60"/>
    </row>
    <row r="587"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O587" s="60"/>
      <c r="P587" s="60"/>
    </row>
    <row r="588"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O588" s="60"/>
      <c r="P588" s="60"/>
    </row>
    <row r="589"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O589" s="60"/>
      <c r="P589" s="60"/>
    </row>
    <row r="590"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O590" s="60"/>
      <c r="P590" s="60"/>
    </row>
    <row r="591"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O591" s="60"/>
      <c r="P591" s="60"/>
    </row>
    <row r="592"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O592" s="60"/>
      <c r="P592" s="60"/>
    </row>
    <row r="593"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O593" s="60"/>
      <c r="P593" s="60"/>
    </row>
    <row r="594"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O594" s="60"/>
      <c r="P594" s="60"/>
    </row>
    <row r="595"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O595" s="60"/>
      <c r="P595" s="60"/>
    </row>
    <row r="596"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O596" s="60"/>
      <c r="P596" s="60"/>
    </row>
    <row r="597"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O597" s="60"/>
      <c r="P597" s="60"/>
    </row>
    <row r="598"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O598" s="60"/>
      <c r="P598" s="60"/>
    </row>
    <row r="599"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O599" s="60"/>
      <c r="P599" s="60"/>
    </row>
    <row r="600"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O600" s="60"/>
      <c r="P600" s="60"/>
    </row>
    <row r="601"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O601" s="60"/>
      <c r="P601" s="60"/>
    </row>
    <row r="602"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O602" s="60"/>
      <c r="P602" s="60"/>
    </row>
    <row r="603"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O603" s="60"/>
      <c r="P603" s="60"/>
    </row>
    <row r="604"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O604" s="60"/>
      <c r="P604" s="60"/>
    </row>
    <row r="605"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O605" s="60"/>
      <c r="P605" s="60"/>
    </row>
    <row r="606"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O606" s="60"/>
      <c r="P606" s="60"/>
    </row>
    <row r="607"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O607" s="60"/>
      <c r="P607" s="60"/>
    </row>
    <row r="608"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O608" s="60"/>
      <c r="P608" s="60"/>
    </row>
    <row r="609"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O609" s="60"/>
      <c r="P609" s="60"/>
    </row>
    <row r="610"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O610" s="60"/>
      <c r="P610" s="60"/>
    </row>
    <row r="611"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O611" s="60"/>
      <c r="P611" s="60"/>
    </row>
    <row r="612"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O612" s="60"/>
      <c r="P612" s="60"/>
    </row>
    <row r="613"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O613" s="60"/>
      <c r="P613" s="60"/>
    </row>
    <row r="614"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O614" s="60"/>
      <c r="P614" s="60"/>
    </row>
    <row r="615"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O615" s="60"/>
      <c r="P615" s="60"/>
    </row>
    <row r="616"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O616" s="60"/>
      <c r="P616" s="60"/>
    </row>
    <row r="617"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O617" s="60"/>
      <c r="P617" s="60"/>
    </row>
    <row r="618"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O618" s="60"/>
      <c r="P618" s="60"/>
    </row>
    <row r="619"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O619" s="60"/>
      <c r="P619" s="60"/>
    </row>
    <row r="620"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O620" s="60"/>
      <c r="P620" s="60"/>
    </row>
    <row r="621"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O621" s="60"/>
      <c r="P621" s="60"/>
    </row>
    <row r="622"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O622" s="60"/>
      <c r="P622" s="60"/>
    </row>
    <row r="623"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O623" s="60"/>
      <c r="P623" s="60"/>
    </row>
    <row r="624"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O624" s="60"/>
      <c r="P624" s="60"/>
    </row>
    <row r="625"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O625" s="60"/>
      <c r="P625" s="60"/>
    </row>
    <row r="626"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O626" s="60"/>
      <c r="P626" s="60"/>
    </row>
    <row r="627"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O627" s="60"/>
      <c r="P627" s="60"/>
    </row>
    <row r="628"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O628" s="60"/>
      <c r="P628" s="60"/>
    </row>
    <row r="629"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O629" s="60"/>
      <c r="P629" s="60"/>
    </row>
    <row r="630"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O630" s="60"/>
      <c r="P630" s="60"/>
    </row>
    <row r="631"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O631" s="60"/>
      <c r="P631" s="60"/>
    </row>
    <row r="632"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O632" s="60"/>
      <c r="P632" s="60"/>
    </row>
    <row r="633"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O633" s="60"/>
      <c r="P633" s="60"/>
    </row>
    <row r="634"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O634" s="60"/>
      <c r="P634" s="60"/>
    </row>
    <row r="635"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O635" s="60"/>
      <c r="P635" s="60"/>
    </row>
    <row r="636"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O636" s="60"/>
      <c r="P636" s="60"/>
    </row>
    <row r="637"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O637" s="60"/>
      <c r="P637" s="60"/>
    </row>
    <row r="638"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O638" s="60"/>
      <c r="P638" s="60"/>
    </row>
    <row r="639"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O639" s="60"/>
      <c r="P639" s="60"/>
    </row>
    <row r="640"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O640" s="60"/>
      <c r="P640" s="60"/>
    </row>
    <row r="641"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O641" s="60"/>
      <c r="P641" s="60"/>
    </row>
    <row r="642"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O642" s="60"/>
      <c r="P642" s="60"/>
    </row>
    <row r="643"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O643" s="60"/>
      <c r="P643" s="60"/>
    </row>
    <row r="644"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O644" s="60"/>
      <c r="P644" s="60"/>
    </row>
    <row r="645"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O645" s="60"/>
      <c r="P645" s="60"/>
    </row>
    <row r="646"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O646" s="60"/>
      <c r="P646" s="60"/>
    </row>
    <row r="647"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O647" s="60"/>
      <c r="P647" s="60"/>
    </row>
    <row r="648"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O648" s="60"/>
      <c r="P648" s="60"/>
    </row>
    <row r="649"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O649" s="60"/>
      <c r="P649" s="60"/>
    </row>
    <row r="650"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O650" s="60"/>
      <c r="P650" s="60"/>
    </row>
    <row r="651"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O651" s="60"/>
      <c r="P651" s="60"/>
    </row>
    <row r="652"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O652" s="60"/>
      <c r="P652" s="60"/>
    </row>
    <row r="653"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O653" s="60"/>
      <c r="P653" s="60"/>
    </row>
    <row r="654"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O654" s="60"/>
      <c r="P654" s="60"/>
    </row>
    <row r="655"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O655" s="60"/>
      <c r="P655" s="60"/>
    </row>
    <row r="656"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O656" s="60"/>
      <c r="P656" s="60"/>
    </row>
    <row r="657"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O657" s="60"/>
      <c r="P657" s="60"/>
    </row>
    <row r="658"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O658" s="60"/>
      <c r="P658" s="60"/>
    </row>
    <row r="659"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O659" s="60"/>
      <c r="P659" s="60"/>
    </row>
    <row r="660"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O660" s="60"/>
      <c r="P660" s="60"/>
    </row>
    <row r="661"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O661" s="60"/>
      <c r="P661" s="60"/>
    </row>
    <row r="662"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O662" s="60"/>
      <c r="P662" s="60"/>
    </row>
    <row r="663"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O663" s="60"/>
      <c r="P663" s="60"/>
    </row>
    <row r="664"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O664" s="60"/>
      <c r="P664" s="60"/>
    </row>
    <row r="665"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O665" s="60"/>
      <c r="P665" s="60"/>
    </row>
    <row r="666"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O666" s="60"/>
      <c r="P666" s="60"/>
    </row>
    <row r="667"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O667" s="60"/>
      <c r="P667" s="60"/>
    </row>
    <row r="668"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O668" s="60"/>
      <c r="P668" s="60"/>
    </row>
    <row r="669"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O669" s="60"/>
      <c r="P669" s="60"/>
    </row>
    <row r="670"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O670" s="60"/>
      <c r="P670" s="60"/>
    </row>
    <row r="671"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O671" s="60"/>
      <c r="P671" s="60"/>
    </row>
    <row r="672"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O672" s="60"/>
      <c r="P672" s="60"/>
    </row>
    <row r="673"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O673" s="60"/>
      <c r="P673" s="60"/>
    </row>
    <row r="674"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O674" s="60"/>
      <c r="P674" s="60"/>
    </row>
    <row r="675"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O675" s="60"/>
      <c r="P675" s="60"/>
    </row>
    <row r="676"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O676" s="60"/>
      <c r="P676" s="60"/>
    </row>
    <row r="677"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O677" s="60"/>
      <c r="P677" s="60"/>
    </row>
    <row r="678"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O678" s="60"/>
      <c r="P678" s="60"/>
    </row>
    <row r="679"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O679" s="60"/>
      <c r="P679" s="60"/>
    </row>
    <row r="680"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O680" s="60"/>
      <c r="P680" s="60"/>
    </row>
    <row r="681"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O681" s="60"/>
      <c r="P681" s="60"/>
    </row>
    <row r="682"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O682" s="60"/>
      <c r="P682" s="60"/>
    </row>
    <row r="683"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O683" s="60"/>
      <c r="P683" s="60"/>
    </row>
    <row r="684"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O684" s="60"/>
      <c r="P684" s="60"/>
    </row>
    <row r="685"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O685" s="60"/>
      <c r="P685" s="60"/>
    </row>
    <row r="686"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O686" s="60"/>
      <c r="P686" s="60"/>
    </row>
    <row r="687"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O687" s="60"/>
      <c r="P687" s="60"/>
    </row>
    <row r="688"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O688" s="60"/>
      <c r="P688" s="60"/>
    </row>
    <row r="689"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O689" s="60"/>
      <c r="P689" s="60"/>
    </row>
    <row r="690"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O690" s="60"/>
      <c r="P690" s="60"/>
    </row>
    <row r="691"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O691" s="60"/>
      <c r="P691" s="60"/>
    </row>
    <row r="692"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O692" s="60"/>
      <c r="P692" s="60"/>
    </row>
    <row r="693"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O693" s="60"/>
      <c r="P693" s="60"/>
    </row>
    <row r="694"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O694" s="60"/>
      <c r="P694" s="60"/>
    </row>
    <row r="695"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O695" s="60"/>
      <c r="P695" s="60"/>
    </row>
    <row r="696"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O696" s="60"/>
      <c r="P696" s="60"/>
    </row>
    <row r="697"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O697" s="60"/>
      <c r="P697" s="60"/>
    </row>
    <row r="698"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O698" s="60"/>
      <c r="P698" s="60"/>
    </row>
    <row r="699"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O699" s="60"/>
      <c r="P699" s="60"/>
    </row>
    <row r="700"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O700" s="60"/>
      <c r="P700" s="60"/>
    </row>
    <row r="701"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O701" s="60"/>
      <c r="P701" s="60"/>
    </row>
    <row r="702"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O702" s="60"/>
      <c r="P702" s="60"/>
    </row>
    <row r="703"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O703" s="60"/>
      <c r="P703" s="60"/>
    </row>
    <row r="704"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O704" s="60"/>
      <c r="P704" s="60"/>
    </row>
    <row r="705"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O705" s="60"/>
      <c r="P705" s="60"/>
    </row>
    <row r="706"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O706" s="60"/>
      <c r="P706" s="60"/>
    </row>
    <row r="707"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O707" s="60"/>
      <c r="P707" s="60"/>
    </row>
    <row r="708"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O708" s="60"/>
      <c r="P708" s="60"/>
    </row>
    <row r="709"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O709" s="60"/>
      <c r="P709" s="60"/>
    </row>
    <row r="710"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O710" s="60"/>
      <c r="P710" s="60"/>
    </row>
    <row r="711"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O711" s="60"/>
      <c r="P711" s="60"/>
    </row>
    <row r="712"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O712" s="60"/>
      <c r="P712" s="60"/>
    </row>
    <row r="713"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O713" s="60"/>
      <c r="P713" s="60"/>
    </row>
    <row r="714"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O714" s="60"/>
      <c r="P714" s="60"/>
    </row>
    <row r="715"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O715" s="60"/>
      <c r="P715" s="60"/>
    </row>
    <row r="716"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O716" s="60"/>
      <c r="P716" s="60"/>
    </row>
    <row r="717"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O717" s="60"/>
      <c r="P717" s="60"/>
    </row>
    <row r="718"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O718" s="60"/>
      <c r="P718" s="60"/>
    </row>
    <row r="719"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O719" s="60"/>
      <c r="P719" s="60"/>
    </row>
    <row r="720"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O720" s="60"/>
      <c r="P720" s="60"/>
    </row>
    <row r="721"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O721" s="60"/>
      <c r="P721" s="60"/>
    </row>
    <row r="722"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O722" s="60"/>
      <c r="P722" s="60"/>
    </row>
    <row r="723"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O723" s="60"/>
      <c r="P723" s="60"/>
    </row>
    <row r="724"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O724" s="60"/>
      <c r="P724" s="60"/>
    </row>
    <row r="725"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O725" s="60"/>
      <c r="P725" s="60"/>
    </row>
    <row r="726"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O726" s="60"/>
      <c r="P726" s="60"/>
    </row>
    <row r="727"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O727" s="60"/>
      <c r="P727" s="60"/>
    </row>
    <row r="728"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O728" s="60"/>
      <c r="P728" s="60"/>
    </row>
    <row r="729"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O729" s="60"/>
      <c r="P729" s="60"/>
    </row>
    <row r="730"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O730" s="60"/>
      <c r="P730" s="60"/>
    </row>
    <row r="731"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O731" s="60"/>
      <c r="P731" s="60"/>
    </row>
    <row r="732"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O732" s="60"/>
      <c r="P732" s="60"/>
    </row>
    <row r="733"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O733" s="60"/>
      <c r="P733" s="60"/>
    </row>
    <row r="734"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O734" s="60"/>
      <c r="P734" s="60"/>
    </row>
    <row r="735"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O735" s="60"/>
      <c r="P735" s="60"/>
    </row>
    <row r="736"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O736" s="60"/>
      <c r="P736" s="60"/>
    </row>
    <row r="737"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O737" s="60"/>
      <c r="P737" s="60"/>
    </row>
    <row r="738"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O738" s="60"/>
      <c r="P738" s="60"/>
    </row>
    <row r="739"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O739" s="60"/>
      <c r="P739" s="60"/>
    </row>
    <row r="740"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O740" s="60"/>
      <c r="P740" s="60"/>
    </row>
    <row r="741"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O741" s="60"/>
      <c r="P741" s="60"/>
    </row>
    <row r="742"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O742" s="60"/>
      <c r="P742" s="60"/>
    </row>
    <row r="743"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O743" s="60"/>
      <c r="P743" s="60"/>
    </row>
    <row r="744"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O744" s="60"/>
      <c r="P744" s="60"/>
    </row>
    <row r="745"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O745" s="60"/>
      <c r="P745" s="60"/>
    </row>
    <row r="746"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O746" s="60"/>
      <c r="P746" s="60"/>
    </row>
    <row r="747"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O747" s="60"/>
      <c r="P747" s="60"/>
    </row>
    <row r="748"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O748" s="60"/>
      <c r="P748" s="60"/>
    </row>
    <row r="749"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O749" s="60"/>
      <c r="P749" s="60"/>
    </row>
    <row r="750"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O750" s="60"/>
      <c r="P750" s="60"/>
    </row>
    <row r="751"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O751" s="60"/>
      <c r="P751" s="60"/>
    </row>
    <row r="752"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O752" s="60"/>
      <c r="P752" s="60"/>
    </row>
    <row r="753"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O753" s="60"/>
      <c r="P753" s="60"/>
    </row>
    <row r="754"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O754" s="60"/>
      <c r="P754" s="60"/>
    </row>
    <row r="755"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O755" s="60"/>
      <c r="P755" s="60"/>
    </row>
    <row r="756"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O756" s="60"/>
      <c r="P756" s="60"/>
    </row>
    <row r="757"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O757" s="60"/>
      <c r="P757" s="60"/>
    </row>
    <row r="758"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O758" s="60"/>
      <c r="P758" s="60"/>
    </row>
    <row r="759"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O759" s="60"/>
      <c r="P759" s="60"/>
    </row>
    <row r="760"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O760" s="60"/>
      <c r="P760" s="60"/>
    </row>
    <row r="761"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O761" s="60"/>
      <c r="P761" s="60"/>
    </row>
    <row r="762"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O762" s="60"/>
      <c r="P762" s="60"/>
    </row>
    <row r="763"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O763" s="60"/>
      <c r="P763" s="60"/>
    </row>
    <row r="764"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O764" s="60"/>
      <c r="P764" s="60"/>
    </row>
    <row r="765"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O765" s="60"/>
      <c r="P765" s="60"/>
    </row>
    <row r="766"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O766" s="60"/>
      <c r="P766" s="60"/>
    </row>
    <row r="767"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O767" s="60"/>
      <c r="P767" s="60"/>
    </row>
    <row r="768"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O768" s="60"/>
      <c r="P768" s="60"/>
    </row>
    <row r="769"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O769" s="60"/>
      <c r="P769" s="60"/>
    </row>
    <row r="770"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O770" s="60"/>
      <c r="P770" s="60"/>
    </row>
    <row r="771"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O771" s="60"/>
      <c r="P771" s="60"/>
    </row>
    <row r="772"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O772" s="60"/>
      <c r="P772" s="60"/>
    </row>
    <row r="773"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O773" s="60"/>
      <c r="P773" s="60"/>
    </row>
    <row r="774"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O774" s="60"/>
      <c r="P774" s="60"/>
    </row>
    <row r="775"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O775" s="60"/>
      <c r="P775" s="60"/>
    </row>
    <row r="776"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O776" s="60"/>
      <c r="P776" s="60"/>
    </row>
    <row r="777"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O777" s="60"/>
      <c r="P777" s="60"/>
    </row>
    <row r="778"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O778" s="60"/>
      <c r="P778" s="60"/>
    </row>
    <row r="779"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O779" s="60"/>
      <c r="P779" s="60"/>
    </row>
    <row r="780"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O780" s="60"/>
      <c r="P780" s="60"/>
    </row>
    <row r="781"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O781" s="60"/>
      <c r="P781" s="60"/>
    </row>
    <row r="782"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O782" s="60"/>
      <c r="P782" s="60"/>
    </row>
    <row r="783"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O783" s="60"/>
      <c r="P783" s="60"/>
    </row>
    <row r="784"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O784" s="60"/>
      <c r="P784" s="60"/>
    </row>
    <row r="785"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O785" s="60"/>
      <c r="P785" s="60"/>
    </row>
    <row r="786"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O786" s="60"/>
      <c r="P786" s="60"/>
    </row>
    <row r="787"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O787" s="60"/>
      <c r="P787" s="60"/>
    </row>
    <row r="788"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O788" s="60"/>
      <c r="P788" s="60"/>
    </row>
    <row r="789"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O789" s="60"/>
      <c r="P789" s="60"/>
    </row>
    <row r="790"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O790" s="60"/>
      <c r="P790" s="60"/>
    </row>
    <row r="791"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O791" s="60"/>
      <c r="P791" s="60"/>
    </row>
    <row r="792"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O792" s="60"/>
      <c r="P792" s="60"/>
    </row>
    <row r="793"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O793" s="60"/>
      <c r="P793" s="60"/>
    </row>
    <row r="794"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O794" s="60"/>
      <c r="P794" s="60"/>
    </row>
    <row r="795"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O795" s="60"/>
      <c r="P795" s="60"/>
    </row>
    <row r="796"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O796" s="60"/>
      <c r="P796" s="60"/>
    </row>
    <row r="797"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O797" s="60"/>
      <c r="P797" s="60"/>
    </row>
    <row r="798"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O798" s="60"/>
      <c r="P798" s="60"/>
    </row>
    <row r="799"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O799" s="60"/>
      <c r="P799" s="60"/>
    </row>
    <row r="800"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O800" s="60"/>
      <c r="P800" s="60"/>
    </row>
    <row r="801"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O801" s="60"/>
      <c r="P801" s="60"/>
    </row>
    <row r="802"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O802" s="60"/>
      <c r="P802" s="60"/>
    </row>
    <row r="803"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O803" s="60"/>
      <c r="P803" s="60"/>
    </row>
    <row r="804"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O804" s="60"/>
      <c r="P804" s="60"/>
    </row>
    <row r="805"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O805" s="60"/>
      <c r="P805" s="60"/>
    </row>
    <row r="806"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O806" s="60"/>
      <c r="P806" s="60"/>
    </row>
    <row r="807"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O807" s="60"/>
      <c r="P807" s="60"/>
    </row>
    <row r="808"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O808" s="60"/>
      <c r="P808" s="60"/>
    </row>
    <row r="809"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O809" s="60"/>
      <c r="P809" s="60"/>
    </row>
    <row r="810"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O810" s="60"/>
      <c r="P810" s="60"/>
    </row>
    <row r="811"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O811" s="60"/>
      <c r="P811" s="60"/>
    </row>
    <row r="812"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O812" s="60"/>
      <c r="P812" s="60"/>
    </row>
    <row r="813"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O813" s="60"/>
      <c r="P813" s="60"/>
    </row>
    <row r="814"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O814" s="60"/>
      <c r="P814" s="60"/>
    </row>
    <row r="815"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O815" s="60"/>
      <c r="P815" s="60"/>
    </row>
    <row r="816"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O816" s="60"/>
      <c r="P816" s="60"/>
    </row>
    <row r="817"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O817" s="60"/>
      <c r="P817" s="60"/>
    </row>
    <row r="818"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O818" s="60"/>
      <c r="P818" s="60"/>
    </row>
    <row r="819"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O819" s="60"/>
      <c r="P819" s="60"/>
    </row>
    <row r="820"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O820" s="60"/>
      <c r="P820" s="60"/>
    </row>
    <row r="821"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O821" s="60"/>
      <c r="P821" s="60"/>
    </row>
    <row r="822"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O822" s="60"/>
      <c r="P822" s="60"/>
    </row>
    <row r="823"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O823" s="60"/>
      <c r="P823" s="60"/>
    </row>
    <row r="824"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O824" s="60"/>
      <c r="P824" s="60"/>
    </row>
    <row r="825"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O825" s="60"/>
      <c r="P825" s="60"/>
    </row>
    <row r="826"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O826" s="60"/>
      <c r="P826" s="60"/>
    </row>
    <row r="827"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O827" s="60"/>
      <c r="P827" s="60"/>
    </row>
    <row r="828"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O828" s="60"/>
      <c r="P828" s="60"/>
    </row>
    <row r="829"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O829" s="60"/>
      <c r="P829" s="60"/>
    </row>
    <row r="830"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O830" s="60"/>
      <c r="P830" s="60"/>
    </row>
    <row r="831"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O831" s="60"/>
      <c r="P831" s="60"/>
    </row>
    <row r="832"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O832" s="60"/>
      <c r="P832" s="60"/>
    </row>
    <row r="833"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O833" s="60"/>
      <c r="P833" s="60"/>
    </row>
    <row r="834"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O834" s="60"/>
      <c r="P834" s="60"/>
    </row>
    <row r="835"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O835" s="60"/>
      <c r="P835" s="60"/>
    </row>
    <row r="836"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O836" s="60"/>
      <c r="P836" s="60"/>
    </row>
    <row r="837"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O837" s="60"/>
      <c r="P837" s="60"/>
    </row>
    <row r="838"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O838" s="60"/>
      <c r="P838" s="60"/>
    </row>
    <row r="839"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O839" s="60"/>
      <c r="P839" s="60"/>
    </row>
    <row r="840"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O840" s="60"/>
      <c r="P840" s="60"/>
    </row>
    <row r="841"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O841" s="60"/>
      <c r="P841" s="60"/>
    </row>
    <row r="842"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O842" s="60"/>
      <c r="P842" s="60"/>
    </row>
    <row r="843"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O843" s="60"/>
      <c r="P843" s="60"/>
    </row>
    <row r="844"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O844" s="60"/>
      <c r="P844" s="60"/>
    </row>
    <row r="845"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O845" s="60"/>
      <c r="P845" s="60"/>
    </row>
    <row r="846"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O846" s="60"/>
      <c r="P846" s="60"/>
    </row>
    <row r="847"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O847" s="60"/>
      <c r="P847" s="60"/>
    </row>
    <row r="848"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O848" s="60"/>
      <c r="P848" s="60"/>
    </row>
    <row r="849"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O849" s="60"/>
      <c r="P849" s="60"/>
    </row>
    <row r="850"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O850" s="60"/>
      <c r="P850" s="60"/>
    </row>
    <row r="851"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O851" s="60"/>
      <c r="P851" s="60"/>
    </row>
    <row r="852"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O852" s="60"/>
      <c r="P852" s="60"/>
    </row>
    <row r="853"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O853" s="60"/>
      <c r="P853" s="60"/>
    </row>
    <row r="854"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O854" s="60"/>
      <c r="P854" s="60"/>
    </row>
    <row r="855"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O855" s="60"/>
      <c r="P855" s="60"/>
    </row>
    <row r="856"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O856" s="60"/>
      <c r="P856" s="60"/>
    </row>
    <row r="857"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O857" s="60"/>
      <c r="P857" s="60"/>
    </row>
    <row r="858"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O858" s="60"/>
      <c r="P858" s="60"/>
    </row>
    <row r="859"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O859" s="60"/>
      <c r="P859" s="60"/>
    </row>
    <row r="860"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O860" s="60"/>
      <c r="P860" s="60"/>
    </row>
    <row r="861"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O861" s="60"/>
      <c r="P861" s="60"/>
    </row>
    <row r="862"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O862" s="60"/>
      <c r="P862" s="60"/>
    </row>
    <row r="863"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O863" s="60"/>
      <c r="P863" s="60"/>
    </row>
    <row r="864"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O864" s="60"/>
      <c r="P864" s="60"/>
    </row>
    <row r="865"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O865" s="60"/>
      <c r="P865" s="60"/>
    </row>
    <row r="866"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O866" s="60"/>
      <c r="P866" s="60"/>
    </row>
    <row r="867"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O867" s="60"/>
      <c r="P867" s="60"/>
    </row>
    <row r="868"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O868" s="60"/>
      <c r="P868" s="60"/>
    </row>
    <row r="869"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O869" s="60"/>
      <c r="P869" s="60"/>
    </row>
    <row r="870"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O870" s="60"/>
      <c r="P870" s="60"/>
    </row>
    <row r="871"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O871" s="60"/>
      <c r="P871" s="60"/>
    </row>
    <row r="872"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O872" s="60"/>
      <c r="P872" s="60"/>
    </row>
    <row r="873"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O873" s="60"/>
      <c r="P873" s="60"/>
    </row>
    <row r="874"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O874" s="60"/>
      <c r="P874" s="60"/>
    </row>
    <row r="875"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O875" s="60"/>
      <c r="P875" s="60"/>
    </row>
    <row r="876"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O876" s="60"/>
      <c r="P876" s="60"/>
    </row>
    <row r="877"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O877" s="60"/>
      <c r="P877" s="60"/>
    </row>
    <row r="878"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O878" s="60"/>
      <c r="P878" s="60"/>
    </row>
    <row r="879"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O879" s="60"/>
      <c r="P879" s="60"/>
    </row>
    <row r="880"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O880" s="60"/>
      <c r="P880" s="60"/>
    </row>
    <row r="881"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O881" s="60"/>
      <c r="P881" s="60"/>
    </row>
    <row r="882"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O882" s="60"/>
      <c r="P882" s="60"/>
    </row>
    <row r="883"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O883" s="60"/>
      <c r="P883" s="60"/>
    </row>
    <row r="884"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O884" s="60"/>
      <c r="P884" s="60"/>
    </row>
    <row r="885"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O885" s="60"/>
      <c r="P885" s="60"/>
    </row>
    <row r="886"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O886" s="60"/>
      <c r="P886" s="60"/>
    </row>
    <row r="887"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O887" s="60"/>
      <c r="P887" s="60"/>
    </row>
    <row r="888"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O888" s="60"/>
      <c r="P888" s="60"/>
    </row>
    <row r="889"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O889" s="60"/>
      <c r="P889" s="60"/>
    </row>
    <row r="890"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O890" s="60"/>
      <c r="P890" s="60"/>
    </row>
    <row r="891"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O891" s="60"/>
      <c r="P891" s="60"/>
    </row>
    <row r="892"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O892" s="60"/>
      <c r="P892" s="60"/>
    </row>
    <row r="893"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O893" s="60"/>
      <c r="P893" s="60"/>
    </row>
    <row r="894"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O894" s="60"/>
      <c r="P894" s="60"/>
    </row>
    <row r="895"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O895" s="60"/>
      <c r="P895" s="60"/>
    </row>
    <row r="896"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O896" s="60"/>
      <c r="P896" s="60"/>
    </row>
    <row r="897"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O897" s="60"/>
      <c r="P897" s="60"/>
    </row>
    <row r="898"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O898" s="60"/>
      <c r="P898" s="60"/>
    </row>
    <row r="899"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O899" s="60"/>
      <c r="P899" s="60"/>
    </row>
    <row r="900"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O900" s="60"/>
      <c r="P900" s="60"/>
    </row>
    <row r="901"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O901" s="60"/>
      <c r="P901" s="60"/>
    </row>
    <row r="902"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O902" s="60"/>
      <c r="P902" s="60"/>
    </row>
    <row r="903"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O903" s="60"/>
      <c r="P903" s="60"/>
    </row>
    <row r="904"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O904" s="60"/>
      <c r="P904" s="60"/>
    </row>
    <row r="905"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O905" s="60"/>
      <c r="P905" s="60"/>
    </row>
    <row r="906"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O906" s="60"/>
      <c r="P906" s="60"/>
    </row>
    <row r="907"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O907" s="60"/>
      <c r="P907" s="60"/>
    </row>
    <row r="908"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O908" s="60"/>
      <c r="P908" s="60"/>
    </row>
    <row r="909"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O909" s="60"/>
      <c r="P909" s="60"/>
    </row>
    <row r="910"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O910" s="60"/>
      <c r="P910" s="60"/>
    </row>
    <row r="911"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O911" s="60"/>
      <c r="P911" s="60"/>
    </row>
    <row r="912"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O912" s="60"/>
      <c r="P912" s="60"/>
    </row>
    <row r="913"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O913" s="60"/>
      <c r="P913" s="60"/>
    </row>
    <row r="914"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O914" s="60"/>
      <c r="P914" s="60"/>
    </row>
    <row r="915"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O915" s="60"/>
      <c r="P915" s="60"/>
    </row>
    <row r="916"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O916" s="60"/>
      <c r="P916" s="60"/>
    </row>
    <row r="917"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O917" s="60"/>
      <c r="P917" s="60"/>
    </row>
    <row r="918"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O918" s="60"/>
      <c r="P918" s="60"/>
    </row>
    <row r="919"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O919" s="60"/>
      <c r="P919" s="60"/>
    </row>
    <row r="920"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O920" s="60"/>
      <c r="P920" s="60"/>
    </row>
    <row r="921"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O921" s="60"/>
      <c r="P921" s="60"/>
    </row>
    <row r="922"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O922" s="60"/>
      <c r="P922" s="60"/>
    </row>
    <row r="923"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O923" s="60"/>
      <c r="P923" s="60"/>
    </row>
    <row r="924"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O924" s="60"/>
      <c r="P924" s="60"/>
    </row>
    <row r="925"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O925" s="60"/>
      <c r="P925" s="60"/>
    </row>
    <row r="926"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O926" s="60"/>
      <c r="P926" s="60"/>
    </row>
    <row r="927"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O927" s="60"/>
      <c r="P927" s="60"/>
    </row>
    <row r="928"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O928" s="60"/>
      <c r="P928" s="60"/>
    </row>
    <row r="929"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O929" s="60"/>
      <c r="P929" s="60"/>
    </row>
    <row r="930"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O930" s="60"/>
      <c r="P930" s="60"/>
    </row>
    <row r="931"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O931" s="60"/>
      <c r="P931" s="60"/>
    </row>
    <row r="932"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O932" s="60"/>
      <c r="P932" s="60"/>
    </row>
    <row r="933"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O933" s="60"/>
      <c r="P933" s="60"/>
    </row>
    <row r="934"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O934" s="60"/>
      <c r="P934" s="60"/>
    </row>
    <row r="935"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O935" s="60"/>
      <c r="P935" s="60"/>
    </row>
    <row r="936"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O936" s="60"/>
      <c r="P936" s="60"/>
    </row>
    <row r="937"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O937" s="60"/>
      <c r="P937" s="60"/>
    </row>
    <row r="938"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O938" s="60"/>
      <c r="P938" s="60"/>
    </row>
    <row r="939"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O939" s="60"/>
      <c r="P939" s="60"/>
    </row>
    <row r="940"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O940" s="60"/>
      <c r="P940" s="60"/>
    </row>
    <row r="941"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O941" s="60"/>
      <c r="P941" s="60"/>
    </row>
    <row r="942"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O942" s="60"/>
      <c r="P942" s="60"/>
    </row>
    <row r="943"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O943" s="60"/>
      <c r="P943" s="60"/>
    </row>
    <row r="944"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O944" s="60"/>
      <c r="P944" s="60"/>
    </row>
    <row r="945"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O945" s="60"/>
      <c r="P945" s="60"/>
    </row>
    <row r="946"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O946" s="60"/>
      <c r="P946" s="60"/>
    </row>
    <row r="947"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O947" s="60"/>
      <c r="P947" s="60"/>
    </row>
    <row r="948"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O948" s="60"/>
      <c r="P948" s="60"/>
    </row>
    <row r="949"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O949" s="60"/>
      <c r="P949" s="60"/>
    </row>
    <row r="950"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O950" s="60"/>
      <c r="P950" s="60"/>
    </row>
    <row r="951"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O951" s="60"/>
      <c r="P951" s="60"/>
    </row>
    <row r="952"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O952" s="60"/>
      <c r="P952" s="60"/>
    </row>
    <row r="953"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O953" s="60"/>
      <c r="P953" s="60"/>
    </row>
    <row r="954"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O954" s="60"/>
      <c r="P954" s="60"/>
    </row>
    <row r="955"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O955" s="60"/>
      <c r="P955" s="60"/>
    </row>
    <row r="956"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O956" s="60"/>
      <c r="P956" s="60"/>
    </row>
    <row r="957"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O957" s="60"/>
      <c r="P957" s="60"/>
    </row>
    <row r="958"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O958" s="60"/>
      <c r="P958" s="60"/>
    </row>
    <row r="959"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O959" s="60"/>
      <c r="P959" s="60"/>
    </row>
    <row r="960"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O960" s="60"/>
      <c r="P960" s="60"/>
    </row>
    <row r="961"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O961" s="60"/>
      <c r="P961" s="60"/>
    </row>
    <row r="962"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O962" s="60"/>
      <c r="P962" s="60"/>
    </row>
    <row r="963"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O963" s="60"/>
      <c r="P963" s="60"/>
    </row>
    <row r="964"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O964" s="60"/>
      <c r="P964" s="60"/>
    </row>
    <row r="965"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O965" s="60"/>
      <c r="P965" s="60"/>
    </row>
    <row r="966"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O966" s="60"/>
      <c r="P966" s="60"/>
    </row>
    <row r="967"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O967" s="60"/>
      <c r="P967" s="60"/>
    </row>
    <row r="968"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O968" s="60"/>
      <c r="P968" s="60"/>
    </row>
    <row r="969"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O969" s="60"/>
      <c r="P969" s="60"/>
    </row>
    <row r="970"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O970" s="60"/>
      <c r="P970" s="60"/>
    </row>
    <row r="971"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O971" s="60"/>
      <c r="P971" s="60"/>
    </row>
    <row r="972"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O972" s="60"/>
      <c r="P972" s="60"/>
    </row>
    <row r="973"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O973" s="60"/>
      <c r="P973" s="60"/>
    </row>
    <row r="974"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O974" s="60"/>
      <c r="P974" s="60"/>
    </row>
    <row r="975"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O975" s="60"/>
      <c r="P975" s="60"/>
    </row>
    <row r="976"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O976" s="60"/>
      <c r="P976" s="60"/>
    </row>
    <row r="977"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O977" s="60"/>
      <c r="P977" s="60"/>
    </row>
    <row r="978"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O978" s="60"/>
      <c r="P978" s="60"/>
    </row>
    <row r="979"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O979" s="60"/>
      <c r="P979" s="60"/>
    </row>
    <row r="980"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O980" s="60"/>
      <c r="P980" s="60"/>
    </row>
    <row r="981"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O981" s="60"/>
      <c r="P981" s="60"/>
    </row>
    <row r="982"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O982" s="60"/>
      <c r="P982" s="60"/>
    </row>
    <row r="983"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O983" s="60"/>
      <c r="P983" s="60"/>
    </row>
    <row r="984"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O984" s="60"/>
      <c r="P984" s="60"/>
    </row>
    <row r="985"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O985" s="60"/>
      <c r="P985" s="60"/>
    </row>
    <row r="986"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O986" s="60"/>
      <c r="P986" s="60"/>
    </row>
    <row r="987"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O987" s="60"/>
      <c r="P987" s="60"/>
    </row>
    <row r="988"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O988" s="60"/>
      <c r="P988" s="60"/>
    </row>
    <row r="989"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O989" s="60"/>
      <c r="P989" s="60"/>
    </row>
    <row r="990"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O990" s="60"/>
      <c r="P990" s="60"/>
    </row>
    <row r="991"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O991" s="60"/>
      <c r="P991" s="60"/>
    </row>
    <row r="992"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O992" s="60"/>
      <c r="P992" s="60"/>
    </row>
    <row r="993"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O993" s="60"/>
      <c r="P993" s="60"/>
    </row>
    <row r="994"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O994" s="60"/>
      <c r="P994" s="60"/>
    </row>
    <row r="995"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O995" s="60"/>
      <c r="P995" s="60"/>
    </row>
    <row r="996"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O996" s="60"/>
      <c r="P996" s="60"/>
    </row>
    <row r="997"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O997" s="60"/>
      <c r="P997" s="60"/>
    </row>
    <row r="998"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O998" s="60"/>
      <c r="P998" s="60"/>
    </row>
    <row r="999"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O999" s="60"/>
      <c r="P999" s="60"/>
    </row>
    <row r="1000"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O1000" s="60"/>
      <c r="P1000" s="6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18.88"/>
    <col customWidth="1" min="3" max="3" width="19.38"/>
    <col customWidth="1" min="4" max="4" width="17.88"/>
    <col customWidth="1" min="5" max="5" width="37.63"/>
    <col customWidth="1" min="6" max="6" width="19.13"/>
    <col customWidth="1" min="7" max="7" width="18.75"/>
    <col customWidth="1" min="8" max="8" width="33.25"/>
    <col customWidth="1" min="9" max="9" width="19.5"/>
    <col customWidth="1" min="10" max="11" width="20.38"/>
    <col customWidth="1" min="12" max="15" width="17.5"/>
  </cols>
  <sheetData>
    <row r="1" ht="48.75" customHeight="1">
      <c r="A1" s="129" t="s">
        <v>149</v>
      </c>
      <c r="B1" s="129" t="s">
        <v>192</v>
      </c>
      <c r="C1" s="129" t="s">
        <v>193</v>
      </c>
      <c r="D1" s="129" t="s">
        <v>194</v>
      </c>
      <c r="E1" s="129" t="s">
        <v>195</v>
      </c>
      <c r="F1" s="129" t="s">
        <v>196</v>
      </c>
      <c r="G1" s="129" t="s">
        <v>197</v>
      </c>
      <c r="H1" s="129" t="s">
        <v>198</v>
      </c>
      <c r="I1" s="129" t="s">
        <v>199</v>
      </c>
      <c r="J1" s="129" t="s">
        <v>200</v>
      </c>
      <c r="K1" s="129" t="s">
        <v>201</v>
      </c>
      <c r="L1" s="129" t="s">
        <v>26</v>
      </c>
      <c r="M1" s="129" t="s">
        <v>42</v>
      </c>
      <c r="N1" s="129" t="s">
        <v>50</v>
      </c>
      <c r="O1" s="129" t="s">
        <v>52</v>
      </c>
      <c r="P1" s="79"/>
      <c r="Q1" s="79"/>
      <c r="R1" s="79"/>
      <c r="S1" s="79"/>
      <c r="T1" s="79"/>
    </row>
    <row r="2" ht="30.0" customHeight="1">
      <c r="A2" s="130" t="s">
        <v>181</v>
      </c>
      <c r="B2" s="131">
        <f t="array" ref="B2">countifs(TRECHOS_LONGOS!$A:$A, "&lt;&gt;", month(TRECHOS_LONGOS!$F:$F), row()-1, TRECHOS_LONGOS!$H:$H, "AÉREO")</f>
        <v>22</v>
      </c>
      <c r="C2" s="131">
        <f t="array" ref="C2">countifs(TRECHOS_LONGOS!$A:$A, "&lt;&gt;", month(TRECHOS_LONGOS!$F:$F), row()-1, TRECHOS_LONGOS!$H:$H, "TERRESTRE")</f>
        <v>0</v>
      </c>
      <c r="D2" s="131">
        <f t="array" ref="D2">round(AVERAGEIFS(TRECHOS_LONGOS!$G:$G, MONTH(TRECHOS_LONGOS!$F:$F), row()-1, TRECHOS_LONGOS!$H:$H, "AÉREO"), 1)</f>
        <v>6.6</v>
      </c>
      <c r="E2" s="132">
        <f t="array" ref="E2">SUMIFS(TRECHOS_LONGOS!$P:$P, MONTH(TRECHOS_LONGOS!$F:$F), row()-1, TRECHOS_LONGOS!$H:$H, "AÉREO")</f>
        <v>41060</v>
      </c>
      <c r="F2" s="132">
        <f t="array" ref="F2">SUMIFS(TRECHOS_LONGOS!$P:$P, MONTH(TRECHOS_LONGOS!$F:$F), row()-1, TRECHOS_LONGOS!$H:$H, "TERRESTRE")</f>
        <v>0</v>
      </c>
      <c r="G2" s="132" t="s">
        <v>29</v>
      </c>
      <c r="H2" s="131">
        <f t="array" ref="H2">countifs(TRECHOS_LONGOS!$S:$S, "SIM", month(TRECHOS_LONGOS!$F:$F), row()-1, TRECHOS_LONGOS!$H:$H, "AÉREO")</f>
        <v>0</v>
      </c>
      <c r="I2" s="131">
        <f t="array" ref="I2">countifs(TRECHOS_LONGOS!$S:$S, "SIM", month(TRECHOS_LONGOS!$F:$F), row()-1, TRECHOS_LONGOS!$H:$H, "TERRESTRE")</f>
        <v>0</v>
      </c>
      <c r="J2" s="133">
        <f t="shared" ref="J2:K2" si="1">if(B2 = 0, 0, round(H2/B2, 4))</f>
        <v>0</v>
      </c>
      <c r="K2" s="133">
        <f t="shared" si="1"/>
        <v>0</v>
      </c>
      <c r="L2" s="134">
        <v>8.0</v>
      </c>
      <c r="M2" s="134">
        <v>5.0</v>
      </c>
      <c r="N2" s="134">
        <v>5.0</v>
      </c>
      <c r="O2" s="134">
        <v>4.0</v>
      </c>
      <c r="P2" s="68"/>
      <c r="Q2" s="68"/>
      <c r="R2" s="68"/>
      <c r="S2" s="68"/>
      <c r="T2" s="68"/>
    </row>
    <row r="3" ht="30.0" customHeight="1">
      <c r="A3" s="130" t="s">
        <v>182</v>
      </c>
      <c r="B3" s="131">
        <f t="array" ref="B3">countifs(TRECHOS_LONGOS!A:A, "&lt;&gt;", month(TRECHOS_LONGOS!F:F), row()-1, TRECHOS_LONGOS!H:H, "AÉREO")</f>
        <v>13</v>
      </c>
      <c r="C3" s="131">
        <f t="array" ref="C3">countifs(TRECHOS_LONGOS!$A:$A, "&lt;&gt;", month(TRECHOS_LONGOS!$F:$F), row()-1, TRECHOS_LONGOS!$H:$H, "TERRESTRE")</f>
        <v>0</v>
      </c>
      <c r="D3" s="131">
        <f t="array" ref="D3">round(AVERAGEIFS(TRECHOS_LONGOS!G:G, MONTH(TRECHOS_LONGOS!F:F), row()-1, TRECHOS_LONGOS!H:H, "AÉREO"), 1)</f>
        <v>3.1</v>
      </c>
      <c r="E3" s="132">
        <f t="array" ref="E3">SUMIFS(TRECHOS_LONGOS!$P:$P, MONTH(TRECHOS_LONGOS!$F:$F), row()-1, TRECHOS_LONGOS!$H:$H, "AÉREO")</f>
        <v>21290</v>
      </c>
      <c r="F3" s="132">
        <f t="array" ref="F3">SUMIFS(TRECHOS_LONGOS!$P:$P, MONTH(TRECHOS_LONGOS!$F:$F), row()-1, TRECHOS_LONGOS!$H:$H, "TERRESTRE")</f>
        <v>0</v>
      </c>
      <c r="G3" s="132" t="s">
        <v>29</v>
      </c>
      <c r="H3" s="131">
        <f t="array" ref="H3">countifs(TRECHOS_LONGOS!$S:$S, "SIM", month(TRECHOS_LONGOS!$F:$F), row()-1, TRECHOS_LONGOS!$H:$H, "AÉREO")</f>
        <v>0</v>
      </c>
      <c r="I3" s="131">
        <f t="array" ref="I3">countifs(TRECHOS_LONGOS!$S:$S, "SIM", month(TRECHOS_LONGOS!$F:$F), row()-1, TRECHOS_LONGOS!$H:$H, "TERRESTRE")</f>
        <v>0</v>
      </c>
      <c r="J3" s="133">
        <f t="shared" ref="J3:K3" si="2">if(B3 = 0, 0, round(H3/B3, 4))</f>
        <v>0</v>
      </c>
      <c r="K3" s="133">
        <f t="shared" si="2"/>
        <v>0</v>
      </c>
      <c r="L3" s="134">
        <v>2.0</v>
      </c>
      <c r="M3" s="134">
        <v>5.0</v>
      </c>
      <c r="N3" s="134">
        <v>2.0</v>
      </c>
      <c r="O3" s="134">
        <v>4.0</v>
      </c>
      <c r="P3" s="68"/>
      <c r="Q3" s="68"/>
      <c r="R3" s="68"/>
      <c r="S3" s="68"/>
      <c r="T3" s="68"/>
    </row>
    <row r="4" ht="30.0" customHeight="1">
      <c r="A4" s="130" t="s">
        <v>183</v>
      </c>
      <c r="B4" s="131">
        <f t="array" ref="B4">countifs(TRECHOS_LONGOS!A:A, "&lt;&gt;", month(TRECHOS_LONGOS!F:F), row()-1, TRECHOS_LONGOS!H:H, "AÉREO")</f>
        <v>61</v>
      </c>
      <c r="C4" s="131">
        <f t="array" ref="C4">countifs(TRECHOS_LONGOS!$A:$A, "&lt;&gt;", month(TRECHOS_LONGOS!$F:$F), row()-1, TRECHOS_LONGOS!$H:$H, "TERRESTRE")</f>
        <v>4</v>
      </c>
      <c r="D4" s="131">
        <f t="array" ref="D4">round(AVERAGEIFS(TRECHOS_LONGOS!G:G, MONTH(TRECHOS_LONGOS!F:F), row()-1, TRECHOS_LONGOS!H:H, "AÉREO"), 1)</f>
        <v>3.8</v>
      </c>
      <c r="E4" s="132">
        <f t="array" ref="E4">SUMIFS(TRECHOS_LONGOS!$P:$P, MONTH(TRECHOS_LONGOS!$F:$F), row()-1, TRECHOS_LONGOS!$H:$H, "AÉREO")</f>
        <v>77375</v>
      </c>
      <c r="F4" s="132">
        <f t="array" ref="F4">SUMIFS(TRECHOS_LONGOS!$P:$P, MONTH(TRECHOS_LONGOS!$F:$F), row()-1, TRECHOS_LONGOS!$H:$H, "TERRESTRE")</f>
        <v>760</v>
      </c>
      <c r="G4" s="132" t="s">
        <v>29</v>
      </c>
      <c r="H4" s="131">
        <f t="array" ref="H4">countifs(TRECHOS_LONGOS!$S:$S, "SIM", month(TRECHOS_LONGOS!$F:$F), row()-1, TRECHOS_LONGOS!$H:$H, "AÉREO")</f>
        <v>9</v>
      </c>
      <c r="I4" s="131">
        <f t="array" ref="I4">countifs(TRECHOS_LONGOS!$S:$S, "SIM", month(TRECHOS_LONGOS!$F:$F), row()-1, TRECHOS_LONGOS!$H:$H, "TERRESTRE")</f>
        <v>0</v>
      </c>
      <c r="J4" s="133">
        <f t="shared" ref="J4:K4" si="3">if(B4 = 0, 0, round(H4/B4, 4))</f>
        <v>0.1475</v>
      </c>
      <c r="K4" s="133">
        <f t="shared" si="3"/>
        <v>0</v>
      </c>
      <c r="L4" s="134">
        <v>12.0</v>
      </c>
      <c r="M4" s="134">
        <v>17.0</v>
      </c>
      <c r="N4" s="134">
        <v>22.0</v>
      </c>
      <c r="O4" s="134">
        <v>14.0</v>
      </c>
      <c r="P4" s="68"/>
      <c r="Q4" s="68"/>
      <c r="R4" s="68"/>
      <c r="S4" s="68"/>
      <c r="T4" s="68"/>
    </row>
    <row r="5">
      <c r="A5" s="135"/>
      <c r="B5" s="135"/>
      <c r="C5" s="135"/>
      <c r="D5" s="135"/>
      <c r="E5" s="135"/>
      <c r="F5" s="135"/>
      <c r="G5" s="135"/>
      <c r="H5" s="135"/>
      <c r="I5" s="135"/>
      <c r="J5" s="135"/>
      <c r="K5" s="135"/>
      <c r="L5" s="135"/>
      <c r="M5" s="135"/>
      <c r="N5" s="135"/>
      <c r="O5" s="135"/>
    </row>
    <row r="6" ht="33.0" customHeight="1">
      <c r="A6" s="129" t="s">
        <v>202</v>
      </c>
      <c r="B6" s="129" t="s">
        <v>181</v>
      </c>
      <c r="C6" s="129" t="s">
        <v>182</v>
      </c>
      <c r="D6" s="129" t="s">
        <v>183</v>
      </c>
    </row>
    <row r="7">
      <c r="A7" s="136" t="str">
        <f t="array" ref="A7:A16">unique(TRECHOS_LONGOS!I2:I1000)</f>
        <v>Brasília</v>
      </c>
      <c r="B7" s="137">
        <f t="array" ref="B7">COUNTIFS(TRECHOS_LONGOS!$I:$I, $A7, month(TRECHOS_LONGOS!$F:$F), column()-1)</f>
        <v>4</v>
      </c>
      <c r="C7" s="137">
        <f t="array" ref="C7">COUNTIFS(TRECHOS_LONGOS!$I:$I, $A7, month(TRECHOS_LONGOS!$F:$F), column()-1)</f>
        <v>5</v>
      </c>
      <c r="D7" s="137">
        <f t="array" ref="D7">COUNTIFS(TRECHOS_LONGOS!$I:$I, $A7, month(TRECHOS_LONGOS!$F:$F), column()-1)</f>
        <v>14</v>
      </c>
    </row>
    <row r="8">
      <c r="A8" s="136" t="s">
        <v>32</v>
      </c>
      <c r="B8" s="137">
        <f t="array" ref="B8">COUNTIFS(TRECHOS_LONGOS!$I:$I, $A8, month(TRECHOS_LONGOS!$F:$F), column()-1)</f>
        <v>9</v>
      </c>
      <c r="C8" s="137">
        <f t="array" ref="C8">COUNTIFS(TRECHOS_LONGOS!$I:$I, $A8, month(TRECHOS_LONGOS!$F:$F), column()-1)</f>
        <v>4</v>
      </c>
      <c r="D8" s="137">
        <f t="array" ref="D8">COUNTIFS(TRECHOS_LONGOS!$I:$I, $A8, month(TRECHOS_LONGOS!$F:$F), column()-1)</f>
        <v>18</v>
      </c>
    </row>
    <row r="9">
      <c r="A9" s="136" t="s">
        <v>44</v>
      </c>
      <c r="B9" s="137">
        <f t="array" ref="B9">COUNTIFS(TRECHOS_LONGOS!$I:$I, $A9, month(TRECHOS_LONGOS!$F:$F), column()-1)</f>
        <v>3</v>
      </c>
      <c r="C9" s="137">
        <f t="array" ref="C9">COUNTIFS(TRECHOS_LONGOS!$I:$I, $A9, month(TRECHOS_LONGOS!$F:$F), column()-1)</f>
        <v>0</v>
      </c>
      <c r="D9" s="137">
        <f t="array" ref="D9">COUNTIFS(TRECHOS_LONGOS!$I:$I, $A9, month(TRECHOS_LONGOS!$F:$F), column()-1)</f>
        <v>11</v>
      </c>
    </row>
    <row r="10">
      <c r="A10" s="136" t="s">
        <v>53</v>
      </c>
      <c r="B10" s="137">
        <f t="array" ref="B10">COUNTIFS(TRECHOS_LONGOS!$I:$I, $A10, month(TRECHOS_LONGOS!$F:$F), column()-1)</f>
        <v>1</v>
      </c>
      <c r="C10" s="137">
        <f t="array" ref="C10">COUNTIFS(TRECHOS_LONGOS!$I:$I, $A10, month(TRECHOS_LONGOS!$F:$F), column()-1)</f>
        <v>0</v>
      </c>
      <c r="D10" s="137">
        <f t="array" ref="D10">COUNTIFS(TRECHOS_LONGOS!$I:$I, $A10, month(TRECHOS_LONGOS!$F:$F), column()-1)</f>
        <v>0</v>
      </c>
    </row>
    <row r="11">
      <c r="A11" s="136" t="s">
        <v>56</v>
      </c>
      <c r="B11" s="137">
        <f t="array" ref="B11">COUNTIFS(TRECHOS_LONGOS!$I:$I, $A11, month(TRECHOS_LONGOS!$F:$F), column()-1)</f>
        <v>3</v>
      </c>
      <c r="C11" s="137">
        <f t="array" ref="C11">COUNTIFS(TRECHOS_LONGOS!$I:$I, $A11, month(TRECHOS_LONGOS!$F:$F), column()-1)</f>
        <v>2</v>
      </c>
      <c r="D11" s="137">
        <f t="array" ref="D11">COUNTIFS(TRECHOS_LONGOS!$I:$I, $A11, month(TRECHOS_LONGOS!$F:$F), column()-1)</f>
        <v>2</v>
      </c>
    </row>
    <row r="12">
      <c r="A12" s="136" t="s">
        <v>61</v>
      </c>
      <c r="B12" s="137">
        <f t="array" ref="B12">COUNTIFS(TRECHOS_LONGOS!$I:$I, $A12, month(TRECHOS_LONGOS!$F:$F), column()-1)</f>
        <v>2</v>
      </c>
      <c r="C12" s="137">
        <f t="array" ref="C12">COUNTIFS(TRECHOS_LONGOS!$I:$I, $A12, month(TRECHOS_LONGOS!$F:$F), column()-1)</f>
        <v>0</v>
      </c>
      <c r="D12" s="137">
        <f t="array" ref="D12">COUNTIFS(TRECHOS_LONGOS!$I:$I, $A12, month(TRECHOS_LONGOS!$F:$F), column()-1)</f>
        <v>0</v>
      </c>
    </row>
    <row r="13">
      <c r="A13" s="136" t="s">
        <v>67</v>
      </c>
      <c r="B13" s="137">
        <f t="array" ref="B13">COUNTIFS(TRECHOS_LONGOS!$I:$I, $A13, month(TRECHOS_LONGOS!$F:$F), column()-1)</f>
        <v>0</v>
      </c>
      <c r="C13" s="137">
        <f t="array" ref="C13">COUNTIFS(TRECHOS_LONGOS!$I:$I, $A13, month(TRECHOS_LONGOS!$F:$F), column()-1)</f>
        <v>2</v>
      </c>
      <c r="D13" s="137">
        <f t="array" ref="D13">COUNTIFS(TRECHOS_LONGOS!$I:$I, $A13, month(TRECHOS_LONGOS!$F:$F), column()-1)</f>
        <v>12</v>
      </c>
    </row>
    <row r="14">
      <c r="A14" s="136" t="s">
        <v>75</v>
      </c>
      <c r="B14" s="137">
        <f t="array" ref="B14">COUNTIFS(TRECHOS_LONGOS!$I:$I, $A14, month(TRECHOS_LONGOS!$F:$F), column()-1)</f>
        <v>0</v>
      </c>
      <c r="C14" s="137">
        <f t="array" ref="C14">COUNTIFS(TRECHOS_LONGOS!$I:$I, $A14, month(TRECHOS_LONGOS!$F:$F), column()-1)</f>
        <v>0</v>
      </c>
      <c r="D14" s="137">
        <f t="array" ref="D14">COUNTIFS(TRECHOS_LONGOS!$I:$I, $A14, month(TRECHOS_LONGOS!$F:$F), column()-1)</f>
        <v>2</v>
      </c>
    </row>
    <row r="15">
      <c r="A15" s="136" t="s">
        <v>79</v>
      </c>
      <c r="B15" s="137">
        <f t="array" ref="B15">COUNTIFS(TRECHOS_LONGOS!$I:$I, $A15, month(TRECHOS_LONGOS!$F:$F), column()-1)</f>
        <v>0</v>
      </c>
      <c r="C15" s="137">
        <f t="array" ref="C15">COUNTIFS(TRECHOS_LONGOS!$I:$I, $A15, month(TRECHOS_LONGOS!$F:$F), column()-1)</f>
        <v>0</v>
      </c>
      <c r="D15" s="137">
        <f t="array" ref="D15">COUNTIFS(TRECHOS_LONGOS!$I:$I, $A15, month(TRECHOS_LONGOS!$F:$F), column()-1)</f>
        <v>2</v>
      </c>
    </row>
    <row r="16">
      <c r="A16" s="136" t="s">
        <v>64</v>
      </c>
      <c r="B16" s="137">
        <f t="array" ref="B16">COUNTIFS(TRECHOS_LONGOS!$I:$I, $A16, month(TRECHOS_LONGOS!$F:$F), column()-1)</f>
        <v>0</v>
      </c>
      <c r="C16" s="137">
        <f t="array" ref="C16">COUNTIFS(TRECHOS_LONGOS!$I:$I, $A16, month(TRECHOS_LONGOS!$F:$F), column()-1)</f>
        <v>0</v>
      </c>
      <c r="D16" s="137">
        <f t="array" ref="D16">COUNTIFS(TRECHOS_LONGOS!$I:$I, $A16, month(TRECHOS_LONGOS!$F:$F), column()-1)</f>
        <v>4</v>
      </c>
    </row>
    <row r="17">
      <c r="A17" s="135"/>
      <c r="B17" s="135"/>
      <c r="C17" s="135"/>
      <c r="D17" s="135"/>
    </row>
    <row r="18" ht="34.5" customHeight="1">
      <c r="A18" s="129" t="s">
        <v>203</v>
      </c>
      <c r="B18" s="129" t="s">
        <v>181</v>
      </c>
      <c r="C18" s="129" t="s">
        <v>182</v>
      </c>
      <c r="D18" s="129" t="s">
        <v>183</v>
      </c>
    </row>
    <row r="19">
      <c r="A19" s="136" t="str">
        <f t="array" ref="A19:A27">unique(TRECHOS_LONGOS!L2:L1000)</f>
        <v>João Pessoa</v>
      </c>
      <c r="B19" s="137">
        <f t="array" ref="B19">COUNTIFS(TRECHOS_LONGOS!$L:$L, $A19, month(TRECHOS_LONGOS!$F:$F), column()-1)</f>
        <v>9</v>
      </c>
      <c r="C19" s="137">
        <f t="array" ref="C19">COUNTIFS(TRECHOS_LONGOS!$L:$L, $A19, month(TRECHOS_LONGOS!$F:$F), column()-1)</f>
        <v>4</v>
      </c>
      <c r="D19" s="137">
        <f t="array" ref="D19">COUNTIFS(TRECHOS_LONGOS!$L:$L, $A19, month(TRECHOS_LONGOS!$F:$F), column()-1)</f>
        <v>23</v>
      </c>
    </row>
    <row r="20">
      <c r="A20" s="136" t="s">
        <v>29</v>
      </c>
      <c r="B20" s="137">
        <f t="array" ref="B20">COUNTIFS(TRECHOS_LONGOS!$L:$L, $A20, month(TRECHOS_LONGOS!$F:$F), column()-1)</f>
        <v>4</v>
      </c>
      <c r="C20" s="137">
        <f t="array" ref="C20">COUNTIFS(TRECHOS_LONGOS!$L:$L, $A20, month(TRECHOS_LONGOS!$F:$F), column()-1)</f>
        <v>5</v>
      </c>
      <c r="D20" s="137">
        <f t="array" ref="D20">COUNTIFS(TRECHOS_LONGOS!$L:$L, $A20, month(TRECHOS_LONGOS!$F:$F), column()-1)</f>
        <v>14</v>
      </c>
    </row>
    <row r="21">
      <c r="A21" s="136" t="s">
        <v>44</v>
      </c>
      <c r="B21" s="137">
        <f t="array" ref="B21">COUNTIFS(TRECHOS_LONGOS!$L:$L, $A21, month(TRECHOS_LONGOS!$F:$F), column()-1)</f>
        <v>3</v>
      </c>
      <c r="C21" s="137">
        <f t="array" ref="C21">COUNTIFS(TRECHOS_LONGOS!$L:$L, $A21, month(TRECHOS_LONGOS!$F:$F), column()-1)</f>
        <v>0</v>
      </c>
      <c r="D21" s="137">
        <f t="array" ref="D21">COUNTIFS(TRECHOS_LONGOS!$L:$L, $A21, month(TRECHOS_LONGOS!$F:$F), column()-1)</f>
        <v>6</v>
      </c>
    </row>
    <row r="22">
      <c r="A22" s="136" t="s">
        <v>53</v>
      </c>
      <c r="B22" s="137">
        <f t="array" ref="B22">COUNTIFS(TRECHOS_LONGOS!$L:$L, $A22, month(TRECHOS_LONGOS!$F:$F), column()-1)</f>
        <v>1</v>
      </c>
      <c r="C22" s="137">
        <f t="array" ref="C22">COUNTIFS(TRECHOS_LONGOS!$L:$L, $A22, month(TRECHOS_LONGOS!$F:$F), column()-1)</f>
        <v>0</v>
      </c>
      <c r="D22" s="137">
        <f t="array" ref="D22">COUNTIFS(TRECHOS_LONGOS!$L:$L, $A22, month(TRECHOS_LONGOS!$F:$F), column()-1)</f>
        <v>0</v>
      </c>
    </row>
    <row r="23">
      <c r="A23" s="136" t="s">
        <v>56</v>
      </c>
      <c r="B23" s="137">
        <f t="array" ref="B23">COUNTIFS(TRECHOS_LONGOS!$L:$L, $A23, month(TRECHOS_LONGOS!$F:$F), column()-1)</f>
        <v>3</v>
      </c>
      <c r="C23" s="137">
        <f t="array" ref="C23">COUNTIFS(TRECHOS_LONGOS!$L:$L, $A23, month(TRECHOS_LONGOS!$F:$F), column()-1)</f>
        <v>2</v>
      </c>
      <c r="D23" s="137">
        <f t="array" ref="D23">COUNTIFS(TRECHOS_LONGOS!$L:$L, $A23, month(TRECHOS_LONGOS!$F:$F), column()-1)</f>
        <v>2</v>
      </c>
    </row>
    <row r="24">
      <c r="A24" s="136" t="s">
        <v>64</v>
      </c>
      <c r="B24" s="137">
        <f t="array" ref="B24">COUNTIFS(TRECHOS_LONGOS!$L:$L, $A24, month(TRECHOS_LONGOS!$F:$F), column()-1)</f>
        <v>2</v>
      </c>
      <c r="C24" s="137">
        <f t="array" ref="C24">COUNTIFS(TRECHOS_LONGOS!$L:$L, $A24, month(TRECHOS_LONGOS!$F:$F), column()-1)</f>
        <v>0</v>
      </c>
      <c r="D24" s="137">
        <f t="array" ref="D24">COUNTIFS(TRECHOS_LONGOS!$L:$L, $A24, month(TRECHOS_LONGOS!$F:$F), column()-1)</f>
        <v>4</v>
      </c>
    </row>
    <row r="25">
      <c r="A25" s="136" t="s">
        <v>67</v>
      </c>
      <c r="B25" s="137">
        <f t="array" ref="B25">COUNTIFS(TRECHOS_LONGOS!$L:$L, $A25, month(TRECHOS_LONGOS!$F:$F), column()-1)</f>
        <v>0</v>
      </c>
      <c r="C25" s="137">
        <f t="array" ref="C25">COUNTIFS(TRECHOS_LONGOS!$L:$L, $A25, month(TRECHOS_LONGOS!$F:$F), column()-1)</f>
        <v>2</v>
      </c>
      <c r="D25" s="137">
        <f t="array" ref="D25">COUNTIFS(TRECHOS_LONGOS!$L:$L, $A25, month(TRECHOS_LONGOS!$F:$F), column()-1)</f>
        <v>12</v>
      </c>
    </row>
    <row r="26">
      <c r="A26" s="136" t="s">
        <v>75</v>
      </c>
      <c r="B26" s="137">
        <f t="array" ref="B26">COUNTIFS(TRECHOS_LONGOS!$L:$L, $A26, month(TRECHOS_LONGOS!$F:$F), column()-1)</f>
        <v>0</v>
      </c>
      <c r="C26" s="137">
        <f t="array" ref="C26">COUNTIFS(TRECHOS_LONGOS!$L:$L, $A26, month(TRECHOS_LONGOS!$F:$F), column()-1)</f>
        <v>0</v>
      </c>
      <c r="D26" s="137">
        <f t="array" ref="D26">COUNTIFS(TRECHOS_LONGOS!$L:$L, $A26, month(TRECHOS_LONGOS!$F:$F), column()-1)</f>
        <v>2</v>
      </c>
    </row>
    <row r="27">
      <c r="A27" s="136" t="s">
        <v>79</v>
      </c>
      <c r="B27" s="137">
        <f t="array" ref="B27">COUNTIFS(TRECHOS_LONGOS!$L:$L, $A27, month(TRECHOS_LONGOS!$F:$F), column()-1)</f>
        <v>0</v>
      </c>
      <c r="C27" s="137">
        <f t="array" ref="C27">COUNTIFS(TRECHOS_LONGOS!$L:$L, $A27, month(TRECHOS_LONGOS!$F:$F), column()-1)</f>
        <v>0</v>
      </c>
      <c r="D27" s="137">
        <f t="array" ref="D27">COUNTIFS(TRECHOS_LONGOS!$L:$L, $A27, month(TRECHOS_LONGOS!$F:$F), column()-1)</f>
        <v>2</v>
      </c>
    </row>
    <row r="28">
      <c r="A28" s="135"/>
      <c r="B28" s="135"/>
      <c r="C28" s="135"/>
      <c r="D28" s="135"/>
    </row>
    <row r="29" ht="36.75" customHeight="1">
      <c r="A29" s="129" t="s">
        <v>204</v>
      </c>
      <c r="B29" s="129" t="s">
        <v>181</v>
      </c>
      <c r="C29" s="129" t="s">
        <v>182</v>
      </c>
      <c r="D29" s="129" t="s">
        <v>183</v>
      </c>
    </row>
    <row r="30">
      <c r="A30" s="55" t="s">
        <v>26</v>
      </c>
      <c r="B30" s="137">
        <f t="array" ref="B30">COUNTIFS(TRECHOS_LONGOS!$C:$C, $A30, month(TRECHOS_LONGOS!$F:$F), column()-1)</f>
        <v>8</v>
      </c>
      <c r="C30" s="137">
        <f t="array" ref="C30">COUNTIFS(TRECHOS_LONGOS!$C:$C, $A30, month(TRECHOS_LONGOS!$F:$F), column()-1)</f>
        <v>2</v>
      </c>
      <c r="D30" s="137">
        <f t="array" ref="D30">COUNTIFS(TRECHOS_LONGOS!$C:$C, $A30, month(TRECHOS_LONGOS!$F:$F), column()-1)</f>
        <v>12</v>
      </c>
    </row>
    <row r="31">
      <c r="A31" s="55" t="s">
        <v>42</v>
      </c>
      <c r="B31" s="137">
        <f t="array" ref="B31">COUNTIFS(TRECHOS_LONGOS!$C:$C, $A31, month(TRECHOS_LONGOS!$F:$F), column()-1)</f>
        <v>5</v>
      </c>
      <c r="C31" s="137">
        <f t="array" ref="C31">COUNTIFS(TRECHOS_LONGOS!$C:$C, $A31, month(TRECHOS_LONGOS!$F:$F), column()-1)</f>
        <v>5</v>
      </c>
      <c r="D31" s="137">
        <f t="array" ref="D31">COUNTIFS(TRECHOS_LONGOS!$C:$C, $A31, month(TRECHOS_LONGOS!$F:$F), column()-1)</f>
        <v>17</v>
      </c>
    </row>
    <row r="32">
      <c r="A32" s="55" t="s">
        <v>50</v>
      </c>
      <c r="B32" s="137">
        <f t="array" ref="B32">COUNTIFS(TRECHOS_LONGOS!$C:$C, $A32, month(TRECHOS_LONGOS!$F:$F), column()-1)</f>
        <v>5</v>
      </c>
      <c r="C32" s="137">
        <f t="array" ref="C32">COUNTIFS(TRECHOS_LONGOS!$C:$C, $A32, month(TRECHOS_LONGOS!$F:$F), column()-1)</f>
        <v>2</v>
      </c>
      <c r="D32" s="137">
        <f t="array" ref="D32">COUNTIFS(TRECHOS_LONGOS!$C:$C, $A32, month(TRECHOS_LONGOS!$F:$F), column()-1)</f>
        <v>22</v>
      </c>
    </row>
    <row r="33">
      <c r="A33" s="55" t="s">
        <v>52</v>
      </c>
      <c r="B33" s="137">
        <f t="array" ref="B33">COUNTIFS(TRECHOS_LONGOS!$C:$C, $A33, month(TRECHOS_LONGOS!$F:$F), column()-1)</f>
        <v>4</v>
      </c>
      <c r="C33" s="137">
        <f t="array" ref="C33">COUNTIFS(TRECHOS_LONGOS!$C:$C, $A33, month(TRECHOS_LONGOS!$F:$F), column()-1)</f>
        <v>4</v>
      </c>
      <c r="D33" s="137">
        <f t="array" ref="D33">COUNTIFS(TRECHOS_LONGOS!$C:$C, $A33, month(TRECHOS_LONGOS!$F:$F), column()-1)</f>
        <v>14</v>
      </c>
    </row>
    <row r="46" ht="21.0" customHeight="1">
      <c r="A46" s="92" t="s">
        <v>205</v>
      </c>
      <c r="B46" s="138" t="s">
        <v>206</v>
      </c>
      <c r="C46" s="138" t="s">
        <v>207</v>
      </c>
      <c r="D46" s="138" t="s">
        <v>208</v>
      </c>
      <c r="E46" s="138" t="s">
        <v>209</v>
      </c>
      <c r="F46" s="138" t="s">
        <v>210</v>
      </c>
      <c r="H46" s="139" t="s">
        <v>192</v>
      </c>
    </row>
    <row r="47" ht="15.0" customHeight="1">
      <c r="A47" s="140" t="s">
        <v>0</v>
      </c>
      <c r="B47" s="141" t="s">
        <v>89</v>
      </c>
      <c r="C47" s="141" t="s">
        <v>89</v>
      </c>
      <c r="D47" s="142" t="s">
        <v>211</v>
      </c>
      <c r="E47" s="143" t="s">
        <v>211</v>
      </c>
      <c r="F47" s="143" t="s">
        <v>211</v>
      </c>
      <c r="G47" s="144"/>
      <c r="H47" s="139" t="s">
        <v>193</v>
      </c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</row>
    <row r="48" ht="15.0" customHeight="1">
      <c r="A48" s="140" t="s">
        <v>1</v>
      </c>
      <c r="B48" s="141" t="s">
        <v>1</v>
      </c>
      <c r="C48" s="141" t="s">
        <v>1</v>
      </c>
      <c r="D48" s="142" t="s">
        <v>212</v>
      </c>
      <c r="E48" s="143" t="s">
        <v>212</v>
      </c>
      <c r="F48" s="143" t="s">
        <v>213</v>
      </c>
      <c r="G48" s="144"/>
      <c r="H48" s="139" t="s">
        <v>194</v>
      </c>
      <c r="I48" s="144"/>
      <c r="J48" s="144"/>
      <c r="K48" s="144"/>
      <c r="L48" s="144"/>
      <c r="M48" s="144"/>
      <c r="N48" s="144"/>
      <c r="O48" s="144"/>
      <c r="P48" s="144"/>
      <c r="Q48" s="144"/>
      <c r="R48" s="144"/>
      <c r="S48" s="144"/>
      <c r="T48" s="144"/>
    </row>
    <row r="49" ht="15.0" customHeight="1">
      <c r="A49" s="140" t="s">
        <v>2</v>
      </c>
      <c r="B49" s="141" t="s">
        <v>90</v>
      </c>
      <c r="C49" s="141" t="s">
        <v>2</v>
      </c>
      <c r="D49" s="142" t="s">
        <v>213</v>
      </c>
      <c r="E49" s="143" t="s">
        <v>213</v>
      </c>
      <c r="F49" s="143" t="s">
        <v>214</v>
      </c>
      <c r="G49" s="144"/>
      <c r="H49" s="139" t="s">
        <v>195</v>
      </c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4"/>
      <c r="T49" s="144"/>
    </row>
    <row r="50" ht="15.0" customHeight="1">
      <c r="A50" s="140" t="s">
        <v>3</v>
      </c>
      <c r="B50" s="141" t="s">
        <v>4</v>
      </c>
      <c r="C50" s="141" t="s">
        <v>3</v>
      </c>
      <c r="D50" s="142" t="s">
        <v>215</v>
      </c>
      <c r="E50" s="143" t="s">
        <v>215</v>
      </c>
      <c r="F50" s="145"/>
      <c r="G50" s="144"/>
      <c r="H50" s="139" t="s">
        <v>196</v>
      </c>
      <c r="I50" s="144"/>
      <c r="J50" s="144"/>
      <c r="K50" s="144"/>
      <c r="L50" s="144"/>
      <c r="M50" s="144"/>
      <c r="N50" s="144"/>
      <c r="O50" s="144"/>
      <c r="P50" s="144"/>
      <c r="Q50" s="144"/>
      <c r="R50" s="144"/>
      <c r="S50" s="144"/>
      <c r="T50" s="144"/>
    </row>
    <row r="51" ht="15.0" customHeight="1">
      <c r="A51" s="140" t="s">
        <v>4</v>
      </c>
      <c r="B51" s="141" t="s">
        <v>91</v>
      </c>
      <c r="C51" s="141" t="s">
        <v>121</v>
      </c>
      <c r="D51" s="142" t="s">
        <v>214</v>
      </c>
      <c r="E51" s="143" t="s">
        <v>216</v>
      </c>
      <c r="F51" s="143" t="s">
        <v>215</v>
      </c>
      <c r="G51" s="144"/>
      <c r="H51" s="139" t="s">
        <v>197</v>
      </c>
      <c r="I51" s="144"/>
      <c r="J51" s="144"/>
      <c r="K51" s="144"/>
      <c r="L51" s="144"/>
      <c r="M51" s="144"/>
      <c r="N51" s="144"/>
      <c r="O51" s="144"/>
      <c r="P51" s="144"/>
      <c r="Q51" s="144"/>
      <c r="R51" s="144"/>
      <c r="S51" s="144"/>
      <c r="T51" s="144"/>
    </row>
    <row r="52" ht="15.0" customHeight="1">
      <c r="A52" s="140" t="s">
        <v>5</v>
      </c>
      <c r="B52" s="141" t="s">
        <v>92</v>
      </c>
      <c r="C52" s="141" t="s">
        <v>122</v>
      </c>
      <c r="D52" s="142" t="s">
        <v>217</v>
      </c>
      <c r="E52" s="143" t="s">
        <v>218</v>
      </c>
      <c r="F52" s="146"/>
      <c r="G52" s="144"/>
      <c r="H52" s="139" t="s">
        <v>198</v>
      </c>
      <c r="I52" s="144"/>
      <c r="J52" s="144"/>
      <c r="K52" s="144"/>
      <c r="L52" s="144"/>
      <c r="M52" s="144"/>
      <c r="N52" s="144"/>
      <c r="O52" s="144"/>
      <c r="P52" s="144"/>
      <c r="Q52" s="144"/>
      <c r="R52" s="144"/>
      <c r="S52" s="144"/>
      <c r="T52" s="144"/>
    </row>
    <row r="53" ht="15.0" customHeight="1">
      <c r="A53" s="140" t="s">
        <v>6</v>
      </c>
      <c r="B53" s="141" t="s">
        <v>93</v>
      </c>
      <c r="C53" s="141" t="s">
        <v>123</v>
      </c>
      <c r="D53" s="142" t="s">
        <v>219</v>
      </c>
      <c r="E53" s="143" t="s">
        <v>220</v>
      </c>
      <c r="F53" s="146"/>
      <c r="G53" s="144"/>
      <c r="H53" s="139" t="s">
        <v>199</v>
      </c>
      <c r="I53" s="144"/>
      <c r="J53" s="144"/>
      <c r="K53" s="144"/>
      <c r="L53" s="144"/>
      <c r="M53" s="144"/>
      <c r="N53" s="144"/>
      <c r="O53" s="144"/>
      <c r="P53" s="144"/>
      <c r="Q53" s="144"/>
      <c r="R53" s="144"/>
      <c r="S53" s="144"/>
      <c r="T53" s="144"/>
    </row>
    <row r="54" ht="15.0" customHeight="1">
      <c r="A54" s="140" t="s">
        <v>7</v>
      </c>
      <c r="B54" s="141" t="s">
        <v>94</v>
      </c>
      <c r="C54" s="141" t="s">
        <v>124</v>
      </c>
      <c r="D54" s="142" t="s">
        <v>221</v>
      </c>
      <c r="E54" s="143" t="s">
        <v>222</v>
      </c>
      <c r="F54" s="146"/>
      <c r="G54" s="144"/>
      <c r="H54" s="139" t="s">
        <v>200</v>
      </c>
      <c r="I54" s="144"/>
      <c r="J54" s="144"/>
      <c r="K54" s="144"/>
      <c r="L54" s="144"/>
      <c r="M54" s="144"/>
      <c r="N54" s="144"/>
      <c r="O54" s="144"/>
      <c r="P54" s="144"/>
      <c r="Q54" s="144"/>
      <c r="R54" s="144"/>
      <c r="S54" s="144"/>
      <c r="T54" s="144"/>
    </row>
    <row r="55" ht="15.0" customHeight="1">
      <c r="A55" s="140" t="s">
        <v>8</v>
      </c>
      <c r="B55" s="141" t="s">
        <v>95</v>
      </c>
      <c r="C55" s="141" t="s">
        <v>5</v>
      </c>
      <c r="D55" s="142" t="s">
        <v>223</v>
      </c>
      <c r="E55" s="143" t="s">
        <v>224</v>
      </c>
      <c r="F55" s="146"/>
      <c r="G55" s="144"/>
      <c r="H55" s="147" t="s">
        <v>225</v>
      </c>
      <c r="I55" s="144"/>
      <c r="J55" s="144"/>
      <c r="K55" s="144"/>
      <c r="L55" s="144"/>
      <c r="M55" s="144"/>
      <c r="N55" s="144"/>
      <c r="O55" s="144"/>
      <c r="P55" s="144"/>
      <c r="Q55" s="144"/>
      <c r="R55" s="144"/>
      <c r="S55" s="144"/>
      <c r="T55" s="144"/>
    </row>
    <row r="56" ht="15.0" customHeight="1">
      <c r="A56" s="140" t="s">
        <v>9</v>
      </c>
      <c r="B56" s="141" t="s">
        <v>96</v>
      </c>
      <c r="C56" s="141" t="s">
        <v>125</v>
      </c>
      <c r="D56" s="142" t="s">
        <v>226</v>
      </c>
      <c r="E56" s="143" t="s">
        <v>227</v>
      </c>
      <c r="F56" s="146"/>
      <c r="G56" s="144"/>
      <c r="H56" s="147" t="s">
        <v>228</v>
      </c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4"/>
    </row>
    <row r="57" ht="15.0" customHeight="1">
      <c r="A57" s="140" t="s">
        <v>10</v>
      </c>
      <c r="B57" s="146"/>
      <c r="C57" s="146"/>
      <c r="D57" s="142" t="s">
        <v>229</v>
      </c>
      <c r="E57" s="143" t="s">
        <v>230</v>
      </c>
      <c r="F57" s="146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44"/>
      <c r="R57" s="144"/>
      <c r="S57" s="144"/>
      <c r="T57" s="144"/>
    </row>
    <row r="58" ht="15.0" customHeight="1">
      <c r="A58" s="140" t="s">
        <v>11</v>
      </c>
      <c r="B58" s="146"/>
      <c r="C58" s="146"/>
      <c r="D58" s="142" t="s">
        <v>231</v>
      </c>
      <c r="E58" s="143" t="s">
        <v>232</v>
      </c>
      <c r="F58" s="146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44"/>
      <c r="R58" s="144"/>
      <c r="S58" s="144"/>
      <c r="T58" s="144"/>
    </row>
    <row r="59" ht="15.0" customHeight="1">
      <c r="A59" s="140" t="s">
        <v>12</v>
      </c>
      <c r="B59" s="146"/>
      <c r="C59" s="146"/>
      <c r="D59" s="146"/>
      <c r="E59" s="143" t="s">
        <v>233</v>
      </c>
      <c r="F59" s="146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44"/>
      <c r="S59" s="144"/>
      <c r="T59" s="144"/>
    </row>
    <row r="60" ht="15.0" customHeight="1">
      <c r="A60" s="140" t="s">
        <v>10</v>
      </c>
      <c r="B60" s="146"/>
      <c r="C60" s="146"/>
      <c r="D60" s="146"/>
      <c r="E60" s="143" t="s">
        <v>234</v>
      </c>
      <c r="F60" s="146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44"/>
      <c r="R60" s="144"/>
      <c r="S60" s="144"/>
      <c r="T60" s="144"/>
    </row>
    <row r="61" ht="15.0" customHeight="1">
      <c r="A61" s="140" t="s">
        <v>13</v>
      </c>
      <c r="B61" s="146"/>
      <c r="C61" s="146"/>
      <c r="D61" s="146"/>
      <c r="E61" s="143" t="s">
        <v>235</v>
      </c>
      <c r="F61" s="146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44"/>
    </row>
    <row r="62" ht="15.0" customHeight="1">
      <c r="A62" s="140" t="s">
        <v>14</v>
      </c>
      <c r="B62" s="146"/>
      <c r="C62" s="146"/>
      <c r="D62" s="146"/>
      <c r="E62" s="143" t="s">
        <v>236</v>
      </c>
      <c r="F62" s="146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44"/>
      <c r="R62" s="144"/>
      <c r="S62" s="144"/>
      <c r="T62" s="144"/>
    </row>
    <row r="63" ht="15.0" customHeight="1">
      <c r="A63" s="140" t="s">
        <v>15</v>
      </c>
      <c r="B63" s="146"/>
      <c r="C63" s="146"/>
      <c r="D63" s="146"/>
      <c r="E63" s="146"/>
      <c r="F63" s="146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S63" s="144"/>
      <c r="T63" s="144"/>
    </row>
    <row r="64" ht="15.0" customHeight="1">
      <c r="A64" s="140" t="s">
        <v>16</v>
      </c>
      <c r="B64" s="146"/>
      <c r="C64" s="146"/>
      <c r="D64" s="146"/>
      <c r="E64" s="146"/>
      <c r="F64" s="146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44"/>
      <c r="R64" s="144"/>
      <c r="S64" s="144"/>
      <c r="T64" s="144"/>
    </row>
    <row r="65" ht="15.0" customHeight="1">
      <c r="A65" s="140" t="s">
        <v>17</v>
      </c>
      <c r="B65" s="146"/>
      <c r="C65" s="146"/>
      <c r="D65" s="146"/>
      <c r="E65" s="146"/>
      <c r="F65" s="146"/>
      <c r="G65" s="144"/>
      <c r="H65" s="144"/>
      <c r="I65" s="144"/>
      <c r="J65" s="144"/>
      <c r="K65" s="144"/>
      <c r="L65" s="144"/>
      <c r="M65" s="144"/>
      <c r="N65" s="144"/>
      <c r="O65" s="144"/>
      <c r="P65" s="144"/>
      <c r="Q65" s="144"/>
      <c r="R65" s="144"/>
      <c r="S65" s="144"/>
      <c r="T65" s="144"/>
    </row>
    <row r="66" ht="15.0" customHeight="1">
      <c r="A66" s="140" t="s">
        <v>18</v>
      </c>
      <c r="B66" s="146"/>
      <c r="C66" s="146"/>
      <c r="D66" s="146"/>
      <c r="E66" s="146"/>
      <c r="F66" s="146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4"/>
      <c r="R66" s="144"/>
      <c r="S66" s="144"/>
      <c r="T66" s="144"/>
    </row>
    <row r="67" ht="15.0" customHeight="1">
      <c r="A67" s="140" t="s">
        <v>19</v>
      </c>
      <c r="B67" s="146"/>
      <c r="C67" s="146"/>
      <c r="D67" s="146"/>
      <c r="E67" s="146"/>
      <c r="F67" s="146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44"/>
    </row>
    <row r="68" ht="15.0" customHeight="1">
      <c r="A68" s="140" t="s">
        <v>20</v>
      </c>
      <c r="B68" s="146"/>
      <c r="C68" s="146"/>
      <c r="D68" s="146"/>
      <c r="E68" s="146"/>
      <c r="F68" s="146"/>
      <c r="G68" s="144"/>
      <c r="H68" s="144"/>
      <c r="I68" s="144"/>
      <c r="J68" s="144"/>
      <c r="K68" s="144"/>
      <c r="L68" s="144"/>
      <c r="M68" s="144"/>
      <c r="N68" s="144"/>
      <c r="O68" s="144"/>
      <c r="P68" s="144"/>
      <c r="Q68" s="144"/>
      <c r="R68" s="144"/>
      <c r="S68" s="144"/>
      <c r="T68" s="144"/>
    </row>
    <row r="69" ht="15.0" customHeight="1">
      <c r="A69" s="148" t="s">
        <v>21</v>
      </c>
      <c r="B69" s="146"/>
      <c r="C69" s="146"/>
      <c r="D69" s="146"/>
      <c r="E69" s="146"/>
      <c r="F69" s="146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44"/>
      <c r="S69" s="144"/>
      <c r="T69" s="144"/>
    </row>
    <row r="70" ht="15.0" customHeight="1">
      <c r="A70" s="140" t="s">
        <v>22</v>
      </c>
      <c r="B70" s="146"/>
      <c r="C70" s="146"/>
      <c r="D70" s="146"/>
      <c r="E70" s="146"/>
      <c r="F70" s="146"/>
      <c r="G70" s="144"/>
      <c r="H70" s="144"/>
      <c r="I70" s="144"/>
      <c r="J70" s="144"/>
      <c r="K70" s="144"/>
      <c r="L70" s="144"/>
      <c r="M70" s="144"/>
      <c r="N70" s="144"/>
      <c r="O70" s="144"/>
      <c r="P70" s="144"/>
      <c r="Q70" s="144"/>
      <c r="R70" s="144"/>
      <c r="S70" s="144"/>
      <c r="T70" s="144"/>
    </row>
    <row r="71" ht="15.0" customHeight="1">
      <c r="A71" s="148" t="s">
        <v>23</v>
      </c>
      <c r="B71" s="146"/>
      <c r="C71" s="146"/>
      <c r="D71" s="146"/>
      <c r="E71" s="146"/>
      <c r="F71" s="146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44"/>
      <c r="S71" s="144"/>
      <c r="T71" s="144"/>
    </row>
    <row r="72" ht="15.0" customHeight="1">
      <c r="A72" s="149" t="s">
        <v>24</v>
      </c>
      <c r="B72" s="146"/>
      <c r="C72" s="146"/>
      <c r="D72" s="146"/>
      <c r="E72" s="146"/>
      <c r="F72" s="146"/>
      <c r="G72" s="144"/>
      <c r="H72" s="144"/>
      <c r="I72" s="144"/>
      <c r="J72" s="144"/>
      <c r="K72" s="144"/>
      <c r="L72" s="144"/>
      <c r="M72" s="144"/>
      <c r="N72" s="144"/>
      <c r="O72" s="144"/>
      <c r="P72" s="144"/>
      <c r="Q72" s="144"/>
      <c r="R72" s="144"/>
      <c r="S72" s="144"/>
      <c r="T72" s="144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6" width="15.5"/>
    <col customWidth="1" min="7" max="8" width="17.75"/>
    <col customWidth="1" min="9" max="12" width="15.5"/>
    <col customWidth="1" min="13" max="20" width="11.5"/>
  </cols>
  <sheetData>
    <row r="1" ht="48.75" customHeight="1">
      <c r="A1" s="129" t="s">
        <v>149</v>
      </c>
      <c r="B1" s="129" t="s">
        <v>192</v>
      </c>
      <c r="C1" s="129" t="s">
        <v>193</v>
      </c>
      <c r="D1" s="129" t="s">
        <v>194</v>
      </c>
      <c r="E1" s="129" t="s">
        <v>195</v>
      </c>
      <c r="F1" s="129" t="s">
        <v>196</v>
      </c>
      <c r="G1" s="129" t="s">
        <v>200</v>
      </c>
      <c r="H1" s="129" t="s">
        <v>201</v>
      </c>
      <c r="I1" s="129" t="s">
        <v>237</v>
      </c>
      <c r="J1" s="129" t="s">
        <v>238</v>
      </c>
      <c r="K1" s="129" t="s">
        <v>239</v>
      </c>
      <c r="L1" s="129" t="s">
        <v>240</v>
      </c>
      <c r="M1" s="129" t="s">
        <v>29</v>
      </c>
      <c r="N1" s="129" t="s">
        <v>44</v>
      </c>
      <c r="O1" s="129" t="s">
        <v>53</v>
      </c>
      <c r="P1" s="129" t="s">
        <v>56</v>
      </c>
      <c r="Q1" s="129" t="s">
        <v>64</v>
      </c>
      <c r="R1" s="129" t="s">
        <v>67</v>
      </c>
      <c r="S1" s="129" t="s">
        <v>75</v>
      </c>
      <c r="T1" s="129" t="s">
        <v>79</v>
      </c>
      <c r="U1" s="79"/>
      <c r="V1" s="79"/>
    </row>
    <row r="2" ht="27.0" customHeight="1">
      <c r="A2" s="150" t="s">
        <v>181</v>
      </c>
      <c r="B2" s="134">
        <v>22.0</v>
      </c>
      <c r="C2" s="134">
        <v>0.0</v>
      </c>
      <c r="D2" s="134">
        <v>6.6</v>
      </c>
      <c r="E2" s="151">
        <v>41060.0</v>
      </c>
      <c r="F2" s="151">
        <v>0.0</v>
      </c>
      <c r="G2" s="133">
        <v>0.0</v>
      </c>
      <c r="H2" s="133">
        <v>0.0</v>
      </c>
      <c r="I2" s="134">
        <v>8.0</v>
      </c>
      <c r="J2" s="134">
        <v>5.0</v>
      </c>
      <c r="K2" s="134">
        <v>5.0</v>
      </c>
      <c r="L2" s="134">
        <v>4.0</v>
      </c>
      <c r="M2" s="152">
        <v>4.0</v>
      </c>
      <c r="N2" s="134">
        <v>3.0</v>
      </c>
      <c r="O2" s="134">
        <v>1.0</v>
      </c>
      <c r="P2" s="134">
        <v>3.0</v>
      </c>
      <c r="Q2" s="134">
        <v>2.0</v>
      </c>
      <c r="R2" s="134">
        <v>0.0</v>
      </c>
      <c r="S2" s="134">
        <v>0.0</v>
      </c>
      <c r="T2" s="134">
        <v>0.0</v>
      </c>
      <c r="U2" s="68"/>
      <c r="V2" s="68"/>
      <c r="W2" s="68"/>
    </row>
    <row r="3" ht="27.0" customHeight="1">
      <c r="A3" s="150" t="s">
        <v>182</v>
      </c>
      <c r="B3" s="134">
        <v>13.0</v>
      </c>
      <c r="C3" s="134">
        <v>0.0</v>
      </c>
      <c r="D3" s="134">
        <v>3.1</v>
      </c>
      <c r="E3" s="151">
        <v>21290.0</v>
      </c>
      <c r="F3" s="151">
        <v>0.0</v>
      </c>
      <c r="G3" s="133">
        <v>0.0</v>
      </c>
      <c r="H3" s="133">
        <v>0.0</v>
      </c>
      <c r="I3" s="134">
        <v>2.0</v>
      </c>
      <c r="J3" s="134">
        <v>5.0</v>
      </c>
      <c r="K3" s="134">
        <v>2.0</v>
      </c>
      <c r="L3" s="134">
        <v>4.0</v>
      </c>
      <c r="M3" s="152">
        <v>5.0</v>
      </c>
      <c r="N3" s="134">
        <v>0.0</v>
      </c>
      <c r="O3" s="134">
        <v>0.0</v>
      </c>
      <c r="P3" s="134">
        <v>2.0</v>
      </c>
      <c r="Q3" s="134">
        <v>0.0</v>
      </c>
      <c r="R3" s="134">
        <v>2.0</v>
      </c>
      <c r="S3" s="134">
        <v>0.0</v>
      </c>
      <c r="T3" s="134">
        <v>0.0</v>
      </c>
      <c r="U3" s="68"/>
      <c r="V3" s="68"/>
      <c r="W3" s="68"/>
    </row>
    <row r="4" ht="27.0" customHeight="1">
      <c r="A4" s="150" t="s">
        <v>183</v>
      </c>
      <c r="B4" s="134">
        <v>61.0</v>
      </c>
      <c r="C4" s="134">
        <v>4.0</v>
      </c>
      <c r="D4" s="134">
        <v>3.8</v>
      </c>
      <c r="E4" s="151">
        <v>77375.0</v>
      </c>
      <c r="F4" s="151">
        <v>760.0</v>
      </c>
      <c r="G4" s="133">
        <v>0.1475</v>
      </c>
      <c r="H4" s="133">
        <v>0.0</v>
      </c>
      <c r="I4" s="134">
        <v>12.0</v>
      </c>
      <c r="J4" s="134">
        <v>17.0</v>
      </c>
      <c r="K4" s="134">
        <v>22.0</v>
      </c>
      <c r="L4" s="134">
        <v>14.0</v>
      </c>
      <c r="M4" s="152">
        <v>14.0</v>
      </c>
      <c r="N4" s="134">
        <v>6.0</v>
      </c>
      <c r="O4" s="134">
        <v>0.0</v>
      </c>
      <c r="P4" s="134">
        <v>2.0</v>
      </c>
      <c r="Q4" s="134">
        <v>4.0</v>
      </c>
      <c r="R4" s="134">
        <v>12.0</v>
      </c>
      <c r="S4" s="134">
        <v>2.0</v>
      </c>
      <c r="T4" s="134">
        <v>2.0</v>
      </c>
      <c r="U4" s="68"/>
      <c r="V4" s="68"/>
      <c r="W4" s="68"/>
    </row>
    <row r="5">
      <c r="M5" s="79"/>
      <c r="N5" s="68"/>
      <c r="O5" s="68"/>
      <c r="P5" s="68"/>
    </row>
    <row r="6">
      <c r="M6" s="79"/>
      <c r="N6" s="68"/>
      <c r="O6" s="68"/>
      <c r="P6" s="68"/>
    </row>
    <row r="7">
      <c r="M7" s="79"/>
      <c r="N7" s="68"/>
      <c r="O7" s="68"/>
      <c r="P7" s="68"/>
    </row>
    <row r="8">
      <c r="M8" s="79"/>
      <c r="N8" s="68"/>
      <c r="O8" s="68"/>
      <c r="P8" s="68"/>
    </row>
  </sheetData>
  <drawing r:id="rId1"/>
</worksheet>
</file>